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aili edit\kirloskar-chiller-tool\backend14-4\"/>
    </mc:Choice>
  </mc:AlternateContent>
  <bookViews>
    <workbookView xWindow="0" yWindow="0" windowWidth="14370" windowHeight="1785" firstSheet="3" activeTab="5"/>
  </bookViews>
  <sheets>
    <sheet name="Input data" sheetId="1" r:id="rId1"/>
    <sheet name="DATA BASE" sheetId="2" r:id="rId2"/>
    <sheet name="CALCULATIONS &amp; OUTPUT" sheetId="3" r:id="rId3"/>
    <sheet name="refrigerant properties" sheetId="4" r:id="rId4"/>
    <sheet name="Sheet1" sheetId="5" r:id="rId5"/>
    <sheet name="Sheet3" sheetId="7" r:id="rId6"/>
    <sheet name="Sheet4" sheetId="10" r:id="rId7"/>
    <sheet name="sheet5" sheetId="9" r:id="rId8"/>
    <sheet name="Sheet2" sheetId="8" r:id="rId9"/>
  </sheets>
  <definedNames>
    <definedName name="PA" localSheetId="6">#REF!</definedName>
    <definedName name="PA">#REF!</definedName>
    <definedName name="PAGE1" localSheetId="0">'Input data'!$B$2:$K$25</definedName>
    <definedName name="PAGE1" localSheetId="6">#REF!</definedName>
    <definedName name="PAGE1">#REF!</definedName>
    <definedName name="PAGE2" localSheetId="0">#REF!</definedName>
    <definedName name="PAGE2" localSheetId="6">#REF!</definedName>
    <definedName name="PAGE2">#REF!</definedName>
    <definedName name="PAGE3" localSheetId="0">#REF!</definedName>
    <definedName name="PAGE3" localSheetId="6">#REF!</definedName>
    <definedName name="PAGE3">#REF!</definedName>
    <definedName name="PAGE4" localSheetId="0">#REF!</definedName>
    <definedName name="PAGE4" localSheetId="6">#REF!</definedName>
    <definedName name="PAGE4">#REF!</definedName>
    <definedName name="PAGE5" localSheetId="0">#REF!</definedName>
    <definedName name="PAGE5" localSheetId="6">#REF!</definedName>
    <definedName name="PAGE5">#REF!</definedName>
    <definedName name="PAGE6" localSheetId="0">#REF!</definedName>
    <definedName name="PAGE6" localSheetId="6">#REF!</definedName>
    <definedName name="PAGE6">#REF!</definedName>
    <definedName name="rect1" localSheetId="6">#REF!</definedName>
    <definedName name="rect1">#REF!</definedName>
    <definedName name="RECT10" localSheetId="6">#REF!</definedName>
    <definedName name="RECT10">#REF!</definedName>
    <definedName name="rect3" localSheetId="6">#REF!</definedName>
    <definedName name="rect3">#REF!</definedName>
    <definedName name="RECT4" localSheetId="6">#REF!</definedName>
    <definedName name="RECT4">#REF!</definedName>
    <definedName name="rect5" localSheetId="6">#REF!</definedName>
    <definedName name="rect5">#REF!</definedName>
    <definedName name="rect6" localSheetId="6">#REF!</definedName>
    <definedName name="rect6">#REF!</definedName>
    <definedName name="rect7" localSheetId="6">#REF!</definedName>
    <definedName name="rect7">#REF!</definedName>
    <definedName name="rect8" localSheetId="6">#REF!</definedName>
    <definedName name="rect8">#REF!</definedName>
    <definedName name="RECT9" localSheetId="6">#REF!</definedName>
    <definedName name="RECT9">#REF!</definedName>
    <definedName name="SUMMARY" localSheetId="6">#REF!</definedName>
    <definedName name="SUMMARY">#REF!</definedName>
    <definedName name="TEMA1" localSheetId="6">#REF!</definedName>
    <definedName name="TEMA1">#REF!</definedName>
    <definedName name="TEMA2" localSheetId="6">#REF!</definedName>
    <definedName name="TEMA2">#REF!</definedName>
    <definedName name="V3SUMM" localSheetId="6">#REF!</definedName>
    <definedName name="V3SUMM">#REF!</definedName>
    <definedName name="Z_864D8642_F7A0_11D0_9474_0020AFCB0F90_.wvu.PrintArea" localSheetId="0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11" roundtripDataSignature="AMtx7mjTaK5NfOVp0jFmu60Gl94ieZOzxA=="/>
    </ext>
  </extLst>
</workbook>
</file>

<file path=xl/calcChain.xml><?xml version="1.0" encoding="utf-8"?>
<calcChain xmlns="http://schemas.openxmlformats.org/spreadsheetml/2006/main">
  <c r="AL113" i="7" l="1"/>
  <c r="AL122" i="7" s="1"/>
  <c r="AL130" i="7"/>
  <c r="AL131" i="7" s="1"/>
  <c r="AL133" i="7" l="1"/>
  <c r="AL134" i="7"/>
  <c r="AL132" i="7"/>
  <c r="AL135" i="7"/>
  <c r="AL136" i="7" s="1"/>
  <c r="AL137" i="7" s="1"/>
  <c r="AL138" i="7" s="1"/>
  <c r="AL139" i="7" s="1"/>
  <c r="AL140" i="7" s="1"/>
  <c r="AL141" i="7" s="1"/>
  <c r="AL114" i="7"/>
  <c r="AL115" i="7" s="1"/>
  <c r="B128" i="7"/>
  <c r="C123" i="7"/>
  <c r="C125" i="7" l="1"/>
  <c r="C126" i="7" s="1"/>
  <c r="D125" i="7"/>
  <c r="D126" i="7" s="1"/>
  <c r="O21" i="7"/>
  <c r="A21" i="7"/>
  <c r="O20" i="7"/>
  <c r="A20" i="7"/>
  <c r="O19" i="7"/>
  <c r="A19" i="7"/>
  <c r="O18" i="7"/>
  <c r="A18" i="7"/>
  <c r="O17" i="7"/>
  <c r="A17" i="7"/>
  <c r="O16" i="7"/>
  <c r="A16" i="7"/>
  <c r="O15" i="7"/>
  <c r="A15" i="7"/>
  <c r="O14" i="7"/>
  <c r="A14" i="7"/>
  <c r="O13" i="7"/>
  <c r="A13" i="7"/>
  <c r="O12" i="7"/>
  <c r="A12" i="7"/>
  <c r="O11" i="7"/>
  <c r="A11" i="7"/>
  <c r="O10" i="7"/>
  <c r="A10" i="7"/>
  <c r="O9" i="7"/>
  <c r="A9" i="7"/>
  <c r="O8" i="7"/>
  <c r="A8" i="7"/>
  <c r="O7" i="7"/>
  <c r="A7" i="7"/>
  <c r="A2" i="9" l="1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2" i="9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D42" i="10" l="1"/>
  <c r="D41" i="10"/>
  <c r="D40" i="10"/>
  <c r="D39" i="10"/>
  <c r="D38" i="10"/>
  <c r="D37" i="10"/>
  <c r="D36" i="10"/>
  <c r="D35" i="10"/>
  <c r="D34" i="10"/>
  <c r="D33" i="10"/>
  <c r="D32" i="10"/>
  <c r="D60" i="10"/>
  <c r="D59" i="10"/>
  <c r="D58" i="10"/>
  <c r="D57" i="10"/>
  <c r="D56" i="10"/>
  <c r="D55" i="10"/>
  <c r="D54" i="10"/>
  <c r="D53" i="10"/>
  <c r="D52" i="10"/>
  <c r="D51" i="10"/>
  <c r="D50" i="10"/>
  <c r="E19" i="10"/>
  <c r="E20" i="10"/>
  <c r="E27" i="10"/>
  <c r="E24" i="10"/>
  <c r="E26" i="10"/>
  <c r="E17" i="10"/>
  <c r="AL155" i="7"/>
  <c r="E21" i="10" s="1"/>
  <c r="AK155" i="7"/>
  <c r="E22" i="10" s="1"/>
  <c r="AJ155" i="7"/>
  <c r="AI155" i="7"/>
  <c r="AH155" i="7"/>
  <c r="AG155" i="7"/>
  <c r="AK130" i="7"/>
  <c r="AJ130" i="7"/>
  <c r="E15" i="10" s="1"/>
  <c r="AI130" i="7"/>
  <c r="E14" i="10" s="1"/>
  <c r="AH130" i="7"/>
  <c r="AG130" i="7"/>
  <c r="AO154" i="7" l="1"/>
  <c r="AP154" i="7"/>
  <c r="AJ156" i="7"/>
  <c r="AJ157" i="7" s="1"/>
  <c r="AO157" i="7"/>
  <c r="AP157" i="7"/>
  <c r="AK158" i="7" s="1"/>
  <c r="AO129" i="7"/>
  <c r="AP129" i="7"/>
  <c r="AJ131" i="7"/>
  <c r="AO132" i="7"/>
  <c r="AP132" i="7"/>
  <c r="AD144" i="7"/>
  <c r="AH146" i="7"/>
  <c r="AK159" i="7" l="1"/>
  <c r="AH159" i="7" s="1"/>
  <c r="AK156" i="7"/>
  <c r="AH156" i="7" s="1"/>
  <c r="AK166" i="7"/>
  <c r="AH166" i="7" s="1"/>
  <c r="AK164" i="7"/>
  <c r="AH164" i="7" s="1"/>
  <c r="AK163" i="7"/>
  <c r="AH163" i="7" s="1"/>
  <c r="AK161" i="7"/>
  <c r="AH161" i="7" s="1"/>
  <c r="AH158" i="7"/>
  <c r="AK134" i="7"/>
  <c r="AH134" i="7" s="1"/>
  <c r="AK131" i="7"/>
  <c r="AH131" i="7" s="1"/>
  <c r="AH126" i="7" s="1"/>
  <c r="AI126" i="7" s="1"/>
  <c r="AK133" i="7"/>
  <c r="AH133" i="7" s="1"/>
  <c r="AG157" i="7"/>
  <c r="AI157" i="7"/>
  <c r="AJ158" i="7"/>
  <c r="AI156" i="7"/>
  <c r="AG156" i="7"/>
  <c r="AK132" i="7"/>
  <c r="AH132" i="7" s="1"/>
  <c r="AK157" i="7"/>
  <c r="AH157" i="7" s="1"/>
  <c r="AI131" i="7"/>
  <c r="AK162" i="7"/>
  <c r="AH162" i="7" s="1"/>
  <c r="AK165" i="7"/>
  <c r="AH165" i="7" s="1"/>
  <c r="AK160" i="7"/>
  <c r="AH160" i="7" s="1"/>
  <c r="AK136" i="7"/>
  <c r="AH136" i="7" s="1"/>
  <c r="AJ132" i="7"/>
  <c r="AK135" i="7"/>
  <c r="AH135" i="7" s="1"/>
  <c r="AG131" i="7"/>
  <c r="AG126" i="7" s="1"/>
  <c r="AJ159" i="7" l="1"/>
  <c r="AG158" i="7"/>
  <c r="AI158" i="7"/>
  <c r="AG132" i="7"/>
  <c r="AI132" i="7"/>
  <c r="AJ133" i="7"/>
  <c r="AK137" i="7"/>
  <c r="AH137" i="7" s="1"/>
  <c r="AJ160" i="7" l="1"/>
  <c r="AG159" i="7"/>
  <c r="AI159" i="7"/>
  <c r="AG133" i="7"/>
  <c r="AI133" i="7"/>
  <c r="AJ134" i="7"/>
  <c r="AK138" i="7"/>
  <c r="AH138" i="7" s="1"/>
  <c r="AI160" i="7" l="1"/>
  <c r="AJ161" i="7"/>
  <c r="AG160" i="7"/>
  <c r="AK139" i="7"/>
  <c r="AH139" i="7" s="1"/>
  <c r="AJ135" i="7"/>
  <c r="AG134" i="7"/>
  <c r="AI134" i="7"/>
  <c r="AJ162" i="7" l="1"/>
  <c r="AG161" i="7"/>
  <c r="AI161" i="7"/>
  <c r="AK141" i="7"/>
  <c r="AH141" i="7" s="1"/>
  <c r="AK140" i="7"/>
  <c r="AH140" i="7" s="1"/>
  <c r="AJ136" i="7"/>
  <c r="AI135" i="7"/>
  <c r="AG135" i="7"/>
  <c r="AG162" i="7" l="1"/>
  <c r="AI162" i="7"/>
  <c r="AJ163" i="7"/>
  <c r="AI136" i="7"/>
  <c r="AG136" i="7"/>
  <c r="AJ137" i="7"/>
  <c r="AG163" i="7" l="1"/>
  <c r="AI163" i="7"/>
  <c r="AJ164" i="7"/>
  <c r="AJ138" i="7"/>
  <c r="AG137" i="7"/>
  <c r="AI137" i="7"/>
  <c r="AJ165" i="7" l="1"/>
  <c r="AG164" i="7"/>
  <c r="AI164" i="7"/>
  <c r="AJ139" i="7"/>
  <c r="AI138" i="7"/>
  <c r="AG138" i="7"/>
  <c r="AI165" i="7" l="1"/>
  <c r="AJ166" i="7"/>
  <c r="AG165" i="7"/>
  <c r="AJ140" i="7"/>
  <c r="AG139" i="7"/>
  <c r="AI139" i="7"/>
  <c r="AI166" i="7" l="1"/>
  <c r="AG166" i="7"/>
  <c r="AG140" i="7"/>
  <c r="AJ141" i="7"/>
  <c r="AI140" i="7"/>
  <c r="AG141" i="7" l="1"/>
  <c r="AI141" i="7"/>
  <c r="E44" i="10"/>
  <c r="E45" i="10"/>
  <c r="AG14" i="7" l="1"/>
  <c r="AD113" i="7" s="1"/>
  <c r="AH113" i="7"/>
  <c r="AG113" i="7"/>
  <c r="AI8" i="7"/>
  <c r="AD155" i="7" l="1"/>
  <c r="AD130" i="7"/>
  <c r="AH14" i="7"/>
  <c r="B134" i="7" s="1"/>
  <c r="AG15" i="7"/>
  <c r="AF130" i="7" s="1"/>
  <c r="AJ113" i="7"/>
  <c r="AF113" i="7" l="1"/>
  <c r="AF155" i="7"/>
  <c r="C139" i="7"/>
  <c r="C138" i="7"/>
  <c r="D140" i="7"/>
  <c r="C133" i="7"/>
  <c r="D138" i="7"/>
  <c r="D136" i="7"/>
  <c r="D134" i="7"/>
  <c r="C140" i="7"/>
  <c r="C137" i="7"/>
  <c r="D141" i="7"/>
  <c r="C135" i="7"/>
  <c r="C134" i="7"/>
  <c r="D139" i="7"/>
  <c r="C132" i="7"/>
  <c r="D137" i="7"/>
  <c r="D135" i="7"/>
  <c r="D133" i="7"/>
  <c r="D132" i="7"/>
  <c r="C141" i="7"/>
  <c r="C136" i="7"/>
  <c r="D10" i="10"/>
  <c r="J5" i="10" s="1"/>
  <c r="C31" i="10"/>
  <c r="E12" i="10"/>
  <c r="AD135" i="7"/>
  <c r="AE130" i="7"/>
  <c r="AD137" i="7"/>
  <c r="AD132" i="7"/>
  <c r="AD139" i="7"/>
  <c r="AD140" i="7"/>
  <c r="AD141" i="7"/>
  <c r="AD133" i="7"/>
  <c r="AD134" i="7"/>
  <c r="AD136" i="7"/>
  <c r="AD138" i="7"/>
  <c r="AD131" i="7"/>
  <c r="C49" i="10"/>
  <c r="AD162" i="7"/>
  <c r="AD156" i="7"/>
  <c r="AD157" i="7"/>
  <c r="AD164" i="7"/>
  <c r="AD158" i="7"/>
  <c r="AD165" i="7"/>
  <c r="AD159" i="7"/>
  <c r="AD166" i="7"/>
  <c r="AD160" i="7"/>
  <c r="AD161" i="7"/>
  <c r="AE155" i="7"/>
  <c r="AD163" i="7"/>
  <c r="AK122" i="7"/>
  <c r="AJ114" i="7"/>
  <c r="AJ115" i="7" s="1"/>
  <c r="AK116" i="7"/>
  <c r="C127" i="7" l="1"/>
  <c r="C128" i="7" s="1"/>
  <c r="C129" i="7" s="1"/>
  <c r="D127" i="7"/>
  <c r="D128" i="7" s="1"/>
  <c r="D129" i="7" s="1"/>
  <c r="AC163" i="7"/>
  <c r="AP170" i="7" s="1"/>
  <c r="C57" i="10"/>
  <c r="E57" i="10" s="1"/>
  <c r="AB163" i="7"/>
  <c r="AE168" i="7"/>
  <c r="AB155" i="7"/>
  <c r="AE141" i="7"/>
  <c r="AB141" i="7" s="1"/>
  <c r="C42" i="10"/>
  <c r="E42" i="10" s="1"/>
  <c r="AC141" i="7"/>
  <c r="AC132" i="7"/>
  <c r="C33" i="10"/>
  <c r="E33" i="10" s="1"/>
  <c r="AE132" i="7"/>
  <c r="AC164" i="7"/>
  <c r="C58" i="10"/>
  <c r="E58" i="10" s="1"/>
  <c r="AB164" i="7"/>
  <c r="AC134" i="7"/>
  <c r="C35" i="10"/>
  <c r="E35" i="10" s="1"/>
  <c r="AE134" i="7"/>
  <c r="AB134" i="7" s="1"/>
  <c r="AC160" i="7"/>
  <c r="AP167" i="7" s="1"/>
  <c r="C54" i="10"/>
  <c r="E54" i="10" s="1"/>
  <c r="AE160" i="7"/>
  <c r="AB160" i="7" s="1"/>
  <c r="AC139" i="7"/>
  <c r="AL147" i="7" s="1"/>
  <c r="C40" i="10"/>
  <c r="E40" i="10" s="1"/>
  <c r="AB139" i="7"/>
  <c r="AC136" i="7"/>
  <c r="AL146" i="7" s="1"/>
  <c r="C37" i="10"/>
  <c r="E37" i="10" s="1"/>
  <c r="AE136" i="7"/>
  <c r="AB136" i="7" s="1"/>
  <c r="D49" i="10"/>
  <c r="E49" i="10" s="1"/>
  <c r="AC155" i="7"/>
  <c r="AE133" i="7"/>
  <c r="AB133" i="7" s="1"/>
  <c r="C34" i="10"/>
  <c r="E34" i="10" s="1"/>
  <c r="AC133" i="7"/>
  <c r="AL145" i="7" s="1"/>
  <c r="AC161" i="7"/>
  <c r="C55" i="10"/>
  <c r="E55" i="10" s="1"/>
  <c r="AE161" i="7"/>
  <c r="AB161" i="7" s="1"/>
  <c r="AC140" i="7"/>
  <c r="C41" i="10"/>
  <c r="E41" i="10" s="1"/>
  <c r="AB140" i="7"/>
  <c r="AC166" i="7"/>
  <c r="AP173" i="7" s="1"/>
  <c r="C60" i="10"/>
  <c r="E60" i="10" s="1"/>
  <c r="AE166" i="7"/>
  <c r="AB166" i="7" s="1"/>
  <c r="AC159" i="7"/>
  <c r="AP166" i="7" s="1"/>
  <c r="C53" i="10"/>
  <c r="E53" i="10" s="1"/>
  <c r="AE159" i="7"/>
  <c r="AB159" i="7" s="1"/>
  <c r="AC165" i="7"/>
  <c r="AP172" i="7" s="1"/>
  <c r="C59" i="10"/>
  <c r="E59" i="10" s="1"/>
  <c r="AB165" i="7"/>
  <c r="AC137" i="7"/>
  <c r="C38" i="10"/>
  <c r="E38" i="10" s="1"/>
  <c r="AE137" i="7"/>
  <c r="AB137" i="7" s="1"/>
  <c r="AC158" i="7"/>
  <c r="C52" i="10"/>
  <c r="E52" i="10" s="1"/>
  <c r="AE158" i="7"/>
  <c r="AB158" i="7" s="1"/>
  <c r="AB130" i="7"/>
  <c r="AE143" i="7"/>
  <c r="AC135" i="7"/>
  <c r="C36" i="10"/>
  <c r="E36" i="10" s="1"/>
  <c r="AE135" i="7"/>
  <c r="AB135" i="7" s="1"/>
  <c r="AE157" i="7"/>
  <c r="C51" i="10"/>
  <c r="E51" i="10" s="1"/>
  <c r="AC157" i="7"/>
  <c r="AP164" i="7" s="1"/>
  <c r="AC156" i="7"/>
  <c r="AP163" i="7" s="1"/>
  <c r="C50" i="10"/>
  <c r="E50" i="10" s="1"/>
  <c r="AE156" i="7"/>
  <c r="AC162" i="7"/>
  <c r="AP169" i="7" s="1"/>
  <c r="C56" i="10"/>
  <c r="E56" i="10" s="1"/>
  <c r="AE162" i="7"/>
  <c r="AB162" i="7" s="1"/>
  <c r="AC131" i="7"/>
  <c r="C32" i="10"/>
  <c r="E32" i="10" s="1"/>
  <c r="AE131" i="7"/>
  <c r="AC138" i="7"/>
  <c r="C39" i="10"/>
  <c r="E39" i="10" s="1"/>
  <c r="AB138" i="7"/>
  <c r="D31" i="10"/>
  <c r="E31" i="10" s="1"/>
  <c r="E13" i="10"/>
  <c r="AC130" i="7"/>
  <c r="AI115" i="7"/>
  <c r="AJ116" i="7"/>
  <c r="AI116" i="7" s="1"/>
  <c r="AI114" i="7"/>
  <c r="AK114" i="7"/>
  <c r="AK115" i="7"/>
  <c r="C144" i="7" l="1"/>
  <c r="D144" i="7"/>
  <c r="AP168" i="7"/>
  <c r="AL171" i="7"/>
  <c r="E43" i="10"/>
  <c r="AE169" i="7"/>
  <c r="AB156" i="7"/>
  <c r="AP171" i="7"/>
  <c r="AL172" i="7"/>
  <c r="AE170" i="7"/>
  <c r="AB157" i="7"/>
  <c r="E61" i="10"/>
  <c r="AB131" i="7"/>
  <c r="AE144" i="7"/>
  <c r="AB132" i="7"/>
  <c r="AE145" i="7"/>
  <c r="AP162" i="7"/>
  <c r="AL169" i="7"/>
  <c r="AC167" i="7"/>
  <c r="AL173" i="7" s="1"/>
  <c r="AL144" i="7"/>
  <c r="AC142" i="7"/>
  <c r="AL148" i="7" s="1"/>
  <c r="AP165" i="7"/>
  <c r="AL170" i="7"/>
  <c r="AG18" i="7"/>
  <c r="D18" i="10" s="1"/>
  <c r="K5" i="10" s="1"/>
  <c r="AH18" i="7"/>
  <c r="AI19" i="7"/>
  <c r="J8" i="1" s="1"/>
  <c r="AH19" i="7"/>
  <c r="E25" i="10" s="1"/>
  <c r="AG19" i="7"/>
  <c r="D25" i="10" s="1"/>
  <c r="L5" i="10" s="1"/>
  <c r="AI18" i="7"/>
  <c r="J6" i="1" s="1"/>
  <c r="E18" i="10" l="1"/>
  <c r="J9" i="1"/>
  <c r="Q7" i="1"/>
  <c r="T98" i="5" l="1"/>
  <c r="S98" i="5"/>
  <c r="R98" i="5"/>
  <c r="Q98" i="5"/>
  <c r="P98" i="5"/>
  <c r="O98" i="5"/>
  <c r="N98" i="5"/>
  <c r="M98" i="5"/>
  <c r="L98" i="5"/>
  <c r="K98" i="5"/>
  <c r="J98" i="5"/>
  <c r="I98" i="5"/>
  <c r="T97" i="5"/>
  <c r="S97" i="5"/>
  <c r="R97" i="5"/>
  <c r="Q97" i="5"/>
  <c r="P97" i="5"/>
  <c r="O97" i="5"/>
  <c r="N97" i="5"/>
  <c r="M97" i="5"/>
  <c r="L97" i="5"/>
  <c r="K97" i="5"/>
  <c r="J97" i="5"/>
  <c r="I97" i="5"/>
  <c r="T96" i="5"/>
  <c r="S96" i="5"/>
  <c r="R96" i="5"/>
  <c r="Q96" i="5"/>
  <c r="P96" i="5"/>
  <c r="O96" i="5"/>
  <c r="N96" i="5"/>
  <c r="M96" i="5"/>
  <c r="L96" i="5"/>
  <c r="K96" i="5"/>
  <c r="J96" i="5"/>
  <c r="I96" i="5"/>
  <c r="U94" i="5"/>
  <c r="V94" i="5" s="1"/>
  <c r="T85" i="5"/>
  <c r="S85" i="5"/>
  <c r="R85" i="5"/>
  <c r="Q85" i="5"/>
  <c r="P85" i="5"/>
  <c r="O85" i="5"/>
  <c r="N85" i="5"/>
  <c r="M85" i="5"/>
  <c r="L85" i="5"/>
  <c r="K85" i="5"/>
  <c r="J85" i="5"/>
  <c r="I85" i="5"/>
  <c r="T84" i="5"/>
  <c r="S84" i="5"/>
  <c r="R84" i="5"/>
  <c r="Q84" i="5"/>
  <c r="P84" i="5"/>
  <c r="O84" i="5"/>
  <c r="N84" i="5"/>
  <c r="M84" i="5"/>
  <c r="L84" i="5"/>
  <c r="K84" i="5"/>
  <c r="J84" i="5"/>
  <c r="I84" i="5"/>
  <c r="T83" i="5"/>
  <c r="S83" i="5"/>
  <c r="R83" i="5"/>
  <c r="Q83" i="5"/>
  <c r="P83" i="5"/>
  <c r="O83" i="5"/>
  <c r="N83" i="5"/>
  <c r="M83" i="5"/>
  <c r="L83" i="5"/>
  <c r="K83" i="5"/>
  <c r="J83" i="5"/>
  <c r="I83" i="5"/>
  <c r="U81" i="5"/>
  <c r="V81" i="5" s="1"/>
  <c r="T73" i="5"/>
  <c r="S73" i="5"/>
  <c r="R73" i="5"/>
  <c r="Q73" i="5"/>
  <c r="P73" i="5"/>
  <c r="O73" i="5"/>
  <c r="N73" i="5"/>
  <c r="M73" i="5"/>
  <c r="L73" i="5"/>
  <c r="K73" i="5"/>
  <c r="J73" i="5"/>
  <c r="I73" i="5"/>
  <c r="T72" i="5"/>
  <c r="S72" i="5"/>
  <c r="R72" i="5"/>
  <c r="Q72" i="5"/>
  <c r="P72" i="5"/>
  <c r="O72" i="5"/>
  <c r="N72" i="5"/>
  <c r="M72" i="5"/>
  <c r="L72" i="5"/>
  <c r="K72" i="5"/>
  <c r="J72" i="5"/>
  <c r="I72" i="5"/>
  <c r="T71" i="5"/>
  <c r="S71" i="5"/>
  <c r="R71" i="5"/>
  <c r="Q71" i="5"/>
  <c r="P71" i="5"/>
  <c r="O71" i="5"/>
  <c r="N71" i="5"/>
  <c r="M71" i="5"/>
  <c r="L71" i="5"/>
  <c r="K71" i="5"/>
  <c r="J71" i="5"/>
  <c r="I71" i="5"/>
  <c r="U69" i="5"/>
  <c r="V69" i="5" s="1"/>
  <c r="U57" i="5"/>
  <c r="V57" i="5" s="1"/>
  <c r="J59" i="5"/>
  <c r="K59" i="5"/>
  <c r="L59" i="5"/>
  <c r="M59" i="5"/>
  <c r="N59" i="5"/>
  <c r="O59" i="5"/>
  <c r="P59" i="5"/>
  <c r="Q59" i="5"/>
  <c r="R59" i="5"/>
  <c r="S59" i="5"/>
  <c r="T59" i="5"/>
  <c r="J60" i="5"/>
  <c r="K60" i="5"/>
  <c r="L60" i="5"/>
  <c r="M60" i="5"/>
  <c r="N60" i="5"/>
  <c r="O60" i="5"/>
  <c r="P60" i="5"/>
  <c r="Q60" i="5"/>
  <c r="R60" i="5"/>
  <c r="S60" i="5"/>
  <c r="T60" i="5"/>
  <c r="J61" i="5"/>
  <c r="K61" i="5"/>
  <c r="L61" i="5"/>
  <c r="M61" i="5"/>
  <c r="N61" i="5"/>
  <c r="O61" i="5"/>
  <c r="P61" i="5"/>
  <c r="Q61" i="5"/>
  <c r="R61" i="5"/>
  <c r="S61" i="5"/>
  <c r="T61" i="5"/>
  <c r="I61" i="5"/>
  <c r="I60" i="5"/>
  <c r="I59" i="5"/>
  <c r="V60" i="5" l="1"/>
  <c r="W60" i="5" s="1"/>
  <c r="V61" i="5"/>
  <c r="W61" i="5" s="1"/>
  <c r="V59" i="5"/>
  <c r="W59" i="5" s="1"/>
  <c r="V96" i="5"/>
  <c r="W96" i="5" s="1"/>
  <c r="V97" i="5"/>
  <c r="W97" i="5" s="1"/>
  <c r="V98" i="5"/>
  <c r="W98" i="5" s="1"/>
  <c r="V83" i="5"/>
  <c r="W83" i="5" s="1"/>
  <c r="V84" i="5"/>
  <c r="W84" i="5" s="1"/>
  <c r="V85" i="5"/>
  <c r="W85" i="5" s="1"/>
  <c r="V72" i="5"/>
  <c r="W72" i="5" s="1"/>
  <c r="V73" i="5"/>
  <c r="W73" i="5" s="1"/>
  <c r="V71" i="5"/>
  <c r="W71" i="5" s="1"/>
  <c r="C54" i="3"/>
  <c r="C48" i="3"/>
  <c r="B45" i="3"/>
  <c r="C6" i="3"/>
  <c r="B4" i="3"/>
  <c r="I34" i="2" a="1"/>
  <c r="I34" i="2" s="1"/>
  <c r="C34" i="2"/>
  <c r="M26" i="2"/>
  <c r="L26" i="2"/>
  <c r="I26" i="2"/>
  <c r="H13" i="2" a="1"/>
  <c r="I13" i="2" s="1"/>
  <c r="B13" i="2"/>
  <c r="T10" i="2"/>
  <c r="D10" i="2"/>
  <c r="U12" i="2" s="1"/>
  <c r="T8" i="2"/>
  <c r="F5" i="2"/>
  <c r="G25" i="1"/>
  <c r="F25" i="1" s="1"/>
  <c r="L13" i="1"/>
  <c r="A13" i="1"/>
  <c r="L12" i="1"/>
  <c r="A12" i="1"/>
  <c r="D44" i="2" l="1"/>
  <c r="C27" i="3" s="1"/>
  <c r="D35" i="2"/>
  <c r="D14" i="2" s="1"/>
  <c r="J43" i="2"/>
  <c r="C68" i="3" s="1"/>
  <c r="J41" i="2"/>
  <c r="L6" i="2" s="1"/>
  <c r="C61" i="3" s="1"/>
  <c r="J39" i="2"/>
  <c r="J18" i="2" s="1"/>
  <c r="J37" i="2"/>
  <c r="J16" i="2" s="1"/>
  <c r="J35" i="2"/>
  <c r="J14" i="2" s="1"/>
  <c r="J44" i="2"/>
  <c r="C69" i="3" s="1"/>
  <c r="J42" i="2"/>
  <c r="C55" i="3" s="1"/>
  <c r="J40" i="2"/>
  <c r="J19" i="2" s="1"/>
  <c r="J38" i="2"/>
  <c r="J17" i="2" s="1"/>
  <c r="J36" i="2"/>
  <c r="J15" i="2" s="1"/>
  <c r="V14" i="2"/>
  <c r="D7" i="2" s="1"/>
  <c r="V16" i="2"/>
  <c r="V15" i="2"/>
  <c r="V13" i="2"/>
  <c r="D6" i="2" s="1"/>
  <c r="D38" i="2"/>
  <c r="D17" i="2" s="1"/>
  <c r="D42" i="2"/>
  <c r="C14" i="3" s="1"/>
  <c r="J34" i="2"/>
  <c r="H13" i="2"/>
  <c r="D37" i="2"/>
  <c r="D16" i="2" s="1"/>
  <c r="D39" i="2"/>
  <c r="D18" i="2" s="1"/>
  <c r="D41" i="2"/>
  <c r="F6" i="2" s="1"/>
  <c r="D43" i="2"/>
  <c r="C26" i="3" s="1"/>
  <c r="D36" i="2"/>
  <c r="D15" i="2" s="1"/>
  <c r="D40" i="2"/>
  <c r="D19" i="2" s="1"/>
  <c r="B3" i="3" l="1"/>
  <c r="C21" i="3" s="1"/>
  <c r="X15" i="2"/>
  <c r="D8" i="2"/>
  <c r="C13" i="3" s="1"/>
  <c r="B44" i="3"/>
  <c r="C62" i="3" s="1"/>
  <c r="C89" i="3"/>
  <c r="C76" i="3"/>
  <c r="C20" i="3"/>
  <c r="X16" i="2"/>
  <c r="Y16" i="2"/>
  <c r="D9" i="2"/>
  <c r="X17" i="2" l="1"/>
  <c r="J21" i="1" s="1"/>
  <c r="F26" i="2"/>
  <c r="J7" i="1"/>
  <c r="C26" i="2" s="1"/>
  <c r="C34" i="3" l="1"/>
  <c r="F7" i="1"/>
  <c r="D7" i="1" s="1"/>
  <c r="AC113" i="7" l="1"/>
  <c r="AE113" i="7"/>
  <c r="AB113" i="7" s="1"/>
  <c r="AD116" i="7"/>
  <c r="AE116" i="7" s="1"/>
  <c r="AD114" i="7"/>
  <c r="AE114" i="7" s="1"/>
  <c r="AD115" i="7"/>
  <c r="AE115" i="7" s="1"/>
  <c r="D8" i="1"/>
  <c r="F24" i="1" s="1"/>
  <c r="F14" i="1"/>
  <c r="AB115" i="7" l="1"/>
  <c r="AC115" i="7"/>
  <c r="AC114" i="7"/>
  <c r="AB114" i="7"/>
  <c r="AC116" i="7"/>
  <c r="AB116" i="7"/>
  <c r="J14" i="1"/>
  <c r="L14" i="1" s="1"/>
  <c r="C7" i="3"/>
  <c r="A14" i="1"/>
  <c r="F15" i="1"/>
  <c r="A15" i="1" s="1"/>
  <c r="E16" i="10" s="1"/>
  <c r="AC117" i="7" l="1"/>
  <c r="AG123" i="7" s="1"/>
  <c r="C49" i="3"/>
  <c r="C52" i="3" s="1"/>
  <c r="J15" i="1"/>
  <c r="L15" i="1" s="1"/>
  <c r="E23" i="10" s="1"/>
  <c r="C10" i="3"/>
  <c r="C8" i="3"/>
  <c r="AC119" i="7" l="1"/>
  <c r="C86" i="3"/>
  <c r="C87" i="3" s="1"/>
  <c r="C88" i="3" s="1"/>
  <c r="C90" i="3" s="1"/>
  <c r="C50" i="3"/>
  <c r="C51" i="3" s="1"/>
  <c r="C36" i="3"/>
  <c r="C9" i="3"/>
  <c r="H10" i="3"/>
  <c r="N15" i="1" s="1"/>
  <c r="P15" i="1" s="1"/>
  <c r="C72" i="3"/>
  <c r="C53" i="3"/>
  <c r="H8" i="3"/>
  <c r="N13" i="1" s="1"/>
  <c r="P13" i="1" s="1"/>
  <c r="C12" i="3"/>
  <c r="C11" i="3"/>
  <c r="C30" i="3"/>
  <c r="C78" i="3" l="1"/>
  <c r="C15" i="3"/>
  <c r="C28" i="3"/>
  <c r="C29" i="3" s="1"/>
  <c r="C31" i="3" s="1"/>
  <c r="C32" i="3" s="1"/>
  <c r="C33" i="3" s="1"/>
  <c r="H9" i="3" s="1"/>
  <c r="N14" i="1" s="1"/>
  <c r="C56" i="3"/>
  <c r="C70" i="3"/>
  <c r="C71" i="3" s="1"/>
  <c r="C73" i="3" s="1"/>
  <c r="C74" i="3" s="1"/>
  <c r="C75" i="3" s="1"/>
  <c r="H11" i="3" s="1"/>
  <c r="N16" i="1" s="1"/>
  <c r="P16" i="1" l="1"/>
  <c r="R16" i="1"/>
  <c r="R14" i="1"/>
  <c r="P14" i="1"/>
  <c r="C16" i="3"/>
  <c r="C17" i="3"/>
  <c r="C57" i="3"/>
  <c r="C58" i="3"/>
  <c r="C59" i="3" l="1"/>
  <c r="C64" i="3"/>
  <c r="C23" i="3"/>
  <c r="C24" i="3" s="1"/>
  <c r="C18" i="3"/>
  <c r="C25" i="3" l="1"/>
  <c r="C35" i="3"/>
  <c r="C65" i="3"/>
  <c r="C84" i="3"/>
  <c r="C85" i="3" s="1"/>
  <c r="C66" i="3" l="1"/>
  <c r="C77" i="3"/>
  <c r="N18" i="1"/>
  <c r="C37" i="3"/>
  <c r="C38" i="3" s="1"/>
  <c r="N19" i="1" l="1"/>
  <c r="C79" i="3"/>
  <c r="C80" i="3" s="1"/>
  <c r="H6" i="3"/>
  <c r="N11" i="1" s="1"/>
  <c r="C40" i="3"/>
  <c r="C39" i="3"/>
  <c r="M8" i="1" l="1"/>
  <c r="AK119" i="7" s="1"/>
  <c r="P11" i="1"/>
  <c r="C82" i="3"/>
  <c r="H7" i="3"/>
  <c r="N12" i="1" s="1"/>
  <c r="C81" i="3"/>
  <c r="AG116" i="7" l="1"/>
  <c r="AG115" i="7"/>
  <c r="AG114" i="7"/>
  <c r="M9" i="1"/>
  <c r="AL119" i="7" s="1"/>
  <c r="P12" i="1"/>
  <c r="A2" i="4"/>
  <c r="B2" i="4" s="1"/>
  <c r="C2" i="4" s="1"/>
  <c r="F26" i="1" s="1"/>
  <c r="AH116" i="7" l="1"/>
  <c r="AH114" i="7"/>
  <c r="AH115" i="7"/>
  <c r="C91" i="3"/>
  <c r="C92" i="3" l="1"/>
  <c r="C95" i="3"/>
  <c r="C93" i="3"/>
  <c r="C94" i="3" l="1"/>
  <c r="C96" i="3" s="1"/>
  <c r="C97" i="3" s="1"/>
  <c r="C98" i="3" s="1"/>
  <c r="C99" i="3" l="1"/>
  <c r="H12" i="3"/>
  <c r="N17" i="1" s="1"/>
  <c r="P17" i="1" l="1"/>
  <c r="N20" i="1"/>
  <c r="I24" i="1"/>
  <c r="I25" i="1" s="1"/>
  <c r="I26" i="1" s="1"/>
  <c r="F6" i="1" s="1"/>
  <c r="D9" i="10"/>
</calcChain>
</file>

<file path=xl/comments1.xml><?xml version="1.0" encoding="utf-8"?>
<comments xmlns="http://schemas.openxmlformats.org/spreadsheetml/2006/main">
  <authors>
    <author/>
  </authors>
  <commentList>
    <comment ref="F13" authorId="0" shapeId="0">
      <text>
        <r>
          <rPr>
            <sz val="10"/>
            <color rgb="FF000000"/>
            <rFont val="Arial"/>
            <family val="2"/>
          </rPr>
          <t>======
ID#AAAAIPaAbzw
Shreyas Shete    (2020-03-28 09:42:48)
Enter Entering  Water temperature and calculate Flow.
Flow= 239.145*Capacity*(EWT-LWT)
where Flow is in m3/h and capacity is in KW .
If flow is availble then find Entering Water Temprature with help of above formula.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FLPO1ZWwbjHYsTzd3OVDj3D4ilw=="/>
    </ext>
  </extLst>
</comments>
</file>

<file path=xl/sharedStrings.xml><?xml version="1.0" encoding="utf-8"?>
<sst xmlns="http://schemas.openxmlformats.org/spreadsheetml/2006/main" count="2644" uniqueCount="1066">
  <si>
    <t>KIRLOSKAR CHILLERS PRIVATE LIMITED</t>
  </si>
  <si>
    <t>SHT.:</t>
  </si>
  <si>
    <t>PROJECT :</t>
  </si>
  <si>
    <t>CHILLER  SOFTWARE</t>
  </si>
  <si>
    <t>OF :</t>
  </si>
  <si>
    <t>D0C. NO:</t>
  </si>
  <si>
    <t>DATE:</t>
  </si>
  <si>
    <t>REV.:</t>
  </si>
  <si>
    <t>INPUT DATA FOR CENTRI SOFTWARE</t>
  </si>
  <si>
    <t>Final Capacity with Subcooling</t>
  </si>
  <si>
    <t>Evaporator Length</t>
  </si>
  <si>
    <t>Capacity (KW)</t>
  </si>
  <si>
    <t>Evaporator Number Tube</t>
  </si>
  <si>
    <t>Power</t>
  </si>
  <si>
    <t>Condenser Length</t>
  </si>
  <si>
    <t>Mass Flow rate m3/h</t>
  </si>
  <si>
    <t>Condenser Number Tube</t>
  </si>
  <si>
    <t>Tubes in subcooling</t>
  </si>
  <si>
    <t>Evaporator</t>
  </si>
  <si>
    <t>Condenser</t>
  </si>
  <si>
    <t>S</t>
  </si>
  <si>
    <t>Deg C</t>
  </si>
  <si>
    <t>Deg F</t>
  </si>
  <si>
    <t>Leaving Water Temp. ⁰c</t>
  </si>
  <si>
    <t>Entering Water Temp. ⁰c</t>
  </si>
  <si>
    <t>D</t>
  </si>
  <si>
    <t>EV</t>
  </si>
  <si>
    <t>m/s</t>
  </si>
  <si>
    <t>Flow (m3/h)</t>
  </si>
  <si>
    <t>EP</t>
  </si>
  <si>
    <t>bar</t>
  </si>
  <si>
    <t>Kpa</t>
  </si>
  <si>
    <t>ft H2O</t>
  </si>
  <si>
    <t>Flow in GPM</t>
  </si>
  <si>
    <t>CV</t>
  </si>
  <si>
    <t>No. of passes</t>
  </si>
  <si>
    <t>CP</t>
  </si>
  <si>
    <t>Fouling factor (m2 .K / KW)</t>
  </si>
  <si>
    <t>Fouling factor  (m2 .K / KW)</t>
  </si>
  <si>
    <t>SC</t>
  </si>
  <si>
    <t>deg c</t>
  </si>
  <si>
    <t>Tube Material</t>
  </si>
  <si>
    <t>SS</t>
  </si>
  <si>
    <t>ELMTD</t>
  </si>
  <si>
    <t>Tube Thickness (mm)</t>
  </si>
  <si>
    <t>CLMTD</t>
  </si>
  <si>
    <t>Brine %</t>
  </si>
  <si>
    <t>Releative Density</t>
  </si>
  <si>
    <t>Additional Inputs</t>
  </si>
  <si>
    <t>Power (kw)</t>
  </si>
  <si>
    <t>Change in Capacity (KW)</t>
  </si>
  <si>
    <t>Mass Flow Rate (kg/s)</t>
  </si>
  <si>
    <t>Change in Capacity (tonR)</t>
  </si>
  <si>
    <t>Specific heat of sat. liquid (Condenser) (kJ/kg)</t>
  </si>
  <si>
    <t>Final Capacity (tonR)</t>
  </si>
  <si>
    <t>SI</t>
  </si>
  <si>
    <t>IP</t>
  </si>
  <si>
    <t>Cu</t>
  </si>
  <si>
    <t>Ti</t>
  </si>
  <si>
    <t>Cu-Ni</t>
  </si>
  <si>
    <t>EVAPORATOR</t>
  </si>
  <si>
    <t>CONDENSER</t>
  </si>
  <si>
    <t xml:space="preserve"> Properties</t>
  </si>
  <si>
    <t>Properties</t>
  </si>
  <si>
    <t>unit</t>
  </si>
  <si>
    <t xml:space="preserve">water </t>
  </si>
  <si>
    <t>refrigerant</t>
  </si>
  <si>
    <t>Conductivity</t>
  </si>
  <si>
    <r>
      <rPr>
        <sz val="10"/>
        <color theme="1"/>
        <rFont val="Arial"/>
        <family val="2"/>
      </rPr>
      <t xml:space="preserve">kcal / m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</si>
  <si>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 xml:space="preserve">kcal / m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</si>
  <si>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t>unit converter</t>
  </si>
  <si>
    <t>viscocity</t>
  </si>
  <si>
    <r>
      <rPr>
        <sz val="10"/>
        <color theme="1"/>
        <rFont val="Arial"/>
        <family val="2"/>
      </rPr>
      <t>N s / m</t>
    </r>
    <r>
      <rPr>
        <vertAlign val="superscript"/>
        <sz val="10"/>
        <color theme="1"/>
        <rFont val="Arial"/>
        <family val="2"/>
      </rPr>
      <t>2</t>
    </r>
  </si>
  <si>
    <r>
      <rPr>
        <sz val="10"/>
        <color theme="1"/>
        <rFont val="Arial"/>
        <family val="2"/>
      </rPr>
      <t>N s / m</t>
    </r>
    <r>
      <rPr>
        <vertAlign val="superscript"/>
        <sz val="10"/>
        <color theme="1"/>
        <rFont val="Arial"/>
        <family val="2"/>
      </rPr>
      <t>2</t>
    </r>
  </si>
  <si>
    <t>specific heat</t>
  </si>
  <si>
    <r>
      <rPr>
        <sz val="10"/>
        <color theme="1"/>
        <rFont val="Arial"/>
        <family val="2"/>
      </rPr>
      <t xml:space="preserve">kcal / kg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</si>
  <si>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 xml:space="preserve">kcal / kg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</si>
  <si>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t>W/m.k</t>
  </si>
  <si>
    <r>
      <rPr>
        <sz val="10"/>
        <color rgb="FF000000"/>
        <rFont val="Arial"/>
        <family val="2"/>
      </rPr>
      <t xml:space="preserve">kcal / m s </t>
    </r>
    <r>
      <rPr>
        <vertAlign val="superscript"/>
        <sz val="10"/>
        <color rgb="FF000000"/>
        <rFont val="Arial"/>
        <family val="2"/>
      </rPr>
      <t>0</t>
    </r>
    <r>
      <rPr>
        <sz val="10"/>
        <color rgb="FF000000"/>
        <rFont val="Arial"/>
        <family val="2"/>
      </rPr>
      <t>C</t>
    </r>
  </si>
  <si>
    <t>density</t>
  </si>
  <si>
    <r>
      <rPr>
        <sz val="10"/>
        <color theme="1"/>
        <rFont val="Arial"/>
        <family val="2"/>
      </rPr>
      <t>kg / m</t>
    </r>
    <r>
      <rPr>
        <vertAlign val="superscript"/>
        <sz val="10"/>
        <color theme="1"/>
        <rFont val="Arial"/>
        <family val="2"/>
      </rPr>
      <t>3</t>
    </r>
  </si>
  <si>
    <r>
      <rPr>
        <sz val="10"/>
        <color theme="1"/>
        <rFont val="Arial"/>
        <family val="2"/>
      </rPr>
      <t>kg / m</t>
    </r>
    <r>
      <rPr>
        <vertAlign val="superscript"/>
        <sz val="10"/>
        <color theme="1"/>
        <rFont val="Arial"/>
        <family val="2"/>
      </rPr>
      <t>3</t>
    </r>
  </si>
  <si>
    <t>KJ/KgK</t>
  </si>
  <si>
    <r>
      <rPr>
        <sz val="10"/>
        <color rgb="FF000000"/>
        <rFont val="Arial"/>
        <family val="2"/>
      </rPr>
      <t xml:space="preserve">kcal / kg </t>
    </r>
    <r>
      <rPr>
        <vertAlign val="superscript"/>
        <sz val="10"/>
        <color rgb="FF000000"/>
        <rFont val="Arial"/>
        <family val="2"/>
      </rPr>
      <t>0</t>
    </r>
    <r>
      <rPr>
        <sz val="10"/>
        <color rgb="FF000000"/>
        <rFont val="Arial"/>
        <family val="2"/>
      </rPr>
      <t>C</t>
    </r>
  </si>
  <si>
    <t>Tube Data</t>
  </si>
  <si>
    <t>brine %</t>
  </si>
  <si>
    <r>
      <rPr>
        <sz val="10"/>
        <color rgb="FF000000"/>
        <rFont val="Arial"/>
        <family val="2"/>
      </rPr>
      <t xml:space="preserve">kcal / m s </t>
    </r>
    <r>
      <rPr>
        <vertAlign val="superscript"/>
        <sz val="10"/>
        <color rgb="FF000000"/>
        <rFont val="Arial"/>
        <family val="2"/>
      </rPr>
      <t>0</t>
    </r>
    <r>
      <rPr>
        <sz val="10"/>
        <color rgb="FF000000"/>
        <rFont val="Arial"/>
        <family val="2"/>
      </rPr>
      <t>C</t>
    </r>
  </si>
  <si>
    <t>Nominal Tube OD (mm)</t>
  </si>
  <si>
    <r>
      <rPr>
        <sz val="10"/>
        <color rgb="FF000000"/>
        <rFont val="Arial"/>
        <family val="2"/>
      </rPr>
      <t>N s / m</t>
    </r>
    <r>
      <rPr>
        <vertAlign val="superscript"/>
        <sz val="10"/>
        <color rgb="FF000000"/>
        <rFont val="Arial"/>
        <family val="2"/>
      </rPr>
      <t>2</t>
    </r>
  </si>
  <si>
    <t>Nominal Tube Id (mm)</t>
  </si>
  <si>
    <r>
      <rPr>
        <sz val="10"/>
        <color rgb="FF000000"/>
        <rFont val="Arial"/>
        <family val="2"/>
      </rPr>
      <t xml:space="preserve">kcal / kg </t>
    </r>
    <r>
      <rPr>
        <vertAlign val="superscript"/>
        <sz val="10"/>
        <color rgb="FF000000"/>
        <rFont val="Arial"/>
        <family val="2"/>
      </rPr>
      <t>0</t>
    </r>
    <r>
      <rPr>
        <sz val="10"/>
        <color rgb="FF000000"/>
        <rFont val="Arial"/>
        <family val="2"/>
      </rPr>
      <t>C</t>
    </r>
  </si>
  <si>
    <t>Nominal Tube Thk.(mm)</t>
  </si>
  <si>
    <r>
      <rPr>
        <sz val="10"/>
        <color rgb="FF000000"/>
        <rFont val="Arial"/>
        <family val="2"/>
      </rPr>
      <t>kg / m</t>
    </r>
    <r>
      <rPr>
        <vertAlign val="superscript"/>
        <sz val="10"/>
        <color rgb="FF000000"/>
        <rFont val="Arial"/>
        <family val="2"/>
      </rPr>
      <t>3</t>
    </r>
  </si>
  <si>
    <r>
      <rPr>
        <sz val="10"/>
        <color theme="1"/>
        <rFont val="Arial"/>
        <family val="2"/>
      </rPr>
      <t>Nominal outside surface area (m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/m)</t>
    </r>
  </si>
  <si>
    <r>
      <rPr>
        <sz val="10"/>
        <color theme="1"/>
        <rFont val="Arial"/>
        <family val="2"/>
      </rPr>
      <t>Nominal outside surface area (m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/m)</t>
    </r>
  </si>
  <si>
    <r>
      <rPr>
        <sz val="10"/>
        <color theme="1"/>
        <rFont val="Arial"/>
        <family val="2"/>
      </rPr>
      <t>Nominal inside surface area (m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/m)</t>
    </r>
  </si>
  <si>
    <r>
      <rPr>
        <sz val="10"/>
        <color theme="1"/>
        <rFont val="Arial"/>
        <family val="2"/>
      </rPr>
      <t>Nominal inside surface area (m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/m)</t>
    </r>
  </si>
  <si>
    <r>
      <rPr>
        <sz val="10"/>
        <color theme="1"/>
        <rFont val="Arial"/>
        <family val="2"/>
      </rPr>
      <t>Actual inside cross sec. area m</t>
    </r>
    <r>
      <rPr>
        <vertAlign val="superscript"/>
        <sz val="10"/>
        <color theme="1"/>
        <rFont val="Arial"/>
        <family val="2"/>
      </rPr>
      <t>2</t>
    </r>
  </si>
  <si>
    <r>
      <rPr>
        <sz val="10"/>
        <color theme="1"/>
        <rFont val="Arial"/>
        <family val="2"/>
      </rPr>
      <t>Actual inside cross sec. area m</t>
    </r>
    <r>
      <rPr>
        <vertAlign val="superscript"/>
        <sz val="10"/>
        <color theme="1"/>
        <rFont val="Arial"/>
        <family val="2"/>
      </rPr>
      <t>2</t>
    </r>
  </si>
  <si>
    <t>HEAT EXCHANGER DATA - EVAPORATOR</t>
  </si>
  <si>
    <t>HEAT EXCHANGER DATA - CONDENSER</t>
  </si>
  <si>
    <t>% Brine</t>
  </si>
  <si>
    <t>EVAPO. MODEL</t>
  </si>
  <si>
    <t>CONDENSER MODEL</t>
  </si>
  <si>
    <t>TUBE# IN SUB-COOLER</t>
  </si>
  <si>
    <t>N/m2.S</t>
  </si>
  <si>
    <t>kg/m3</t>
  </si>
  <si>
    <t>NO. OF</t>
  </si>
  <si>
    <t>PASSES</t>
  </si>
  <si>
    <t>DIA OF EVAP.</t>
  </si>
  <si>
    <t>LENGTH</t>
  </si>
  <si>
    <t>DIA OF Cond.</t>
  </si>
  <si>
    <t xml:space="preserve"> TUBES</t>
  </si>
  <si>
    <t>inch</t>
  </si>
  <si>
    <t>feet</t>
  </si>
  <si>
    <t>E2212-B</t>
  </si>
  <si>
    <t>C1812-B</t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</si>
  <si>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</si>
  <si>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</si>
  <si>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</si>
  <si>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</si>
  <si>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t>Actual inside cross sec. area m2</t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</si>
  <si>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</si>
  <si>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</si>
  <si>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t>A</t>
  </si>
  <si>
    <t>C</t>
  </si>
  <si>
    <t>Evaporator Flooded:</t>
  </si>
  <si>
    <t>Titanium</t>
  </si>
  <si>
    <t>CuNi(90:10)</t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</si>
  <si>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</si>
  <si>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</si>
  <si>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</si>
  <si>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</si>
  <si>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</si>
  <si>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</si>
  <si>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</si>
  <si>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</si>
  <si>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</si>
  <si>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</si>
  <si>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</si>
  <si>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</si>
  <si>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t>Condenser:</t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</si>
  <si>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</si>
  <si>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</si>
  <si>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</si>
  <si>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</si>
  <si>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</si>
  <si>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</si>
  <si>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</si>
  <si>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</si>
  <si>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</si>
  <si>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</si>
  <si>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</si>
  <si>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</si>
  <si>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t>Calculation sheet - Evaporator</t>
  </si>
  <si>
    <t>Tube detail</t>
  </si>
  <si>
    <t>Ratio of nominal area</t>
  </si>
  <si>
    <t>Corrected Fouling factor</t>
  </si>
  <si>
    <t>Evaporator Model</t>
  </si>
  <si>
    <t>Pink colour indicate Outputs</t>
  </si>
  <si>
    <t>Leaving Water Temp.</t>
  </si>
  <si>
    <r>
      <rPr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</si>
  <si>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t>Flow rate</t>
  </si>
  <si>
    <t>m3/s</t>
  </si>
  <si>
    <t>Entering Water temp.</t>
  </si>
  <si>
    <r>
      <rPr>
        <b/>
        <sz val="10"/>
        <color rgb="FFFF00FF"/>
        <rFont val="Arial"/>
        <family val="2"/>
      </rPr>
      <t>0</t>
    </r>
    <r>
      <rPr>
        <b/>
        <sz val="10"/>
        <color rgb="FFFF00FF"/>
        <rFont val="Arial"/>
        <family val="2"/>
      </rPr>
      <t>C</t>
    </r>
  </si>
  <si>
    <r>
      <rPr>
        <sz val="10"/>
        <color theme="1"/>
        <rFont val="Arial"/>
        <family val="2"/>
      </rPr>
      <t xml:space="preserve"> 0</t>
    </r>
    <r>
      <rPr>
        <sz val="10"/>
        <color theme="1"/>
        <rFont val="Arial"/>
        <family val="2"/>
      </rPr>
      <t>F</t>
    </r>
  </si>
  <si>
    <t>water side velocity</t>
  </si>
  <si>
    <t>ft/s</t>
  </si>
  <si>
    <t>Reynold No.</t>
  </si>
  <si>
    <t>Prandlt No.</t>
  </si>
  <si>
    <t>Inside heat transfer coe. as per wolverine</t>
  </si>
  <si>
    <r>
      <rPr>
        <sz val="10"/>
        <color theme="1"/>
        <rFont val="Arial"/>
        <family val="2"/>
      </rPr>
      <t>kcal /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</si>
  <si>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>Btu / ft</t>
    </r>
    <r>
      <rPr>
        <vertAlign val="superscript"/>
        <sz val="10"/>
        <color theme="1"/>
        <rFont val="Arial"/>
        <family val="2"/>
      </rPr>
      <t xml:space="preserve">2 </t>
    </r>
    <r>
      <rPr>
        <sz val="10"/>
        <color theme="1"/>
        <rFont val="Arial"/>
        <family val="2"/>
      </rPr>
      <t>hr</t>
    </r>
    <r>
      <rPr>
        <vertAlign val="superscript"/>
        <sz val="10"/>
        <color theme="1"/>
        <rFont val="Arial"/>
        <family val="2"/>
      </rPr>
      <t xml:space="preserve"> 0</t>
    </r>
    <r>
      <rPr>
        <sz val="10"/>
        <color theme="1"/>
        <rFont val="Arial"/>
        <family val="2"/>
      </rPr>
      <t>F</t>
    </r>
  </si>
  <si>
    <t>1/hi based on outer dia.</t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</si>
  <si>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</si>
  <si>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r>
      <rPr>
        <sz val="10"/>
        <color theme="1"/>
        <rFont val="Arial"/>
        <family val="2"/>
      </rPr>
      <t>ft</t>
    </r>
    <r>
      <rPr>
        <vertAlign val="superscript"/>
        <sz val="10"/>
        <color theme="1"/>
        <rFont val="Arial"/>
        <family val="2"/>
      </rPr>
      <t xml:space="preserve">2 </t>
    </r>
    <r>
      <rPr>
        <sz val="10"/>
        <color theme="1"/>
        <rFont val="Arial"/>
        <family val="2"/>
      </rPr>
      <t>hr</t>
    </r>
    <r>
      <rPr>
        <vertAlign val="superscript"/>
        <sz val="10"/>
        <color theme="1"/>
        <rFont val="Arial"/>
        <family val="2"/>
      </rPr>
      <t xml:space="preserve"> 0</t>
    </r>
    <r>
      <rPr>
        <sz val="10"/>
        <color theme="1"/>
        <rFont val="Arial"/>
        <family val="2"/>
      </rPr>
      <t>F / Btu</t>
    </r>
  </si>
  <si>
    <t>ref. side resistance</t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</si>
  <si>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</si>
  <si>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t>Copper tube resistance</t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</si>
  <si>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</si>
  <si>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t>fouling resistance based on ouside dia</t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</si>
  <si>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</si>
  <si>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t>Oil resistance</t>
  </si>
  <si>
    <t>Total Resistance</t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</si>
  <si>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</si>
  <si>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t>Overall U</t>
  </si>
  <si>
    <r>
      <rPr>
        <sz val="10"/>
        <color theme="1"/>
        <rFont val="Arial"/>
        <family val="2"/>
      </rPr>
      <t>kcal /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</si>
  <si>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>Btu / ft</t>
    </r>
    <r>
      <rPr>
        <vertAlign val="superscript"/>
        <sz val="10"/>
        <color theme="1"/>
        <rFont val="Arial"/>
        <family val="2"/>
      </rPr>
      <t xml:space="preserve">2 </t>
    </r>
    <r>
      <rPr>
        <sz val="10"/>
        <color theme="1"/>
        <rFont val="Arial"/>
        <family val="2"/>
      </rPr>
      <t>hr</t>
    </r>
    <r>
      <rPr>
        <vertAlign val="superscript"/>
        <sz val="10"/>
        <color theme="1"/>
        <rFont val="Arial"/>
        <family val="2"/>
      </rPr>
      <t xml:space="preserve"> 0</t>
    </r>
    <r>
      <rPr>
        <sz val="10"/>
        <color theme="1"/>
        <rFont val="Arial"/>
        <family val="2"/>
      </rPr>
      <t>F</t>
    </r>
  </si>
  <si>
    <t>Darcy friction factor (wolve.)</t>
  </si>
  <si>
    <t xml:space="preserve">frictional Pressure Drop  </t>
  </si>
  <si>
    <t>m</t>
  </si>
  <si>
    <t>minor pressure losses</t>
  </si>
  <si>
    <t>Total pressure drop</t>
  </si>
  <si>
    <t>foot H2O</t>
  </si>
  <si>
    <t>Heat transfer area</t>
  </si>
  <si>
    <t>sq. m</t>
  </si>
  <si>
    <t>LMTD</t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</si>
  <si>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</si>
  <si>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t>R</t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</si>
  <si>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</si>
  <si>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</si>
  <si>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t>Saturation temp.</t>
  </si>
  <si>
    <r>
      <rPr>
        <b/>
        <sz val="10"/>
        <color rgb="FFFF00FF"/>
        <rFont val="Arial"/>
        <family val="2"/>
      </rPr>
      <t>0</t>
    </r>
    <r>
      <rPr>
        <b/>
        <sz val="10"/>
        <color rgb="FFFF00FF"/>
        <rFont val="Arial"/>
        <family val="2"/>
      </rPr>
      <t>C</t>
    </r>
  </si>
  <si>
    <r>
      <rPr>
        <sz val="10"/>
        <color theme="1"/>
        <rFont val="Arial"/>
        <family val="2"/>
      </rPr>
      <t xml:space="preserve"> 0</t>
    </r>
    <r>
      <rPr>
        <sz val="10"/>
        <color theme="1"/>
        <rFont val="Arial"/>
        <family val="2"/>
      </rPr>
      <t>F</t>
    </r>
  </si>
  <si>
    <t>Approach</t>
  </si>
  <si>
    <t>Calculation sheet - Condenser</t>
  </si>
  <si>
    <t>Condenser Model</t>
  </si>
  <si>
    <t>Blue colour indicate Outputs</t>
  </si>
  <si>
    <t>Entering Water Temp.</t>
  </si>
  <si>
    <r>
      <rPr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</si>
  <si>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>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</t>
    </r>
  </si>
  <si>
    <t>Leaving Water temp.</t>
  </si>
  <si>
    <r>
      <rPr>
        <b/>
        <sz val="10"/>
        <color rgb="FF0000FF"/>
        <rFont val="Arial"/>
        <family val="2"/>
      </rPr>
      <t>0</t>
    </r>
    <r>
      <rPr>
        <b/>
        <sz val="10"/>
        <color rgb="FF0000FF"/>
        <rFont val="Arial"/>
        <family val="2"/>
      </rPr>
      <t>C</t>
    </r>
  </si>
  <si>
    <t>Leving Water temp.</t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</si>
  <si>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F</t>
    </r>
  </si>
  <si>
    <t>Ac</t>
  </si>
  <si>
    <r>
      <rPr>
        <sz val="10"/>
        <color theme="1"/>
        <rFont val="Arial"/>
        <family val="2"/>
      </rPr>
      <t>kcal /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</si>
  <si>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>Btu / ft</t>
    </r>
    <r>
      <rPr>
        <vertAlign val="superscript"/>
        <sz val="10"/>
        <color theme="1"/>
        <rFont val="Arial"/>
        <family val="2"/>
      </rPr>
      <t xml:space="preserve">2 </t>
    </r>
    <r>
      <rPr>
        <sz val="10"/>
        <color theme="1"/>
        <rFont val="Arial"/>
        <family val="2"/>
      </rPr>
      <t>hr</t>
    </r>
    <r>
      <rPr>
        <vertAlign val="superscript"/>
        <sz val="10"/>
        <color theme="1"/>
        <rFont val="Arial"/>
        <family val="2"/>
      </rPr>
      <t xml:space="preserve"> 0</t>
    </r>
    <r>
      <rPr>
        <sz val="10"/>
        <color theme="1"/>
        <rFont val="Arial"/>
        <family val="2"/>
      </rPr>
      <t>F</t>
    </r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</si>
  <si>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</si>
  <si>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r>
      <rPr>
        <sz val="10"/>
        <color theme="1"/>
        <rFont val="Arial"/>
        <family val="2"/>
      </rPr>
      <t>ft</t>
    </r>
    <r>
      <rPr>
        <vertAlign val="superscript"/>
        <sz val="10"/>
        <color theme="1"/>
        <rFont val="Arial"/>
        <family val="2"/>
      </rPr>
      <t xml:space="preserve">2 </t>
    </r>
    <r>
      <rPr>
        <sz val="10"/>
        <color theme="1"/>
        <rFont val="Arial"/>
        <family val="2"/>
      </rPr>
      <t>hr</t>
    </r>
    <r>
      <rPr>
        <vertAlign val="superscript"/>
        <sz val="10"/>
        <color theme="1"/>
        <rFont val="Arial"/>
        <family val="2"/>
      </rPr>
      <t xml:space="preserve"> 0</t>
    </r>
    <r>
      <rPr>
        <sz val="10"/>
        <color theme="1"/>
        <rFont val="Arial"/>
        <family val="2"/>
      </rPr>
      <t>F / Btu</t>
    </r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</si>
  <si>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</si>
  <si>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</si>
  <si>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</si>
  <si>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</si>
  <si>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r>
      <rPr>
        <sz val="10"/>
        <color theme="1"/>
        <rFont val="Arial"/>
        <family val="2"/>
      </rPr>
      <t>kcal /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</si>
  <si>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>Btu / ft</t>
    </r>
    <r>
      <rPr>
        <vertAlign val="superscript"/>
        <sz val="10"/>
        <color theme="1"/>
        <rFont val="Arial"/>
        <family val="2"/>
      </rPr>
      <t xml:space="preserve">2 </t>
    </r>
    <r>
      <rPr>
        <sz val="10"/>
        <color theme="1"/>
        <rFont val="Arial"/>
        <family val="2"/>
      </rPr>
      <t>hr</t>
    </r>
    <r>
      <rPr>
        <vertAlign val="superscript"/>
        <sz val="10"/>
        <color theme="1"/>
        <rFont val="Arial"/>
        <family val="2"/>
      </rPr>
      <t xml:space="preserve"> 0</t>
    </r>
    <r>
      <rPr>
        <sz val="10"/>
        <color theme="1"/>
        <rFont val="Arial"/>
        <family val="2"/>
      </rPr>
      <t>F</t>
    </r>
  </si>
  <si>
    <t>Cc</t>
  </si>
  <si>
    <t>Dc</t>
  </si>
  <si>
    <t>Darcy friction factor</t>
  </si>
  <si>
    <r>
      <rPr>
        <sz val="10"/>
        <color theme="1"/>
        <rFont val="Arial"/>
        <family val="2"/>
      </rPr>
      <t>foot H</t>
    </r>
    <r>
      <rPr>
        <b/>
        <vertAlign val="subscript"/>
        <sz val="10"/>
        <color rgb="FF000000"/>
        <rFont val="Arial"/>
        <family val="2"/>
      </rPr>
      <t>2</t>
    </r>
    <r>
      <rPr>
        <b/>
        <sz val="10"/>
        <color rgb="FF000000"/>
        <rFont val="Arial"/>
        <family val="2"/>
      </rPr>
      <t>O</t>
    </r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</si>
  <si>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</si>
  <si>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</si>
  <si>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</si>
  <si>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b/>
        <sz val="10"/>
        <color rgb="FF0000FF"/>
        <rFont val="Arial"/>
        <family val="2"/>
      </rPr>
      <t xml:space="preserve"> </t>
    </r>
    <r>
      <rPr>
        <b/>
        <vertAlign val="superscript"/>
        <sz val="10"/>
        <color rgb="FF0000FF"/>
        <rFont val="Arial"/>
        <family val="2"/>
      </rPr>
      <t>0</t>
    </r>
    <r>
      <rPr>
        <b/>
        <sz val="10"/>
        <color rgb="FF0000FF"/>
        <rFont val="Arial"/>
        <family val="2"/>
      </rPr>
      <t>C</t>
    </r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</si>
  <si>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F</t>
    </r>
  </si>
  <si>
    <t>refrigerant side heat transfer resistance SUB</t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</si>
  <si>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</si>
  <si>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t>Total heat transfer resistance SUB</t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</si>
  <si>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</si>
  <si>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t>overall heat transfer coefficient SUB</t>
  </si>
  <si>
    <r>
      <rPr>
        <sz val="10"/>
        <color theme="1"/>
        <rFont val="Arial"/>
        <family val="2"/>
      </rPr>
      <t>kcal /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</si>
  <si>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t>Flow rate in single tube</t>
  </si>
  <si>
    <t>cu.m/s</t>
  </si>
  <si>
    <t>Flow rate in subcooler tubes</t>
  </si>
  <si>
    <t>Water mass flow rate in subcooler tubes</t>
  </si>
  <si>
    <t>kg/s</t>
  </si>
  <si>
    <t>Heat Capacity water side</t>
  </si>
  <si>
    <r>
      <rPr>
        <sz val="10"/>
        <color theme="1"/>
        <rFont val="Arial"/>
        <family val="2"/>
      </rPr>
      <t xml:space="preserve">KJ /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</si>
  <si>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t>Heat Capacity refrigerant side</t>
  </si>
  <si>
    <r>
      <rPr>
        <sz val="10"/>
        <color theme="1"/>
        <rFont val="Arial"/>
        <family val="2"/>
      </rPr>
      <t xml:space="preserve">KJ /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</si>
  <si>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t>capacity ratio</t>
  </si>
  <si>
    <t>NTU</t>
  </si>
  <si>
    <t>Effectivness</t>
  </si>
  <si>
    <t>Qmax</t>
  </si>
  <si>
    <t>KW</t>
  </si>
  <si>
    <t>Q</t>
  </si>
  <si>
    <t>T SUBCOOLD LIQUID</t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</si>
  <si>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</si>
  <si>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b/>
        <sz val="10"/>
        <color rgb="FF0000FF"/>
        <rFont val="Calibri"/>
        <family val="2"/>
      </rPr>
      <t>∆</t>
    </r>
    <r>
      <rPr>
        <b/>
        <sz val="10"/>
        <color rgb="FF0000FF"/>
        <rFont val="Arial"/>
        <family val="2"/>
      </rPr>
      <t>T SUBCOOLING</t>
    </r>
  </si>
  <si>
    <r>
      <rPr>
        <b/>
        <sz val="10"/>
        <color rgb="FF0000FF"/>
        <rFont val="Arial"/>
        <family val="2"/>
      </rPr>
      <t xml:space="preserve"> </t>
    </r>
    <r>
      <rPr>
        <b/>
        <vertAlign val="superscript"/>
        <sz val="10"/>
        <color rgb="FF0000FF"/>
        <rFont val="Arial"/>
        <family val="2"/>
      </rPr>
      <t>0</t>
    </r>
    <r>
      <rPr>
        <b/>
        <sz val="10"/>
        <color rgb="FF0000FF"/>
        <rFont val="Arial"/>
        <family val="2"/>
      </rPr>
      <t>C</t>
    </r>
  </si>
  <si>
    <r>
      <rPr>
        <sz val="10"/>
        <color theme="1"/>
        <rFont val="Calibri"/>
        <family val="2"/>
      </rPr>
      <t>∆</t>
    </r>
    <r>
      <rPr>
        <sz val="10"/>
        <color theme="1"/>
        <rFont val="Arial"/>
        <family val="2"/>
      </rPr>
      <t>T SUBCOOLING</t>
    </r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</si>
  <si>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F</t>
    </r>
  </si>
  <si>
    <t xml:space="preserve">  </t>
  </si>
  <si>
    <t>Liquid Cp</t>
  </si>
  <si>
    <t>Saturation Temperature</t>
  </si>
  <si>
    <t>Saturation Pressure</t>
  </si>
  <si>
    <t>Liquid Volume</t>
  </si>
  <si>
    <t>Vapor Volume</t>
  </si>
  <si>
    <t>Liquid Enthalpy</t>
  </si>
  <si>
    <t>Vapor Enthalpy</t>
  </si>
  <si>
    <t>Liquid Entropy</t>
  </si>
  <si>
    <t>Vapor Entropy</t>
  </si>
  <si>
    <t>Vapor Cp</t>
  </si>
  <si>
    <t>°C</t>
  </si>
  <si>
    <t>m³/kg</t>
  </si>
  <si>
    <t>kJ/kg</t>
  </si>
  <si>
    <t>kJ/kg-K</t>
  </si>
  <si>
    <t xml:space="preserve">Flow from frascold </t>
  </si>
  <si>
    <t>Model KWK 390.24S</t>
  </si>
  <si>
    <t>Parameters</t>
  </si>
  <si>
    <t>Unit</t>
  </si>
  <si>
    <t> @ 5 Outlet</t>
  </si>
  <si>
    <t>Capacity</t>
  </si>
  <si>
    <t>TR</t>
  </si>
  <si>
    <t>Power input</t>
  </si>
  <si>
    <t>kw</t>
  </si>
  <si>
    <t>Evaporator Brine Inlet temp</t>
  </si>
  <si>
    <t>Evaporator Brine outlet temp</t>
  </si>
  <si>
    <t>LPM</t>
  </si>
  <si>
    <t>MEG</t>
  </si>
  <si>
    <t> %</t>
  </si>
  <si>
    <t>Model and SS Tube Count</t>
  </si>
  <si>
    <t>E4212 </t>
  </si>
  <si>
    <t>Evapo Number of passes</t>
  </si>
  <si>
    <t>nos</t>
  </si>
  <si>
    <t>Evaporatot Fouling factor</t>
  </si>
  <si>
    <t>m2 k/kw</t>
  </si>
  <si>
    <t>Condenser water Inlet</t>
  </si>
  <si>
    <t>Condenser water outlet</t>
  </si>
  <si>
    <t>Model and Cu:Ni Tube Count</t>
  </si>
  <si>
    <t>C3012</t>
  </si>
  <si>
    <t>Condenser Number of passes</t>
  </si>
  <si>
    <t>Condenser Fouling factor</t>
  </si>
  <si>
    <t> @ -10 Outlet</t>
  </si>
  <si>
    <t>CXW93 912 + CXW93 912</t>
  </si>
  <si>
    <t>CXW93 912+ CXW93 912</t>
  </si>
  <si>
    <t>Model KWK 395.24S</t>
  </si>
  <si>
    <t>C3612</t>
  </si>
  <si>
    <t>CXW93 912+ CXW93 810</t>
  </si>
  <si>
    <t>E2612 </t>
  </si>
  <si>
    <t>C2212</t>
  </si>
  <si>
    <t>Model KWK 380.24S</t>
  </si>
  <si>
    <t>p</t>
  </si>
  <si>
    <t>c</t>
  </si>
  <si>
    <t>f</t>
  </si>
  <si>
    <t>sum</t>
  </si>
  <si>
    <t>Sum</t>
  </si>
  <si>
    <t xml:space="preserve">grams </t>
  </si>
  <si>
    <t>R134a</t>
  </si>
  <si>
    <t>Evaporator capacity [TR]</t>
  </si>
  <si>
    <t>capacity</t>
  </si>
  <si>
    <t>Copressor model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</si>
  <si>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</si>
  <si>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</si>
  <si>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</si>
  <si>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</si>
  <si>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</si>
  <si>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</si>
  <si>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</si>
  <si>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</si>
  <si>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</si>
  <si>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</si>
  <si>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 xml:space="preserve">POWER INPUT </t>
  </si>
  <si>
    <t>s</t>
  </si>
  <si>
    <t xml:space="preserve">d </t>
  </si>
  <si>
    <t>CXHI01-50-199Y</t>
  </si>
  <si>
    <t>CXHI01-60-230Y</t>
  </si>
  <si>
    <t>CXHI01-70-264Y</t>
  </si>
  <si>
    <t>CXHI01-80-298Y</t>
  </si>
  <si>
    <t>CXHI01-90-340Y</t>
  </si>
  <si>
    <t>CXHI01-100-370Y</t>
  </si>
  <si>
    <t>CXHI51-110-398Y</t>
  </si>
  <si>
    <t>CXHI51-125-468Y</t>
  </si>
  <si>
    <t>CXHI51-140-538Y</t>
  </si>
  <si>
    <t>CXHI91-160-620Y</t>
  </si>
  <si>
    <t>CXHI91-180-702Y</t>
  </si>
  <si>
    <t>CXHI91-210-810Y</t>
  </si>
  <si>
    <t>CXHI91-240-912Y</t>
  </si>
  <si>
    <t>CXHI91-280-1000Y</t>
  </si>
  <si>
    <t>CXHI91-310-1085Y</t>
  </si>
  <si>
    <t>CXHI02-70-199Y</t>
  </si>
  <si>
    <t>CXHI02-80-230Y</t>
  </si>
  <si>
    <t>CXHI02-90-264Y</t>
  </si>
  <si>
    <t>CXHI02-100-298Y</t>
  </si>
  <si>
    <t>CXHI02-120-340Y</t>
  </si>
  <si>
    <t>CXHI52-110-316Y</t>
  </si>
  <si>
    <t>CXHI52-125-372Y</t>
  </si>
  <si>
    <t>CXHI52-140-428Y</t>
  </si>
  <si>
    <t>CXHI52-160-468Y</t>
  </si>
  <si>
    <t>CXHI52-180-538Y</t>
  </si>
  <si>
    <t>CXHI92-180-545Y</t>
  </si>
  <si>
    <t>CXHI92-210-620Y</t>
  </si>
  <si>
    <t>CXHI92-240-702Y</t>
  </si>
  <si>
    <t>CXHI92-280-810Y</t>
  </si>
  <si>
    <t>CXHI92-300-912Y</t>
  </si>
  <si>
    <t>CXHI92-310-1000Y</t>
  </si>
  <si>
    <t>KXH01-50-230Y</t>
  </si>
  <si>
    <t>KXH01-60-264Y</t>
  </si>
  <si>
    <t>KXH01-70-298Y</t>
  </si>
  <si>
    <t>KXH01-80-340Y</t>
  </si>
  <si>
    <t>KXH01-90-370Y</t>
  </si>
  <si>
    <t>KXH51-100-428Y</t>
  </si>
  <si>
    <t>KXH51-110-468Y</t>
  </si>
  <si>
    <t>KXH51-125-538Y</t>
  </si>
  <si>
    <t>KXH91-140-620Y</t>
  </si>
  <si>
    <t>KXH91-160-702Y</t>
  </si>
  <si>
    <t>KXH91-180-810Y</t>
  </si>
  <si>
    <t>KXH91-210-912Y</t>
  </si>
  <si>
    <t>KXH91-240-1000Y</t>
  </si>
  <si>
    <t>KXH91-280-1085Y</t>
  </si>
  <si>
    <t>KXH02-50-199Y</t>
  </si>
  <si>
    <t>KXHI01-50-230Y</t>
  </si>
  <si>
    <t>KXHI01-60-264Y</t>
  </si>
  <si>
    <t>KXHI01-70-298Y</t>
  </si>
  <si>
    <t>KXHI01-80-340Y</t>
  </si>
  <si>
    <t>KXHI01-90-370Y</t>
  </si>
  <si>
    <t>KXHI51-100-428Y</t>
  </si>
  <si>
    <t>KXHI51-110-468Y</t>
  </si>
  <si>
    <t>KXHI51-125-538Y</t>
  </si>
  <si>
    <t>KXHI91-140-620Y</t>
  </si>
  <si>
    <t>KXHI91-160-702Y</t>
  </si>
  <si>
    <t>KXHI91-180-810Y</t>
  </si>
  <si>
    <t>KXHI91-210-912Y</t>
  </si>
  <si>
    <t>KXHI91-240-1000Y</t>
  </si>
  <si>
    <t>KXHI91-280-1085Y</t>
  </si>
  <si>
    <t>KXHI02-50-199Y</t>
  </si>
  <si>
    <t>Series Name</t>
  </si>
  <si>
    <t>Evaporator Capacity(tonR)</t>
  </si>
  <si>
    <t>No. of Passes</t>
  </si>
  <si>
    <t>Cu Tube Counts</t>
  </si>
  <si>
    <t>Count name</t>
  </si>
  <si>
    <t>SS Tube Count</t>
  </si>
  <si>
    <t>Ti Tube Count</t>
  </si>
  <si>
    <t>No. Of Tubes in Subcooling</t>
  </si>
  <si>
    <t>SS Tube Counts</t>
  </si>
  <si>
    <t>Ti Tube Counts</t>
  </si>
  <si>
    <t>No of tubes in subcooling</t>
  </si>
  <si>
    <t>KWK, KWI (R134a/R1234Ze)</t>
  </si>
  <si>
    <t>E2209</t>
  </si>
  <si>
    <t>E2409</t>
  </si>
  <si>
    <t>B</t>
  </si>
  <si>
    <t>C1809</t>
  </si>
  <si>
    <t>C2009</t>
  </si>
  <si>
    <t>E2412</t>
  </si>
  <si>
    <t>C1812</t>
  </si>
  <si>
    <t>E2612</t>
  </si>
  <si>
    <t>C2012</t>
  </si>
  <si>
    <t>E2212</t>
  </si>
  <si>
    <t>E3012</t>
  </si>
  <si>
    <t>E</t>
  </si>
  <si>
    <t>C2612</t>
  </si>
  <si>
    <t>E3612</t>
  </si>
  <si>
    <t>F</t>
  </si>
  <si>
    <t>E4212</t>
  </si>
  <si>
    <t>E4812</t>
  </si>
  <si>
    <t>C4212</t>
  </si>
  <si>
    <t>KCM (R134a)</t>
  </si>
  <si>
    <t>E1809</t>
  </si>
  <si>
    <t>C1609</t>
  </si>
  <si>
    <t>E2009</t>
  </si>
  <si>
    <t>C2209</t>
  </si>
  <si>
    <t>E2609</t>
  </si>
  <si>
    <t>KCM (R1234Ze)</t>
  </si>
  <si>
    <t xml:space="preserve"> Capacity(tonR)</t>
  </si>
  <si>
    <t>1. AHRI RELEIF</t>
  </si>
  <si>
    <t>COP (SI)</t>
  </si>
  <si>
    <t>ikW/TR (IP)</t>
  </si>
  <si>
    <t>Cap inTR</t>
  </si>
  <si>
    <t>CAP IN KW</t>
  </si>
  <si>
    <t>power in KW</t>
  </si>
  <si>
    <t>sat temp evp</t>
  </si>
  <si>
    <t>sat temp cond</t>
  </si>
  <si>
    <t>% load</t>
  </si>
  <si>
    <t>Eva Inlet</t>
  </si>
  <si>
    <t>Eva Outlet</t>
  </si>
  <si>
    <t>cond outlet</t>
  </si>
  <si>
    <t>Cond Inlet</t>
  </si>
  <si>
    <t>NPLV.IP</t>
  </si>
  <si>
    <t>% Load</t>
  </si>
  <si>
    <t>ikW/TR</t>
  </si>
  <si>
    <t>App Ev</t>
  </si>
  <si>
    <t>App Cond</t>
  </si>
  <si>
    <t>NPLV. SI</t>
  </si>
  <si>
    <t>Delta Eva</t>
  </si>
  <si>
    <t>Delta Cond</t>
  </si>
  <si>
    <t>Y10</t>
  </si>
  <si>
    <t>Y9</t>
  </si>
  <si>
    <t>Y8</t>
  </si>
  <si>
    <t>Y7</t>
  </si>
  <si>
    <t>Y6</t>
  </si>
  <si>
    <t>Y5</t>
  </si>
  <si>
    <t>Y4</t>
  </si>
  <si>
    <t>Y3</t>
  </si>
  <si>
    <t>Y2</t>
  </si>
  <si>
    <t>Y1</t>
  </si>
  <si>
    <t>X10</t>
  </si>
  <si>
    <t>X9</t>
  </si>
  <si>
    <t>X8</t>
  </si>
  <si>
    <t>X7</t>
  </si>
  <si>
    <t>X6</t>
  </si>
  <si>
    <t>X5</t>
  </si>
  <si>
    <t>X4</t>
  </si>
  <si>
    <t>X3</t>
  </si>
  <si>
    <t>X2</t>
  </si>
  <si>
    <t>X1</t>
  </si>
  <si>
    <t>W10</t>
  </si>
  <si>
    <t>W9</t>
  </si>
  <si>
    <t>W8</t>
  </si>
  <si>
    <t>W7</t>
  </si>
  <si>
    <t>W6</t>
  </si>
  <si>
    <t>W5</t>
  </si>
  <si>
    <t>W4</t>
  </si>
  <si>
    <t>W3</t>
  </si>
  <si>
    <t>W2</t>
  </si>
  <si>
    <t>W1</t>
  </si>
  <si>
    <t>V10</t>
  </si>
  <si>
    <t>V9</t>
  </si>
  <si>
    <t>V8</t>
  </si>
  <si>
    <t>V7</t>
  </si>
  <si>
    <t>V6</t>
  </si>
  <si>
    <t>V5</t>
  </si>
  <si>
    <t>V4</t>
  </si>
  <si>
    <t>V3</t>
  </si>
  <si>
    <t>V2</t>
  </si>
  <si>
    <t>V1</t>
  </si>
  <si>
    <t>U10</t>
  </si>
  <si>
    <t>U9</t>
  </si>
  <si>
    <t>U8</t>
  </si>
  <si>
    <t>U7</t>
  </si>
  <si>
    <t>U6</t>
  </si>
  <si>
    <t>U5</t>
  </si>
  <si>
    <t>U4</t>
  </si>
  <si>
    <t>U3</t>
  </si>
  <si>
    <t>U2</t>
  </si>
  <si>
    <t>U1</t>
  </si>
  <si>
    <t>T10</t>
  </si>
  <si>
    <t>T9</t>
  </si>
  <si>
    <t>T8</t>
  </si>
  <si>
    <t>T7</t>
  </si>
  <si>
    <t>T6</t>
  </si>
  <si>
    <t>T5</t>
  </si>
  <si>
    <t>T4</t>
  </si>
  <si>
    <t>T3</t>
  </si>
  <si>
    <t>T2</t>
  </si>
  <si>
    <t>T1</t>
  </si>
  <si>
    <t>S10</t>
  </si>
  <si>
    <t>S9</t>
  </si>
  <si>
    <t>S8</t>
  </si>
  <si>
    <t>S7</t>
  </si>
  <si>
    <t>S6</t>
  </si>
  <si>
    <t>S5</t>
  </si>
  <si>
    <t>S4</t>
  </si>
  <si>
    <t>S3</t>
  </si>
  <si>
    <t>S2</t>
  </si>
  <si>
    <t>S1</t>
  </si>
  <si>
    <t>R10</t>
  </si>
  <si>
    <t>R9</t>
  </si>
  <si>
    <t>R8</t>
  </si>
  <si>
    <t>R7</t>
  </si>
  <si>
    <t>R6</t>
  </si>
  <si>
    <t>R5</t>
  </si>
  <si>
    <t>R4</t>
  </si>
  <si>
    <t>R3</t>
  </si>
  <si>
    <t>R1</t>
  </si>
  <si>
    <t>Q10</t>
  </si>
  <si>
    <t>Q9</t>
  </si>
  <si>
    <t>Q8</t>
  </si>
  <si>
    <t>Q7</t>
  </si>
  <si>
    <t>Q6</t>
  </si>
  <si>
    <t>Q5</t>
  </si>
  <si>
    <t>Q4</t>
  </si>
  <si>
    <t>Q3</t>
  </si>
  <si>
    <t>Q2</t>
  </si>
  <si>
    <t>Q1</t>
  </si>
  <si>
    <t>P10</t>
  </si>
  <si>
    <t>P9</t>
  </si>
  <si>
    <t>P8</t>
  </si>
  <si>
    <t>P7</t>
  </si>
  <si>
    <t>P6</t>
  </si>
  <si>
    <t>P5</t>
  </si>
  <si>
    <t>P4</t>
  </si>
  <si>
    <t>P3</t>
  </si>
  <si>
    <t>P2</t>
  </si>
  <si>
    <t>P1</t>
  </si>
  <si>
    <t>O10</t>
  </si>
  <si>
    <t>O9</t>
  </si>
  <si>
    <t>O8</t>
  </si>
  <si>
    <t>O7</t>
  </si>
  <si>
    <t>O6</t>
  </si>
  <si>
    <t>O5</t>
  </si>
  <si>
    <t>O4</t>
  </si>
  <si>
    <t>O3</t>
  </si>
  <si>
    <t>O2</t>
  </si>
  <si>
    <t>O1</t>
  </si>
  <si>
    <t>N10</t>
  </si>
  <si>
    <t>N9</t>
  </si>
  <si>
    <t>N8</t>
  </si>
  <si>
    <t>N7</t>
  </si>
  <si>
    <t>N6</t>
  </si>
  <si>
    <t>N5</t>
  </si>
  <si>
    <t>N4</t>
  </si>
  <si>
    <t>E4812-C</t>
  </si>
  <si>
    <t>N3</t>
  </si>
  <si>
    <t>E4812-B</t>
  </si>
  <si>
    <t>N2</t>
  </si>
  <si>
    <t>E4812-A</t>
  </si>
  <si>
    <t>N1</t>
  </si>
  <si>
    <t>E01</t>
  </si>
  <si>
    <t>E1809-D</t>
  </si>
  <si>
    <t>M10</t>
  </si>
  <si>
    <t>E02</t>
  </si>
  <si>
    <t>E1809-C</t>
  </si>
  <si>
    <t>M9</t>
  </si>
  <si>
    <t>E03</t>
  </si>
  <si>
    <t>E1809-B</t>
  </si>
  <si>
    <t>M8</t>
  </si>
  <si>
    <t>E04</t>
  </si>
  <si>
    <t>E1809-A</t>
  </si>
  <si>
    <t>M7</t>
  </si>
  <si>
    <t>E05</t>
  </si>
  <si>
    <t>E2009-D</t>
  </si>
  <si>
    <t>M6</t>
  </si>
  <si>
    <t>E06</t>
  </si>
  <si>
    <t>E2009-C</t>
  </si>
  <si>
    <t>M5</t>
  </si>
  <si>
    <t>E07</t>
  </si>
  <si>
    <t>E2009-B</t>
  </si>
  <si>
    <t>M4</t>
  </si>
  <si>
    <t>E08</t>
  </si>
  <si>
    <t>E2009-A</t>
  </si>
  <si>
    <t>M3</t>
  </si>
  <si>
    <t>E09</t>
  </si>
  <si>
    <t>E2209-D</t>
  </si>
  <si>
    <t>M2</t>
  </si>
  <si>
    <t>E10</t>
  </si>
  <si>
    <t>E2209-C</t>
  </si>
  <si>
    <t>M1</t>
  </si>
  <si>
    <t>E11</t>
  </si>
  <si>
    <t>E2209-B</t>
  </si>
  <si>
    <t>L10</t>
  </si>
  <si>
    <t>E12</t>
  </si>
  <si>
    <t>E2209-A</t>
  </si>
  <si>
    <t>L9</t>
  </si>
  <si>
    <t>E13</t>
  </si>
  <si>
    <t>E2212-D</t>
  </si>
  <si>
    <t>L8</t>
  </si>
  <si>
    <t>E14</t>
  </si>
  <si>
    <t>E2212-C</t>
  </si>
  <si>
    <t>L7</t>
  </si>
  <si>
    <t>E15</t>
  </si>
  <si>
    <t>L6</t>
  </si>
  <si>
    <t>E16</t>
  </si>
  <si>
    <t>E2212-A</t>
  </si>
  <si>
    <t>L5</t>
  </si>
  <si>
    <t>E17</t>
  </si>
  <si>
    <t>E2409-D</t>
  </si>
  <si>
    <t>L4</t>
  </si>
  <si>
    <t>E18</t>
  </si>
  <si>
    <t>E2409-C</t>
  </si>
  <si>
    <t>L3</t>
  </si>
  <si>
    <t>E19</t>
  </si>
  <si>
    <t>E2409-B</t>
  </si>
  <si>
    <t>L2</t>
  </si>
  <si>
    <t>E20</t>
  </si>
  <si>
    <t>E2409-A</t>
  </si>
  <si>
    <t>L1</t>
  </si>
  <si>
    <t>E21</t>
  </si>
  <si>
    <t>E2412-D</t>
  </si>
  <si>
    <t>k10</t>
  </si>
  <si>
    <t>E22</t>
  </si>
  <si>
    <t>E2412-C</t>
  </si>
  <si>
    <t>k9</t>
  </si>
  <si>
    <t>E23</t>
  </si>
  <si>
    <t>E2412-B</t>
  </si>
  <si>
    <t>k8</t>
  </si>
  <si>
    <t>E24</t>
  </si>
  <si>
    <t>E2412-A</t>
  </si>
  <si>
    <t>k7</t>
  </si>
  <si>
    <t>E25</t>
  </si>
  <si>
    <t>E2609-D</t>
  </si>
  <si>
    <t>k6</t>
  </si>
  <si>
    <t>E26</t>
  </si>
  <si>
    <t>E2609-C</t>
  </si>
  <si>
    <t>k5</t>
  </si>
  <si>
    <t>E27</t>
  </si>
  <si>
    <t>E2609-B</t>
  </si>
  <si>
    <t>k4</t>
  </si>
  <si>
    <t>E28</t>
  </si>
  <si>
    <t>E2609-A</t>
  </si>
  <si>
    <t>k3</t>
  </si>
  <si>
    <t>E29</t>
  </si>
  <si>
    <t>E2612-D</t>
  </si>
  <si>
    <t>k2</t>
  </si>
  <si>
    <t>E30</t>
  </si>
  <si>
    <t>E2612-C</t>
  </si>
  <si>
    <t>k1</t>
  </si>
  <si>
    <t>E31</t>
  </si>
  <si>
    <t>E2612-B</t>
  </si>
  <si>
    <t>J10</t>
  </si>
  <si>
    <t>C-4212-C</t>
  </si>
  <si>
    <t>E32</t>
  </si>
  <si>
    <t>E2612-A</t>
  </si>
  <si>
    <t>J9</t>
  </si>
  <si>
    <t>C-4212-B</t>
  </si>
  <si>
    <t>E3012-E</t>
  </si>
  <si>
    <t>J8</t>
  </si>
  <si>
    <t>C75</t>
  </si>
  <si>
    <t>C1409-B</t>
  </si>
  <si>
    <t>E33</t>
  </si>
  <si>
    <t>E3012-D</t>
  </si>
  <si>
    <t>J7</t>
  </si>
  <si>
    <t>C72</t>
  </si>
  <si>
    <t>C1206-B</t>
  </si>
  <si>
    <t>E34</t>
  </si>
  <si>
    <t>E3012-C</t>
  </si>
  <si>
    <t>J6</t>
  </si>
  <si>
    <t>C01</t>
  </si>
  <si>
    <t>C1609-D</t>
  </si>
  <si>
    <t>E35</t>
  </si>
  <si>
    <t>E3012-B</t>
  </si>
  <si>
    <t>J5</t>
  </si>
  <si>
    <t>C02</t>
  </si>
  <si>
    <t>C1609-C</t>
  </si>
  <si>
    <t>E36</t>
  </si>
  <si>
    <t>E3012-A</t>
  </si>
  <si>
    <t>J4</t>
  </si>
  <si>
    <t>C03</t>
  </si>
  <si>
    <t>137/98</t>
  </si>
  <si>
    <t>C1609-B</t>
  </si>
  <si>
    <t>E-3612-E</t>
  </si>
  <si>
    <t>J3</t>
  </si>
  <si>
    <t>C04</t>
  </si>
  <si>
    <t>C1609-A</t>
  </si>
  <si>
    <t>E37</t>
  </si>
  <si>
    <t>E3612-D</t>
  </si>
  <si>
    <t>J2</t>
  </si>
  <si>
    <t>C05</t>
  </si>
  <si>
    <t>C1809-D</t>
  </si>
  <si>
    <t>E38</t>
  </si>
  <si>
    <t>E3612-C</t>
  </si>
  <si>
    <t>J1</t>
  </si>
  <si>
    <t>C06</t>
  </si>
  <si>
    <t>C1809-C</t>
  </si>
  <si>
    <t>E39</t>
  </si>
  <si>
    <t>E3612-B</t>
  </si>
  <si>
    <t>I10</t>
  </si>
  <si>
    <t>C07</t>
  </si>
  <si>
    <t>C1809-B</t>
  </si>
  <si>
    <t>E40</t>
  </si>
  <si>
    <t>E3612-A</t>
  </si>
  <si>
    <t>I9</t>
  </si>
  <si>
    <t>C08</t>
  </si>
  <si>
    <t>C1809-A</t>
  </si>
  <si>
    <t>E41</t>
  </si>
  <si>
    <t>E4212-D</t>
  </si>
  <si>
    <t>I8</t>
  </si>
  <si>
    <t>C09</t>
  </si>
  <si>
    <t>C1812-D</t>
  </si>
  <si>
    <t>E42</t>
  </si>
  <si>
    <t>E4212-C</t>
  </si>
  <si>
    <t>I7</t>
  </si>
  <si>
    <t>C1812-C</t>
  </si>
  <si>
    <t>E43</t>
  </si>
  <si>
    <t>E4212-B</t>
  </si>
  <si>
    <t>I6</t>
  </si>
  <si>
    <t>IPLV/NPLV.IP</t>
  </si>
  <si>
    <t>C11</t>
  </si>
  <si>
    <t>E44</t>
  </si>
  <si>
    <t>E4212-A</t>
  </si>
  <si>
    <t>I5</t>
  </si>
  <si>
    <t>C12</t>
  </si>
  <si>
    <t>C1812-A</t>
  </si>
  <si>
    <t>D04</t>
  </si>
  <si>
    <t>D1209-A</t>
  </si>
  <si>
    <t>I4</t>
  </si>
  <si>
    <t>C13</t>
  </si>
  <si>
    <t>C2009-D</t>
  </si>
  <si>
    <t>D03</t>
  </si>
  <si>
    <t>D1209-B</t>
  </si>
  <si>
    <t>I3</t>
  </si>
  <si>
    <t>C14</t>
  </si>
  <si>
    <t>C2009-C</t>
  </si>
  <si>
    <t>D01</t>
  </si>
  <si>
    <t>D1206-B</t>
  </si>
  <si>
    <t>I2</t>
  </si>
  <si>
    <t>C15</t>
  </si>
  <si>
    <t>192/212</t>
  </si>
  <si>
    <t>C2009-B</t>
  </si>
  <si>
    <t>D02</t>
  </si>
  <si>
    <t>D1206-A</t>
  </si>
  <si>
    <t>I1</t>
  </si>
  <si>
    <t>C16</t>
  </si>
  <si>
    <t>C2009-A</t>
  </si>
  <si>
    <t>D07</t>
  </si>
  <si>
    <t>D1409-C</t>
  </si>
  <si>
    <t>H10</t>
  </si>
  <si>
    <t>C17</t>
  </si>
  <si>
    <t>C2012-D</t>
  </si>
  <si>
    <t>D05</t>
  </si>
  <si>
    <t>D1406-C</t>
  </si>
  <si>
    <t>H9</t>
  </si>
  <si>
    <t>C18</t>
  </si>
  <si>
    <t>C2012-C</t>
  </si>
  <si>
    <t>D06</t>
  </si>
  <si>
    <t>D1406-B</t>
  </si>
  <si>
    <t>H8</t>
  </si>
  <si>
    <t>C19</t>
  </si>
  <si>
    <t>C2012-B</t>
  </si>
  <si>
    <t>D08</t>
  </si>
  <si>
    <t>D1409-B</t>
  </si>
  <si>
    <t>H7</t>
  </si>
  <si>
    <t>C20</t>
  </si>
  <si>
    <t>C2012-A</t>
  </si>
  <si>
    <t>D09</t>
  </si>
  <si>
    <t>D1609-D</t>
  </si>
  <si>
    <t>H6</t>
  </si>
  <si>
    <t>C21</t>
  </si>
  <si>
    <t>C2209-D</t>
  </si>
  <si>
    <t>D10</t>
  </si>
  <si>
    <t>D1609-C</t>
  </si>
  <si>
    <t>H5</t>
  </si>
  <si>
    <t>C22</t>
  </si>
  <si>
    <t>C2209-C</t>
  </si>
  <si>
    <t>D11</t>
  </si>
  <si>
    <t>D1609-B</t>
  </si>
  <si>
    <t>H4</t>
  </si>
  <si>
    <t>C23</t>
  </si>
  <si>
    <t>C2209-B</t>
  </si>
  <si>
    <t>D12</t>
  </si>
  <si>
    <t>D1609-A</t>
  </si>
  <si>
    <t>H3</t>
  </si>
  <si>
    <t>Power in kW</t>
  </si>
  <si>
    <t xml:space="preserve">Capacity in TR </t>
  </si>
  <si>
    <t xml:space="preserve">% Load </t>
  </si>
  <si>
    <t>C24</t>
  </si>
  <si>
    <t>C2209-A</t>
  </si>
  <si>
    <t>D13</t>
  </si>
  <si>
    <t>D1809-D</t>
  </si>
  <si>
    <t>H2</t>
  </si>
  <si>
    <t xml:space="preserve">Part load performance </t>
  </si>
  <si>
    <t>C25</t>
  </si>
  <si>
    <t>C2212-D</t>
  </si>
  <si>
    <t>D14</t>
  </si>
  <si>
    <t>D1809-C</t>
  </si>
  <si>
    <t>H1</t>
  </si>
  <si>
    <t>CCWET</t>
  </si>
  <si>
    <t>C26</t>
  </si>
  <si>
    <t>C2212-C</t>
  </si>
  <si>
    <t>D15</t>
  </si>
  <si>
    <t>D1809-B</t>
  </si>
  <si>
    <t>G10</t>
  </si>
  <si>
    <t xml:space="preserve"> EVAPORATOR tube material</t>
  </si>
  <si>
    <t>C27</t>
  </si>
  <si>
    <t>C2212-B</t>
  </si>
  <si>
    <t>D16</t>
  </si>
  <si>
    <t>D1809-A</t>
  </si>
  <si>
    <t>G9</t>
  </si>
  <si>
    <t xml:space="preserve"> CONDENSER  tube material </t>
  </si>
  <si>
    <t>C28</t>
  </si>
  <si>
    <t>C2212-A</t>
  </si>
  <si>
    <t>D17</t>
  </si>
  <si>
    <t>D2009-D</t>
  </si>
  <si>
    <t>G8</t>
  </si>
  <si>
    <t>C29</t>
  </si>
  <si>
    <t>C2612-D</t>
  </si>
  <si>
    <t>D18</t>
  </si>
  <si>
    <t>D2009-C</t>
  </si>
  <si>
    <t>G7</t>
  </si>
  <si>
    <t>G6</t>
  </si>
  <si>
    <t>G5</t>
  </si>
  <si>
    <t>G4</t>
  </si>
  <si>
    <t>G3</t>
  </si>
  <si>
    <t>G2</t>
  </si>
  <si>
    <t>G1</t>
  </si>
  <si>
    <t>F10</t>
  </si>
  <si>
    <t>C32</t>
  </si>
  <si>
    <t>C2612-A</t>
  </si>
  <si>
    <t>D21</t>
  </si>
  <si>
    <t>D2012-D</t>
  </si>
  <si>
    <t>F9</t>
  </si>
  <si>
    <t>F8</t>
  </si>
  <si>
    <t>F7</t>
  </si>
  <si>
    <t>F6</t>
  </si>
  <si>
    <t>C33</t>
  </si>
  <si>
    <t>C3012-D</t>
  </si>
  <si>
    <t>D22</t>
  </si>
  <si>
    <t>D2012-C</t>
  </si>
  <si>
    <t>F5</t>
  </si>
  <si>
    <t>C34</t>
  </si>
  <si>
    <t>C3012-C</t>
  </si>
  <si>
    <t>D23</t>
  </si>
  <si>
    <t>D2012-B</t>
  </si>
  <si>
    <t>F4</t>
  </si>
  <si>
    <t>C35</t>
  </si>
  <si>
    <t>C3012-B</t>
  </si>
  <si>
    <t>D24</t>
  </si>
  <si>
    <t>D2012-A</t>
  </si>
  <si>
    <t>F3</t>
  </si>
  <si>
    <t>AHRIF</t>
  </si>
  <si>
    <t>C36</t>
  </si>
  <si>
    <t>C3012-A</t>
  </si>
  <si>
    <t>D25</t>
  </si>
  <si>
    <t>D2212-D</t>
  </si>
  <si>
    <t>F2</t>
  </si>
  <si>
    <t>m2 k/kW</t>
  </si>
  <si>
    <t>C37</t>
  </si>
  <si>
    <t>C3612-D</t>
  </si>
  <si>
    <t>D26</t>
  </si>
  <si>
    <t>D2212-C</t>
  </si>
  <si>
    <t>F1</t>
  </si>
  <si>
    <t>C38</t>
  </si>
  <si>
    <t>C3612-C</t>
  </si>
  <si>
    <t>D27</t>
  </si>
  <si>
    <t>D2212-B</t>
  </si>
  <si>
    <t>B10</t>
  </si>
  <si>
    <t>Model and Cu Tube Count</t>
  </si>
  <si>
    <t>C39</t>
  </si>
  <si>
    <t>C3612-B</t>
  </si>
  <si>
    <t>D28</t>
  </si>
  <si>
    <t>D2212-A</t>
  </si>
  <si>
    <t>B9</t>
  </si>
  <si>
    <t>%</t>
  </si>
  <si>
    <t>C40</t>
  </si>
  <si>
    <t>C3612-A</t>
  </si>
  <si>
    <t>D2212-F</t>
  </si>
  <si>
    <t>B8</t>
  </si>
  <si>
    <t>C71</t>
  </si>
  <si>
    <t>C1206-A</t>
  </si>
  <si>
    <t>D29</t>
  </si>
  <si>
    <t>D2412-D</t>
  </si>
  <si>
    <t>B7</t>
  </si>
  <si>
    <t>C74</t>
  </si>
  <si>
    <t>C1209-A</t>
  </si>
  <si>
    <t>D30</t>
  </si>
  <si>
    <t>D2412-C</t>
  </si>
  <si>
    <t>B6</t>
  </si>
  <si>
    <t>C73</t>
  </si>
  <si>
    <t>C1209-B</t>
  </si>
  <si>
    <t>D31</t>
  </si>
  <si>
    <t>D2412-B</t>
  </si>
  <si>
    <t>B5</t>
  </si>
  <si>
    <t>Evaporator Fouling factor</t>
  </si>
  <si>
    <t>C76</t>
  </si>
  <si>
    <t>C1409-A</t>
  </si>
  <si>
    <t>D32</t>
  </si>
  <si>
    <t>D2412-A</t>
  </si>
  <si>
    <t>B4</t>
  </si>
  <si>
    <t>C80</t>
  </si>
  <si>
    <t>C1209-B and C1209-B</t>
  </si>
  <si>
    <t>D33</t>
  </si>
  <si>
    <t>D2612-D</t>
  </si>
  <si>
    <t>B3</t>
  </si>
  <si>
    <t>C81</t>
  </si>
  <si>
    <t>C1209-A and C1209-B</t>
  </si>
  <si>
    <t>D34</t>
  </si>
  <si>
    <t>D2612-C</t>
  </si>
  <si>
    <t>B2</t>
  </si>
  <si>
    <t>C82</t>
  </si>
  <si>
    <t>C1209-A and C1209-A</t>
  </si>
  <si>
    <t>D35</t>
  </si>
  <si>
    <t>D2612-B</t>
  </si>
  <si>
    <t>B1</t>
  </si>
  <si>
    <t>C83</t>
  </si>
  <si>
    <t>C1409-A and C1409-A</t>
  </si>
  <si>
    <t>D36</t>
  </si>
  <si>
    <t>D2612-A</t>
  </si>
  <si>
    <t>A10</t>
  </si>
  <si>
    <t>Evaporator outlet temp</t>
  </si>
  <si>
    <t>C84</t>
  </si>
  <si>
    <t>C1412-A and C1412-A</t>
  </si>
  <si>
    <t>E51</t>
  </si>
  <si>
    <t>A9</t>
  </si>
  <si>
    <t>Evaporator Inlet temp</t>
  </si>
  <si>
    <t>C85</t>
  </si>
  <si>
    <t>C1612-D and C1612-D</t>
  </si>
  <si>
    <t>D51</t>
  </si>
  <si>
    <t>D1809-E</t>
  </si>
  <si>
    <t>A8</t>
  </si>
  <si>
    <t>kW</t>
  </si>
  <si>
    <t>C86</t>
  </si>
  <si>
    <t>C1612-C and C1612-C</t>
  </si>
  <si>
    <t>D52</t>
  </si>
  <si>
    <t>D1809-F</t>
  </si>
  <si>
    <t>A7</t>
  </si>
  <si>
    <t>Cooling/Heating Capacity</t>
  </si>
  <si>
    <t>C87</t>
  </si>
  <si>
    <t>C1612-C and C1612-D</t>
  </si>
  <si>
    <t>D53</t>
  </si>
  <si>
    <t>D2012-E</t>
  </si>
  <si>
    <t>A6</t>
  </si>
  <si>
    <t>C88</t>
  </si>
  <si>
    <t>C1612-B and C1612-B</t>
  </si>
  <si>
    <t>D54</t>
  </si>
  <si>
    <t>A5</t>
  </si>
  <si>
    <t xml:space="preserve">Compressore </t>
  </si>
  <si>
    <t>A4</t>
  </si>
  <si>
    <t xml:space="preserve">Model </t>
  </si>
  <si>
    <t>C89</t>
  </si>
  <si>
    <t>C1612-A and C1612-A</t>
  </si>
  <si>
    <t>D55</t>
  </si>
  <si>
    <t>D1812-B</t>
  </si>
  <si>
    <t>A3</t>
  </si>
  <si>
    <t>C51</t>
  </si>
  <si>
    <t>C3012-E</t>
  </si>
  <si>
    <t>D56</t>
  </si>
  <si>
    <t>D1812-A</t>
  </si>
  <si>
    <t>A2</t>
  </si>
  <si>
    <t>C52</t>
  </si>
  <si>
    <t>C3012-F</t>
  </si>
  <si>
    <t>A1</t>
  </si>
  <si>
    <t>CON ID</t>
  </si>
  <si>
    <t>CON MODEL</t>
  </si>
  <si>
    <t>EVAP ID</t>
  </si>
  <si>
    <t>EVAP MODEL</t>
  </si>
  <si>
    <t>NPLV. IP</t>
  </si>
  <si>
    <t>NPLV</t>
  </si>
  <si>
    <t xml:space="preserve">Date : </t>
  </si>
  <si>
    <t xml:space="preserve"> =(2*(30-19)*(0.75-0.5))+19</t>
  </si>
  <si>
    <t>DESIGN</t>
  </si>
  <si>
    <t>AHRI RELIEF</t>
  </si>
  <si>
    <t>For CCWET we not Provide NPLV Values</t>
  </si>
  <si>
    <t>C2612-C</t>
  </si>
  <si>
    <t>C2612-B</t>
  </si>
  <si>
    <t>Copper (Cu)</t>
  </si>
  <si>
    <t>KXI01-50-230Y</t>
  </si>
  <si>
    <t>KXI01-70-298Y</t>
  </si>
  <si>
    <t>KXI01-80-340Y</t>
  </si>
  <si>
    <t>KXI01-90-370Y</t>
  </si>
  <si>
    <t>KXI51-100-428Y</t>
  </si>
  <si>
    <t>KXI51-110-468Y</t>
  </si>
  <si>
    <t>KXI51-125-538Y</t>
  </si>
  <si>
    <t>KXI91-140-620Y</t>
  </si>
  <si>
    <t>KXI91-160-702Y</t>
  </si>
  <si>
    <t>KXI91-180-810Y</t>
  </si>
  <si>
    <t>KXI91-210-912Y</t>
  </si>
  <si>
    <t>KXI91-240-1000Y</t>
  </si>
  <si>
    <t>KXI91-280-1085Y</t>
  </si>
  <si>
    <t>KXI02-50-199Y</t>
  </si>
  <si>
    <t>key</t>
  </si>
  <si>
    <t>refcap_C1</t>
  </si>
  <si>
    <t>refcap_C2</t>
  </si>
  <si>
    <t>refcap_C3</t>
  </si>
  <si>
    <t>refcap_C4</t>
  </si>
  <si>
    <t>refcap_C5</t>
  </si>
  <si>
    <t>refcap_C6</t>
  </si>
  <si>
    <t>refcap_C7</t>
  </si>
  <si>
    <t>refcap_C8</t>
  </si>
  <si>
    <t>refcap_C9</t>
  </si>
  <si>
    <t>refcap_C10</t>
  </si>
  <si>
    <t>powads_C1</t>
  </si>
  <si>
    <t>powads_C2</t>
  </si>
  <si>
    <t>powads_C3</t>
  </si>
  <si>
    <t>powads_C4</t>
  </si>
  <si>
    <t>powads_C5</t>
  </si>
  <si>
    <t>powads_C6</t>
  </si>
  <si>
    <t>powads_C7</t>
  </si>
  <si>
    <t>powads_C8</t>
  </si>
  <si>
    <t>powads_C9</t>
  </si>
  <si>
    <t>powads_C10</t>
  </si>
  <si>
    <t>Frequency variation coefficient (for all the sizes)</t>
  </si>
  <si>
    <t>f0</t>
  </si>
  <si>
    <t>Hz</t>
  </si>
  <si>
    <t>Nominal motor frequency</t>
  </si>
  <si>
    <t>Working frequency</t>
  </si>
  <si>
    <t>S (Te)</t>
  </si>
  <si>
    <t>Evaporating temperature</t>
  </si>
  <si>
    <t>D (Tc)</t>
  </si>
  <si>
    <t>Condensing temperature</t>
  </si>
  <si>
    <t>R = f/f0 - 1</t>
  </si>
  <si>
    <t>P</t>
  </si>
  <si>
    <t>F1 = C1 + C2*R+C3*S+C4*D+C5*R*S+C6*S*D+C7*R*D+C8*R*R+C9*S*S+C10*D*D</t>
  </si>
  <si>
    <t>F = 1 + R * F1</t>
  </si>
  <si>
    <t>Q,P @ 50Hz</t>
  </si>
  <si>
    <t>W</t>
  </si>
  <si>
    <t>Refrigerating capacity and power consumption at the motor nominal frequency (by means of the polynomials)</t>
  </si>
  <si>
    <t>Refrigerating capacity and power consumption at the working frequency</t>
  </si>
  <si>
    <t>Polynomial coefficients (change with the compressor selected)</t>
  </si>
  <si>
    <t>______________________________________________________________________________________________________________</t>
  </si>
  <si>
    <t>Frascold Selection Software 3 v1.24.1          02-10-2024 11:47</t>
  </si>
  <si>
    <t>KXI</t>
  </si>
  <si>
    <t>KXI53-110-372Y (53Hz)</t>
  </si>
  <si>
    <t>KXI53-110-372Y</t>
  </si>
  <si>
    <t>KXI-125-538Y (53 Hz)</t>
  </si>
  <si>
    <t>KXI-110-538Y(53 Hz)</t>
  </si>
  <si>
    <t>KXI-110-538Y</t>
  </si>
  <si>
    <t>CXHP-140-538Y</t>
  </si>
  <si>
    <t>KXI-160-620Y</t>
  </si>
  <si>
    <t>KXI-160-810Y</t>
  </si>
  <si>
    <t>KXI-160-912Y</t>
  </si>
  <si>
    <t>KXI-160-1000Y</t>
  </si>
  <si>
    <t>KXI-160-1085Y</t>
  </si>
  <si>
    <t>KXI53-110-428Y (53Hz)</t>
  </si>
  <si>
    <t>KXI53-110-428Y</t>
  </si>
  <si>
    <t>NA</t>
  </si>
  <si>
    <t>KWI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</si>
</sst>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yy"/>
    <numFmt numFmtId="165" formatCode="0.0"/>
    <numFmt numFmtId="166" formatCode="0.000000"/>
    <numFmt numFmtId="167" formatCode="0.000"/>
    <numFmt numFmtId="168" formatCode="0.00000"/>
    <numFmt numFmtId="169" formatCode="0.0000"/>
  </numFmts>
  <fonts count="68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b/>
      <sz val="10"/>
      <color rgb="FFFFFF00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14"/>
      <color rgb="FF000000"/>
      <name val="Arial"/>
      <family val="2"/>
    </font>
    <font>
      <sz val="14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sz val="12"/>
      <color rgb="FF000000"/>
      <name val="Arial"/>
      <family val="2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sz val="10"/>
      <color theme="1"/>
      <name val="Calibri"/>
      <family val="2"/>
    </font>
    <font>
      <b/>
      <sz val="10"/>
      <color rgb="FFFF00FF"/>
      <name val="Arial"/>
      <family val="2"/>
    </font>
    <font>
      <vertAlign val="superscript"/>
      <sz val="12"/>
      <color theme="1"/>
      <name val="Arial"/>
      <family val="2"/>
    </font>
    <font>
      <vertAlign val="super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sz val="14"/>
      <color rgb="FFFF00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1"/>
      <color rgb="FF000000"/>
      <name val="Calibri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sz val="8"/>
      <color rgb="FFFF0000"/>
      <name val="Arial"/>
      <family val="2"/>
    </font>
    <font>
      <sz val="9"/>
      <color theme="1"/>
      <name val="Arial"/>
      <family val="2"/>
    </font>
    <font>
      <sz val="9"/>
      <color rgb="FF000000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rgb="FFFF00FF"/>
      <name val="Arial"/>
      <family val="2"/>
    </font>
    <font>
      <b/>
      <sz val="10"/>
      <color rgb="FF0000FF"/>
      <name val="Arial"/>
      <family val="2"/>
    </font>
    <font>
      <b/>
      <vertAlign val="superscript"/>
      <sz val="10"/>
      <color rgb="FF0000FF"/>
      <name val="Arial"/>
      <family val="2"/>
    </font>
    <font>
      <sz val="10"/>
      <color rgb="FF3366FF"/>
      <name val="Arial"/>
      <family val="2"/>
    </font>
    <font>
      <b/>
      <sz val="10"/>
      <color rgb="FF3366FF"/>
      <name val="Arial"/>
      <family val="2"/>
    </font>
    <font>
      <b/>
      <sz val="10"/>
      <color theme="1"/>
      <name val="Calibri"/>
      <family val="2"/>
    </font>
    <font>
      <vertAlign val="superscript"/>
      <sz val="10"/>
      <color rgb="FF000000"/>
      <name val="Arial"/>
      <family val="2"/>
    </font>
    <font>
      <b/>
      <vertAlign val="subscript"/>
      <sz val="10"/>
      <color rgb="FF000000"/>
      <name val="Arial"/>
      <family val="2"/>
    </font>
    <font>
      <b/>
      <sz val="10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333333"/>
      <name val="Roboto"/>
    </font>
    <font>
      <sz val="10"/>
      <color rgb="FF000000"/>
      <name val="Calibri"/>
      <family val="2"/>
      <scheme val="minor"/>
    </font>
    <font>
      <sz val="11"/>
      <color rgb="FFFF0000"/>
      <name val="Calibri"/>
      <family val="2"/>
    </font>
    <font>
      <sz val="11"/>
      <color rgb="FF006100"/>
      <name val="Calibri"/>
      <family val="2"/>
    </font>
    <font>
      <b/>
      <sz val="11"/>
      <color rgb="FF7030A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rgb="FF212529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92D050"/>
        <bgColor rgb="FF92D050"/>
      </patternFill>
    </fill>
    <fill>
      <patternFill patternType="solid">
        <fgColor rgb="FFFFFF00"/>
        <bgColor rgb="FFFFFF00"/>
      </patternFill>
    </fill>
    <fill>
      <patternFill patternType="solid">
        <fgColor rgb="FF00FF00"/>
        <bgColor rgb="FF00FF00"/>
      </patternFill>
    </fill>
    <fill>
      <patternFill patternType="solid">
        <fgColor rgb="FFFFFFFF"/>
        <bgColor rgb="FFFFFFFF"/>
      </patternFill>
    </fill>
    <fill>
      <patternFill patternType="solid">
        <fgColor rgb="FFFFCC00"/>
        <bgColor rgb="FFFFCC00"/>
      </patternFill>
    </fill>
    <fill>
      <patternFill patternType="solid">
        <fgColor rgb="FFC0C0C0"/>
        <bgColor rgb="FFC0C0C0"/>
      </patternFill>
    </fill>
    <fill>
      <patternFill patternType="solid">
        <fgColor rgb="FF00FFFF"/>
        <bgColor rgb="FF00FFFF"/>
      </patternFill>
    </fill>
    <fill>
      <patternFill patternType="solid">
        <fgColor rgb="FFE5B8B7"/>
        <bgColor rgb="FFE5B8B7"/>
      </patternFill>
    </fill>
    <fill>
      <patternFill patternType="solid">
        <fgColor rgb="FFFFFFFF"/>
        <bgColor indexed="64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DAEEF3"/>
        <bgColor rgb="FFDAEEF3"/>
      </patternFill>
    </fill>
    <fill>
      <patternFill patternType="solid">
        <fgColor rgb="FFFFC000"/>
        <bgColor rgb="FFFFC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4C6E7"/>
        <bgColor rgb="FFB4C6E7"/>
      </patternFill>
    </fill>
    <fill>
      <patternFill patternType="solid">
        <fgColor rgb="FFF9F9F9"/>
        <bgColor rgb="FFF9F9F9"/>
      </patternFill>
    </fill>
    <fill>
      <patternFill patternType="solid">
        <fgColor rgb="FFB8CCE4"/>
        <bgColor rgb="FFB8CCE4"/>
      </patternFill>
    </fill>
    <fill>
      <patternFill patternType="solid">
        <fgColor rgb="FFFFFFCC"/>
        <bgColor rgb="FFFFFFCC"/>
      </patternFill>
    </fill>
    <fill>
      <patternFill patternType="solid">
        <fgColor rgb="FFC6EFCE"/>
        <bgColor rgb="FFC6EF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</fills>
  <borders count="17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 style="medium">
        <color rgb="FFCCCCCC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CCCCCC"/>
      </bottom>
      <diagonal/>
    </border>
    <border>
      <left/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/>
      <diagonal/>
    </border>
    <border>
      <left/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/>
      <top style="medium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000000"/>
      </top>
      <bottom style="thin">
        <color rgb="FFB2B2B2"/>
      </bottom>
      <diagonal/>
    </border>
    <border>
      <left/>
      <right/>
      <top style="thin">
        <color rgb="FF000000"/>
      </top>
      <bottom style="thin">
        <color rgb="FFB2B2B2"/>
      </bottom>
      <diagonal/>
    </border>
    <border>
      <left style="thin">
        <color rgb="FFB2B2B2"/>
      </left>
      <right/>
      <top style="thin">
        <color rgb="FF000000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0">
    <xf numFmtId="0" fontId="0" fillId="0" borderId="0"/>
    <xf numFmtId="0" fontId="47" fillId="11" borderId="0" applyNumberFormat="0" applyBorder="0" applyAlignment="0" applyProtection="0"/>
    <xf numFmtId="0" fontId="46" fillId="12" borderId="119" applyNumberFormat="0" applyFont="0" applyAlignment="0" applyProtection="0"/>
    <xf numFmtId="0" fontId="48" fillId="13" borderId="0" applyNumberFormat="0" applyBorder="0" applyAlignment="0" applyProtection="0"/>
    <xf numFmtId="0" fontId="49" fillId="14" borderId="0" applyNumberFormat="0" applyBorder="0" applyAlignment="0" applyProtection="0"/>
    <xf numFmtId="0" fontId="50" fillId="15" borderId="120" applyNumberFormat="0" applyAlignment="0" applyProtection="0"/>
    <xf numFmtId="0" fontId="3" fillId="16" borderId="0" applyNumberFormat="0" applyBorder="0" applyAlignment="0" applyProtection="0"/>
    <xf numFmtId="0" fontId="45" fillId="0" borderId="37"/>
    <xf numFmtId="0" fontId="1" fillId="0" borderId="37"/>
    <xf numFmtId="0" fontId="66" fillId="0" borderId="37"/>
  </cellStyleXfs>
  <cellXfs count="600">
    <xf numFmtId="0" fontId="0" fillId="0" borderId="0" xfId="0"/>
    <xf numFmtId="0" fontId="4" fillId="0" borderId="0" xfId="0" applyFont="1"/>
    <xf numFmtId="0" fontId="4" fillId="0" borderId="4" xfId="0" applyFont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5" xfId="0" applyFont="1" applyBorder="1"/>
    <xf numFmtId="0" fontId="4" fillId="0" borderId="19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 applyAlignment="1">
      <alignment horizontal="right"/>
    </xf>
    <xf numFmtId="0" fontId="8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0" fillId="0" borderId="22" xfId="0" applyFont="1" applyBorder="1"/>
    <xf numFmtId="0" fontId="10" fillId="0" borderId="23" xfId="0" applyFont="1" applyBorder="1"/>
    <xf numFmtId="0" fontId="10" fillId="0" borderId="24" xfId="0" applyFont="1" applyBorder="1" applyAlignment="1">
      <alignment horizontal="center"/>
    </xf>
    <xf numFmtId="0" fontId="10" fillId="2" borderId="25" xfId="0" applyFont="1" applyFill="1" applyBorder="1" applyAlignment="1">
      <alignment horizontal="center"/>
    </xf>
    <xf numFmtId="0" fontId="11" fillId="3" borderId="27" xfId="0" applyFont="1" applyFill="1" applyBorder="1" applyAlignment="1">
      <alignment horizontal="center"/>
    </xf>
    <xf numFmtId="0" fontId="0" fillId="0" borderId="28" xfId="0" applyBorder="1"/>
    <xf numFmtId="0" fontId="12" fillId="3" borderId="32" xfId="0" applyFont="1" applyFill="1" applyBorder="1" applyAlignment="1">
      <alignment horizontal="center"/>
    </xf>
    <xf numFmtId="0" fontId="11" fillId="3" borderId="34" xfId="0" applyFont="1" applyFill="1" applyBorder="1" applyAlignment="1">
      <alignment horizontal="center"/>
    </xf>
    <xf numFmtId="0" fontId="10" fillId="0" borderId="35" xfId="0" applyFont="1" applyBorder="1" applyAlignment="1">
      <alignment horizontal="center"/>
    </xf>
    <xf numFmtId="0" fontId="4" fillId="0" borderId="30" xfId="0" applyFont="1" applyBorder="1"/>
    <xf numFmtId="0" fontId="4" fillId="0" borderId="34" xfId="0" applyFont="1" applyBorder="1" applyAlignment="1">
      <alignment horizontal="center"/>
    </xf>
    <xf numFmtId="0" fontId="4" fillId="0" borderId="34" xfId="0" applyFont="1" applyBorder="1" applyAlignment="1">
      <alignment horizontal="left"/>
    </xf>
    <xf numFmtId="0" fontId="10" fillId="0" borderId="0" xfId="0" applyFont="1" applyAlignment="1">
      <alignment horizontal="center"/>
    </xf>
    <xf numFmtId="0" fontId="10" fillId="0" borderId="38" xfId="0" applyFont="1" applyBorder="1" applyAlignment="1">
      <alignment horizontal="center"/>
    </xf>
    <xf numFmtId="2" fontId="4" fillId="0" borderId="34" xfId="0" applyNumberFormat="1" applyFont="1" applyBorder="1" applyAlignment="1">
      <alignment horizontal="center"/>
    </xf>
    <xf numFmtId="0" fontId="13" fillId="3" borderId="37" xfId="0" applyFont="1" applyFill="1" applyBorder="1" applyAlignment="1">
      <alignment vertical="center"/>
    </xf>
    <xf numFmtId="0" fontId="14" fillId="0" borderId="0" xfId="0" applyFont="1" applyAlignment="1">
      <alignment vertical="center"/>
    </xf>
    <xf numFmtId="0" fontId="14" fillId="0" borderId="38" xfId="0" applyFont="1" applyBorder="1" applyAlignment="1">
      <alignment vertical="center"/>
    </xf>
    <xf numFmtId="0" fontId="15" fillId="3" borderId="34" xfId="0" applyFont="1" applyFill="1" applyBorder="1" applyAlignment="1">
      <alignment horizontal="center" vertical="center"/>
    </xf>
    <xf numFmtId="0" fontId="5" fillId="0" borderId="35" xfId="0" applyFont="1" applyBorder="1" applyAlignment="1">
      <alignment vertical="center"/>
    </xf>
    <xf numFmtId="0" fontId="0" fillId="0" borderId="40" xfId="0" applyBorder="1" applyAlignment="1">
      <alignment horizontal="center" vertical="center" wrapText="1"/>
    </xf>
    <xf numFmtId="0" fontId="14" fillId="0" borderId="41" xfId="0" applyFont="1" applyBorder="1" applyAlignment="1">
      <alignment vertical="center"/>
    </xf>
    <xf numFmtId="0" fontId="13" fillId="3" borderId="42" xfId="0" applyFont="1" applyFill="1" applyBorder="1" applyAlignment="1">
      <alignment vertical="center"/>
    </xf>
    <xf numFmtId="0" fontId="14" fillId="0" borderId="43" xfId="0" applyFont="1" applyBorder="1" applyAlignment="1">
      <alignment vertical="center"/>
    </xf>
    <xf numFmtId="0" fontId="11" fillId="3" borderId="47" xfId="0" applyFont="1" applyFill="1" applyBorder="1" applyAlignment="1">
      <alignment horizontal="center"/>
    </xf>
    <xf numFmtId="0" fontId="5" fillId="0" borderId="48" xfId="0" applyFont="1" applyBorder="1" applyAlignment="1">
      <alignment vertical="center"/>
    </xf>
    <xf numFmtId="0" fontId="0" fillId="3" borderId="37" xfId="0" applyFill="1" applyBorder="1" applyAlignment="1">
      <alignment horizontal="center" vertical="center"/>
    </xf>
    <xf numFmtId="2" fontId="4" fillId="4" borderId="37" xfId="0" applyNumberFormat="1" applyFont="1" applyFill="1" applyBorder="1" applyAlignment="1">
      <alignment horizontal="center" vertical="center"/>
    </xf>
    <xf numFmtId="0" fontId="17" fillId="3" borderId="35" xfId="0" applyFont="1" applyFill="1" applyBorder="1" applyAlignment="1">
      <alignment horizontal="center" vertical="center"/>
    </xf>
    <xf numFmtId="166" fontId="4" fillId="4" borderId="37" xfId="0" applyNumberFormat="1" applyFont="1" applyFill="1" applyBorder="1" applyAlignment="1">
      <alignment horizontal="center" vertical="center"/>
    </xf>
    <xf numFmtId="165" fontId="5" fillId="2" borderId="35" xfId="0" applyNumberFormat="1" applyFont="1" applyFill="1" applyBorder="1" applyAlignment="1">
      <alignment horizontal="center" vertical="center"/>
    </xf>
    <xf numFmtId="165" fontId="5" fillId="0" borderId="35" xfId="0" applyNumberFormat="1" applyFont="1" applyBorder="1" applyAlignment="1">
      <alignment horizontal="center" vertical="center"/>
    </xf>
    <xf numFmtId="0" fontId="5" fillId="3" borderId="35" xfId="0" applyFont="1" applyFill="1" applyBorder="1" applyAlignment="1">
      <alignment horizontal="center" vertical="center"/>
    </xf>
    <xf numFmtId="0" fontId="18" fillId="3" borderId="35" xfId="0" applyFont="1" applyFill="1" applyBorder="1"/>
    <xf numFmtId="0" fontId="5" fillId="0" borderId="35" xfId="0" applyFont="1" applyBorder="1" applyAlignment="1">
      <alignment horizontal="center" vertical="center"/>
    </xf>
    <xf numFmtId="0" fontId="17" fillId="0" borderId="51" xfId="0" applyFont="1" applyBorder="1" applyAlignment="1">
      <alignment horizontal="center" vertical="center"/>
    </xf>
    <xf numFmtId="166" fontId="4" fillId="0" borderId="0" xfId="0" applyNumberFormat="1" applyFont="1"/>
    <xf numFmtId="0" fontId="9" fillId="0" borderId="0" xfId="0" applyFont="1" applyAlignment="1">
      <alignment horizontal="left"/>
    </xf>
    <xf numFmtId="167" fontId="9" fillId="0" borderId="0" xfId="0" applyNumberFormat="1" applyFont="1" applyAlignment="1">
      <alignment horizontal="left"/>
    </xf>
    <xf numFmtId="165" fontId="9" fillId="0" borderId="0" xfId="0" applyNumberFormat="1" applyFont="1" applyAlignment="1">
      <alignment horizontal="left"/>
    </xf>
    <xf numFmtId="0" fontId="9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165" fontId="9" fillId="2" borderId="34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9" fillId="2" borderId="3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167" fontId="14" fillId="0" borderId="0" xfId="0" applyNumberFormat="1" applyFont="1" applyAlignment="1">
      <alignment horizontal="left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167" fontId="4" fillId="0" borderId="0" xfId="0" applyNumberFormat="1" applyFont="1" applyAlignment="1">
      <alignment horizontal="left"/>
    </xf>
    <xf numFmtId="2" fontId="4" fillId="0" borderId="0" xfId="0" applyNumberFormat="1" applyFont="1"/>
    <xf numFmtId="0" fontId="21" fillId="0" borderId="0" xfId="0" applyFont="1"/>
    <xf numFmtId="0" fontId="22" fillId="0" borderId="0" xfId="0" applyFont="1"/>
    <xf numFmtId="168" fontId="4" fillId="0" borderId="0" xfId="0" applyNumberFormat="1" applyFont="1"/>
    <xf numFmtId="0" fontId="8" fillId="0" borderId="0" xfId="0" applyFont="1"/>
    <xf numFmtId="167" fontId="4" fillId="0" borderId="0" xfId="0" applyNumberFormat="1" applyFont="1"/>
    <xf numFmtId="0" fontId="4" fillId="0" borderId="28" xfId="0" applyFont="1" applyBorder="1" applyAlignment="1">
      <alignment horizontal="center"/>
    </xf>
    <xf numFmtId="0" fontId="4" fillId="0" borderId="53" xfId="0" applyFont="1" applyBorder="1" applyAlignment="1">
      <alignment horizontal="center"/>
    </xf>
    <xf numFmtId="0" fontId="4" fillId="0" borderId="54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0" borderId="29" xfId="0" applyFont="1" applyBorder="1" applyAlignment="1">
      <alignment horizontal="left"/>
    </xf>
    <xf numFmtId="0" fontId="4" fillId="0" borderId="30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18" fillId="0" borderId="34" xfId="0" applyFont="1" applyBorder="1"/>
    <xf numFmtId="0" fontId="18" fillId="0" borderId="0" xfId="0" applyFont="1"/>
    <xf numFmtId="0" fontId="18" fillId="3" borderId="34" xfId="0" applyFont="1" applyFill="1" applyBorder="1" applyAlignment="1">
      <alignment horizontal="right"/>
    </xf>
    <xf numFmtId="0" fontId="25" fillId="0" borderId="34" xfId="0" applyFont="1" applyBorder="1"/>
    <xf numFmtId="0" fontId="18" fillId="4" borderId="34" xfId="0" applyFont="1" applyFill="1" applyBorder="1" applyAlignment="1">
      <alignment horizontal="right"/>
    </xf>
    <xf numFmtId="0" fontId="0" fillId="0" borderId="34" xfId="0" applyBorder="1"/>
    <xf numFmtId="0" fontId="0" fillId="0" borderId="39" xfId="0" applyBorder="1" applyAlignment="1">
      <alignment horizontal="left"/>
    </xf>
    <xf numFmtId="0" fontId="0" fillId="0" borderId="0" xfId="0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39" xfId="0" applyFont="1" applyBorder="1" applyAlignment="1">
      <alignment horizontal="left"/>
    </xf>
    <xf numFmtId="0" fontId="4" fillId="0" borderId="39" xfId="0" applyFont="1" applyBorder="1"/>
    <xf numFmtId="0" fontId="4" fillId="0" borderId="38" xfId="0" applyFont="1" applyBorder="1"/>
    <xf numFmtId="0" fontId="18" fillId="0" borderId="34" xfId="0" applyFont="1" applyBorder="1" applyAlignment="1">
      <alignment horizontal="right"/>
    </xf>
    <xf numFmtId="0" fontId="4" fillId="0" borderId="55" xfId="0" applyFont="1" applyBorder="1"/>
    <xf numFmtId="0" fontId="4" fillId="0" borderId="34" xfId="0" applyFont="1" applyBorder="1"/>
    <xf numFmtId="0" fontId="25" fillId="0" borderId="34" xfId="0" applyFont="1" applyBorder="1" applyAlignment="1">
      <alignment horizontal="center"/>
    </xf>
    <xf numFmtId="0" fontId="26" fillId="0" borderId="0" xfId="0" applyFont="1"/>
    <xf numFmtId="0" fontId="4" fillId="0" borderId="50" xfId="0" applyFont="1" applyBorder="1" applyAlignment="1">
      <alignment horizontal="center"/>
    </xf>
    <xf numFmtId="0" fontId="27" fillId="0" borderId="34" xfId="0" applyFont="1" applyBorder="1" applyAlignment="1">
      <alignment horizontal="center"/>
    </xf>
    <xf numFmtId="0" fontId="4" fillId="5" borderId="57" xfId="0" applyFont="1" applyFill="1" applyBorder="1" applyAlignment="1">
      <alignment horizontal="center"/>
    </xf>
    <xf numFmtId="0" fontId="4" fillId="5" borderId="58" xfId="0" applyFont="1" applyFill="1" applyBorder="1" applyAlignment="1">
      <alignment horizontal="center"/>
    </xf>
    <xf numFmtId="0" fontId="4" fillId="5" borderId="37" xfId="0" applyFont="1" applyFill="1" applyBorder="1" applyAlignment="1">
      <alignment horizontal="center"/>
    </xf>
    <xf numFmtId="0" fontId="4" fillId="5" borderId="60" xfId="0" applyFont="1" applyFill="1" applyBorder="1" applyAlignment="1">
      <alignment horizontal="center"/>
    </xf>
    <xf numFmtId="0" fontId="4" fillId="5" borderId="61" xfId="0" applyFont="1" applyFill="1" applyBorder="1" applyAlignment="1">
      <alignment horizontal="center"/>
    </xf>
    <xf numFmtId="0" fontId="30" fillId="5" borderId="60" xfId="0" applyFont="1" applyFill="1" applyBorder="1" applyAlignment="1">
      <alignment horizontal="center"/>
    </xf>
    <xf numFmtId="0" fontId="28" fillId="5" borderId="60" xfId="0" applyFont="1" applyFill="1" applyBorder="1" applyAlignment="1">
      <alignment horizontal="center"/>
    </xf>
    <xf numFmtId="0" fontId="30" fillId="5" borderId="63" xfId="0" applyFont="1" applyFill="1" applyBorder="1" applyAlignment="1">
      <alignment horizontal="center"/>
    </xf>
    <xf numFmtId="0" fontId="30" fillId="5" borderId="37" xfId="0" applyFont="1" applyFill="1" applyBorder="1" applyAlignment="1">
      <alignment horizontal="center"/>
    </xf>
    <xf numFmtId="0" fontId="29" fillId="5" borderId="60" xfId="0" applyFont="1" applyFill="1" applyBorder="1" applyAlignment="1">
      <alignment horizontal="center"/>
    </xf>
    <xf numFmtId="0" fontId="30" fillId="5" borderId="61" xfId="0" applyFont="1" applyFill="1" applyBorder="1" applyAlignment="1">
      <alignment horizontal="center"/>
    </xf>
    <xf numFmtId="0" fontId="27" fillId="0" borderId="34" xfId="0" applyFont="1" applyBorder="1" applyAlignment="1">
      <alignment horizontal="right"/>
    </xf>
    <xf numFmtId="0" fontId="25" fillId="3" borderId="34" xfId="0" applyFont="1" applyFill="1" applyBorder="1" applyAlignment="1">
      <alignment horizontal="center"/>
    </xf>
    <xf numFmtId="0" fontId="28" fillId="5" borderId="65" xfId="0" applyFont="1" applyFill="1" applyBorder="1" applyAlignment="1">
      <alignment horizontal="center"/>
    </xf>
    <xf numFmtId="0" fontId="28" fillId="5" borderId="66" xfId="0" applyFont="1" applyFill="1" applyBorder="1" applyAlignment="1">
      <alignment horizontal="center"/>
    </xf>
    <xf numFmtId="0" fontId="28" fillId="5" borderId="67" xfId="0" applyFont="1" applyFill="1" applyBorder="1" applyAlignment="1">
      <alignment horizontal="center"/>
    </xf>
    <xf numFmtId="0" fontId="31" fillId="0" borderId="34" xfId="0" applyFont="1" applyBorder="1" applyAlignment="1">
      <alignment horizontal="center"/>
    </xf>
    <xf numFmtId="0" fontId="31" fillId="0" borderId="35" xfId="0" applyFont="1" applyBorder="1" applyAlignment="1">
      <alignment horizontal="center"/>
    </xf>
    <xf numFmtId="0" fontId="31" fillId="0" borderId="31" xfId="0" applyFont="1" applyBorder="1" applyAlignment="1">
      <alignment horizontal="center"/>
    </xf>
    <xf numFmtId="0" fontId="4" fillId="6" borderId="69" xfId="0" applyFont="1" applyFill="1" applyBorder="1" applyAlignment="1">
      <alignment horizontal="center"/>
    </xf>
    <xf numFmtId="0" fontId="0" fillId="6" borderId="47" xfId="0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32" fillId="6" borderId="47" xfId="0" applyFont="1" applyFill="1" applyBorder="1" applyAlignment="1">
      <alignment horizontal="center"/>
    </xf>
    <xf numFmtId="0" fontId="31" fillId="6" borderId="51" xfId="0" applyFont="1" applyFill="1" applyBorder="1" applyAlignment="1">
      <alignment horizontal="center"/>
    </xf>
    <xf numFmtId="0" fontId="4" fillId="6" borderId="54" xfId="0" applyFont="1" applyFill="1" applyBorder="1" applyAlignment="1">
      <alignment horizontal="center"/>
    </xf>
    <xf numFmtId="0" fontId="4" fillId="6" borderId="70" xfId="0" applyFont="1" applyFill="1" applyBorder="1" applyAlignment="1">
      <alignment horizontal="center"/>
    </xf>
    <xf numFmtId="0" fontId="4" fillId="6" borderId="34" xfId="0" applyFont="1" applyFill="1" applyBorder="1" applyAlignment="1">
      <alignment horizontal="center"/>
    </xf>
    <xf numFmtId="0" fontId="32" fillId="6" borderId="71" xfId="0" applyFont="1" applyFill="1" applyBorder="1" applyAlignment="1">
      <alignment horizontal="center"/>
    </xf>
    <xf numFmtId="0" fontId="31" fillId="6" borderId="72" xfId="0" applyFont="1" applyFill="1" applyBorder="1" applyAlignment="1">
      <alignment horizontal="center"/>
    </xf>
    <xf numFmtId="1" fontId="4" fillId="6" borderId="35" xfId="0" applyNumberFormat="1" applyFont="1" applyFill="1" applyBorder="1" applyAlignment="1">
      <alignment horizontal="center"/>
    </xf>
    <xf numFmtId="0" fontId="0" fillId="0" borderId="73" xfId="0" applyBorder="1"/>
    <xf numFmtId="0" fontId="0" fillId="0" borderId="24" xfId="0" applyBorder="1"/>
    <xf numFmtId="0" fontId="4" fillId="0" borderId="24" xfId="0" applyFont="1" applyBorder="1" applyAlignment="1">
      <alignment horizontal="center"/>
    </xf>
    <xf numFmtId="0" fontId="0" fillId="0" borderId="39" xfId="0" applyBorder="1"/>
    <xf numFmtId="0" fontId="0" fillId="0" borderId="38" xfId="0" applyBorder="1"/>
    <xf numFmtId="0" fontId="27" fillId="0" borderId="74" xfId="0" applyFont="1" applyBorder="1" applyAlignment="1">
      <alignment vertical="center"/>
    </xf>
    <xf numFmtId="0" fontId="27" fillId="0" borderId="27" xfId="0" applyFont="1" applyBorder="1" applyAlignment="1">
      <alignment wrapText="1"/>
    </xf>
    <xf numFmtId="0" fontId="27" fillId="0" borderId="75" xfId="0" applyFont="1" applyBorder="1" applyAlignment="1">
      <alignment wrapText="1"/>
    </xf>
    <xf numFmtId="0" fontId="27" fillId="0" borderId="76" xfId="0" applyFont="1" applyBorder="1" applyAlignment="1">
      <alignment wrapText="1"/>
    </xf>
    <xf numFmtId="0" fontId="27" fillId="0" borderId="77" xfId="0" applyFont="1" applyBorder="1" applyAlignment="1">
      <alignment wrapText="1"/>
    </xf>
    <xf numFmtId="0" fontId="27" fillId="0" borderId="78" xfId="0" applyFont="1" applyBorder="1" applyAlignment="1">
      <alignment wrapText="1"/>
    </xf>
    <xf numFmtId="0" fontId="27" fillId="0" borderId="79" xfId="0" applyFont="1" applyBorder="1" applyAlignment="1">
      <alignment wrapText="1"/>
    </xf>
    <xf numFmtId="0" fontId="27" fillId="0" borderId="80" xfId="0" applyFont="1" applyBorder="1" applyAlignment="1">
      <alignment wrapText="1"/>
    </xf>
    <xf numFmtId="0" fontId="27" fillId="0" borderId="81" xfId="0" applyFont="1" applyBorder="1" applyAlignment="1">
      <alignment wrapText="1"/>
    </xf>
    <xf numFmtId="0" fontId="27" fillId="0" borderId="35" xfId="0" applyFont="1" applyBorder="1" applyAlignment="1">
      <alignment wrapText="1"/>
    </xf>
    <xf numFmtId="0" fontId="27" fillId="0" borderId="77" xfId="0" applyFont="1" applyBorder="1"/>
    <xf numFmtId="0" fontId="27" fillId="0" borderId="54" xfId="0" applyFont="1" applyBorder="1" applyAlignment="1">
      <alignment vertical="center"/>
    </xf>
    <xf numFmtId="0" fontId="27" fillId="0" borderId="34" xfId="0" applyFont="1" applyBorder="1" applyAlignment="1">
      <alignment wrapText="1"/>
    </xf>
    <xf numFmtId="0" fontId="27" fillId="0" borderId="39" xfId="0" applyFont="1" applyBorder="1" applyAlignment="1">
      <alignment vertical="center"/>
    </xf>
    <xf numFmtId="0" fontId="27" fillId="0" borderId="0" xfId="0" applyFont="1" applyAlignment="1">
      <alignment wrapText="1"/>
    </xf>
    <xf numFmtId="0" fontId="0" fillId="0" borderId="54" xfId="0" applyBorder="1" applyAlignment="1">
      <alignment wrapText="1"/>
    </xf>
    <xf numFmtId="0" fontId="0" fillId="0" borderId="34" xfId="0" applyBorder="1" applyAlignment="1">
      <alignment wrapText="1"/>
    </xf>
    <xf numFmtId="0" fontId="27" fillId="0" borderId="82" xfId="0" applyFont="1" applyBorder="1" applyAlignment="1">
      <alignment wrapText="1"/>
    </xf>
    <xf numFmtId="0" fontId="27" fillId="0" borderId="69" xfId="0" applyFont="1" applyBorder="1" applyAlignment="1">
      <alignment vertical="center"/>
    </xf>
    <xf numFmtId="0" fontId="27" fillId="0" borderId="47" xfId="0" applyFont="1" applyBorder="1" applyAlignment="1">
      <alignment wrapText="1"/>
    </xf>
    <xf numFmtId="0" fontId="27" fillId="0" borderId="51" xfId="0" applyFont="1" applyBorder="1" applyAlignment="1">
      <alignment horizontal="center" wrapText="1"/>
    </xf>
    <xf numFmtId="0" fontId="27" fillId="0" borderId="83" xfId="0" applyFont="1" applyBorder="1" applyAlignment="1">
      <alignment wrapText="1"/>
    </xf>
    <xf numFmtId="0" fontId="27" fillId="0" borderId="84" xfId="0" applyFont="1" applyBorder="1" applyAlignment="1">
      <alignment wrapText="1"/>
    </xf>
    <xf numFmtId="0" fontId="27" fillId="0" borderId="85" xfId="0" applyFont="1" applyBorder="1" applyAlignment="1">
      <alignment wrapText="1"/>
    </xf>
    <xf numFmtId="0" fontId="27" fillId="0" borderId="86" xfId="0" applyFont="1" applyBorder="1" applyAlignment="1">
      <alignment wrapText="1"/>
    </xf>
    <xf numFmtId="0" fontId="27" fillId="0" borderId="77" xfId="0" applyFont="1" applyBorder="1" applyAlignment="1">
      <alignment vertical="center"/>
    </xf>
    <xf numFmtId="0" fontId="27" fillId="0" borderId="85" xfId="0" applyFont="1" applyBorder="1" applyAlignment="1">
      <alignment horizontal="center" wrapText="1"/>
    </xf>
    <xf numFmtId="0" fontId="27" fillId="0" borderId="83" xfId="0" applyFont="1" applyBorder="1" applyAlignment="1">
      <alignment vertical="center"/>
    </xf>
    <xf numFmtId="0" fontId="27" fillId="0" borderId="85" xfId="0" applyFont="1" applyBorder="1" applyAlignment="1">
      <alignment horizontal="right" wrapText="1"/>
    </xf>
    <xf numFmtId="0" fontId="27" fillId="0" borderId="84" xfId="0" applyFont="1" applyBorder="1" applyAlignment="1">
      <alignment vertical="center"/>
    </xf>
    <xf numFmtId="0" fontId="27" fillId="0" borderId="91" xfId="0" applyFont="1" applyBorder="1" applyAlignment="1">
      <alignment horizontal="right" wrapText="1"/>
    </xf>
    <xf numFmtId="0" fontId="27" fillId="0" borderId="0" xfId="0" applyFont="1" applyAlignment="1">
      <alignment horizontal="right" wrapText="1"/>
    </xf>
    <xf numFmtId="0" fontId="0" fillId="0" borderId="40" xfId="0" applyBorder="1"/>
    <xf numFmtId="0" fontId="0" fillId="0" borderId="41" xfId="0" applyBorder="1"/>
    <xf numFmtId="0" fontId="4" fillId="0" borderId="41" xfId="0" applyFont="1" applyBorder="1" applyAlignment="1">
      <alignment horizontal="center"/>
    </xf>
    <xf numFmtId="0" fontId="0" fillId="0" borderId="43" xfId="0" applyBorder="1"/>
    <xf numFmtId="0" fontId="5" fillId="0" borderId="87" xfId="0" applyFont="1" applyBorder="1" applyAlignment="1">
      <alignment horizontal="left" vertical="center"/>
    </xf>
    <xf numFmtId="0" fontId="24" fillId="0" borderId="34" xfId="0" applyFont="1" applyBorder="1" applyAlignment="1">
      <alignment horizontal="left"/>
    </xf>
    <xf numFmtId="0" fontId="28" fillId="7" borderId="34" xfId="0" applyFont="1" applyFill="1" applyBorder="1" applyAlignment="1">
      <alignment horizontal="left" vertical="center"/>
    </xf>
    <xf numFmtId="0" fontId="28" fillId="6" borderId="34" xfId="0" applyFont="1" applyFill="1" applyBorder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4" fillId="7" borderId="34" xfId="0" applyFont="1" applyFill="1" applyBorder="1" applyAlignment="1">
      <alignment horizontal="left" vertical="center"/>
    </xf>
    <xf numFmtId="0" fontId="33" fillId="7" borderId="34" xfId="0" applyFont="1" applyFill="1" applyBorder="1" applyAlignment="1">
      <alignment horizontal="left" vertical="center"/>
    </xf>
    <xf numFmtId="0" fontId="4" fillId="6" borderId="3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19" fillId="7" borderId="34" xfId="0" applyFont="1" applyFill="1" applyBorder="1" applyAlignment="1">
      <alignment horizontal="left" vertical="center"/>
    </xf>
    <xf numFmtId="0" fontId="34" fillId="7" borderId="34" xfId="0" applyFont="1" applyFill="1" applyBorder="1" applyAlignment="1">
      <alignment horizontal="left" vertical="center"/>
    </xf>
    <xf numFmtId="2" fontId="19" fillId="6" borderId="34" xfId="0" applyNumberFormat="1" applyFont="1" applyFill="1" applyBorder="1" applyAlignment="1">
      <alignment horizontal="left" vertical="center" wrapText="1"/>
    </xf>
    <xf numFmtId="169" fontId="4" fillId="6" borderId="34" xfId="0" applyNumberFormat="1" applyFont="1" applyFill="1" applyBorder="1" applyAlignment="1">
      <alignment horizontal="left" vertical="center"/>
    </xf>
    <xf numFmtId="0" fontId="4" fillId="6" borderId="34" xfId="0" applyFont="1" applyFill="1" applyBorder="1" applyAlignment="1">
      <alignment horizontal="left" vertical="center"/>
    </xf>
    <xf numFmtId="0" fontId="4" fillId="7" borderId="57" xfId="0" applyFont="1" applyFill="1" applyBorder="1" applyAlignment="1">
      <alignment horizontal="left" vertical="center"/>
    </xf>
    <xf numFmtId="0" fontId="4" fillId="6" borderId="57" xfId="0" applyFont="1" applyFill="1" applyBorder="1" applyAlignment="1">
      <alignment horizontal="left" vertical="center"/>
    </xf>
    <xf numFmtId="0" fontId="4" fillId="7" borderId="97" xfId="0" applyFont="1" applyFill="1" applyBorder="1" applyAlignment="1">
      <alignment horizontal="left" vertical="center"/>
    </xf>
    <xf numFmtId="0" fontId="4" fillId="6" borderId="98" xfId="0" applyFont="1" applyFill="1" applyBorder="1" applyAlignment="1">
      <alignment horizontal="left" vertical="center"/>
    </xf>
    <xf numFmtId="0" fontId="0" fillId="7" borderId="34" xfId="0" applyFill="1" applyBorder="1" applyAlignment="1">
      <alignment horizontal="left" vertical="top" wrapText="1"/>
    </xf>
    <xf numFmtId="0" fontId="4" fillId="7" borderId="60" xfId="0" applyFont="1" applyFill="1" applyBorder="1" applyAlignment="1">
      <alignment horizontal="left" vertical="center"/>
    </xf>
    <xf numFmtId="0" fontId="4" fillId="7" borderId="34" xfId="0" applyFont="1" applyFill="1" applyBorder="1" applyAlignment="1">
      <alignment horizontal="left"/>
    </xf>
    <xf numFmtId="0" fontId="4" fillId="6" borderId="34" xfId="0" applyFont="1" applyFill="1" applyBorder="1" applyAlignment="1">
      <alignment horizontal="left"/>
    </xf>
    <xf numFmtId="0" fontId="0" fillId="7" borderId="34" xfId="0" applyFill="1" applyBorder="1" applyAlignment="1">
      <alignment horizontal="left" vertical="center" wrapText="1"/>
    </xf>
    <xf numFmtId="0" fontId="19" fillId="7" borderId="34" xfId="0" applyFont="1" applyFill="1" applyBorder="1" applyAlignment="1">
      <alignment horizontal="left" vertical="top" wrapText="1"/>
    </xf>
    <xf numFmtId="0" fontId="19" fillId="7" borderId="34" xfId="0" applyFont="1" applyFill="1" applyBorder="1" applyAlignment="1">
      <alignment horizontal="left"/>
    </xf>
    <xf numFmtId="0" fontId="19" fillId="6" borderId="34" xfId="0" applyFont="1" applyFill="1" applyBorder="1" applyAlignment="1">
      <alignment horizontal="left"/>
    </xf>
    <xf numFmtId="2" fontId="4" fillId="6" borderId="34" xfId="0" applyNumberFormat="1" applyFont="1" applyFill="1" applyBorder="1" applyAlignment="1">
      <alignment horizontal="left"/>
    </xf>
    <xf numFmtId="168" fontId="19" fillId="6" borderId="34" xfId="0" applyNumberFormat="1" applyFont="1" applyFill="1" applyBorder="1" applyAlignment="1">
      <alignment horizontal="left" vertical="center" wrapText="1"/>
    </xf>
    <xf numFmtId="0" fontId="4" fillId="7" borderId="37" xfId="0" applyFont="1" applyFill="1" applyBorder="1" applyAlignment="1">
      <alignment horizontal="left"/>
    </xf>
    <xf numFmtId="2" fontId="4" fillId="8" borderId="37" xfId="0" applyNumberFormat="1" applyFont="1" applyFill="1" applyBorder="1" applyAlignment="1">
      <alignment horizontal="left"/>
    </xf>
    <xf numFmtId="0" fontId="5" fillId="7" borderId="37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7" borderId="34" xfId="0" applyFont="1" applyFill="1" applyBorder="1" applyAlignment="1">
      <alignment horizontal="left"/>
    </xf>
    <xf numFmtId="0" fontId="35" fillId="7" borderId="34" xfId="0" applyFont="1" applyFill="1" applyBorder="1" applyAlignment="1">
      <alignment horizontal="left" vertical="center"/>
    </xf>
    <xf numFmtId="0" fontId="36" fillId="7" borderId="34" xfId="0" applyFont="1" applyFill="1" applyBorder="1" applyAlignment="1">
      <alignment horizontal="left" vertical="center"/>
    </xf>
    <xf numFmtId="0" fontId="35" fillId="6" borderId="34" xfId="0" applyFont="1" applyFill="1" applyBorder="1" applyAlignment="1">
      <alignment horizontal="left" vertical="center" wrapText="1"/>
    </xf>
    <xf numFmtId="0" fontId="37" fillId="0" borderId="0" xfId="0" applyFont="1" applyAlignment="1">
      <alignment horizontal="center" vertical="center"/>
    </xf>
    <xf numFmtId="0" fontId="38" fillId="0" borderId="0" xfId="0" applyFont="1"/>
    <xf numFmtId="0" fontId="4" fillId="6" borderId="37" xfId="0" applyFont="1" applyFill="1" applyBorder="1" applyAlignment="1">
      <alignment horizontal="left"/>
    </xf>
    <xf numFmtId="0" fontId="4" fillId="9" borderId="34" xfId="0" applyFont="1" applyFill="1" applyBorder="1" applyAlignment="1">
      <alignment horizontal="left" vertical="center" wrapText="1"/>
    </xf>
    <xf numFmtId="0" fontId="4" fillId="9" borderId="34" xfId="0" applyFont="1" applyFill="1" applyBorder="1" applyAlignment="1">
      <alignment horizontal="left" vertical="center"/>
    </xf>
    <xf numFmtId="0" fontId="4" fillId="9" borderId="34" xfId="0" applyFont="1" applyFill="1" applyBorder="1" applyAlignment="1">
      <alignment horizontal="left"/>
    </xf>
    <xf numFmtId="0" fontId="35" fillId="9" borderId="34" xfId="0" applyFont="1" applyFill="1" applyBorder="1" applyAlignment="1">
      <alignment horizontal="left"/>
    </xf>
    <xf numFmtId="0" fontId="35" fillId="6" borderId="34" xfId="0" applyFont="1" applyFill="1" applyBorder="1" applyAlignment="1">
      <alignment horizontal="left" vertical="center"/>
    </xf>
    <xf numFmtId="0" fontId="25" fillId="0" borderId="0" xfId="0" applyFont="1"/>
    <xf numFmtId="0" fontId="39" fillId="0" borderId="34" xfId="0" applyFont="1" applyBorder="1" applyAlignment="1">
      <alignment horizontal="center" wrapText="1"/>
    </xf>
    <xf numFmtId="2" fontId="25" fillId="0" borderId="0" xfId="0" applyNumberFormat="1" applyFont="1"/>
    <xf numFmtId="165" fontId="25" fillId="0" borderId="0" xfId="0" applyNumberFormat="1" applyFont="1"/>
    <xf numFmtId="0" fontId="18" fillId="0" borderId="34" xfId="0" applyFont="1" applyBorder="1" applyAlignment="1">
      <alignment horizontal="center" wrapText="1"/>
    </xf>
    <xf numFmtId="0" fontId="43" fillId="10" borderId="100" xfId="0" applyFont="1" applyFill="1" applyBorder="1"/>
    <xf numFmtId="0" fontId="43" fillId="10" borderId="103" xfId="0" applyFont="1" applyFill="1" applyBorder="1"/>
    <xf numFmtId="0" fontId="43" fillId="10" borderId="104" xfId="0" applyFont="1" applyFill="1" applyBorder="1" applyAlignment="1">
      <alignment horizontal="center"/>
    </xf>
    <xf numFmtId="0" fontId="44" fillId="10" borderId="105" xfId="0" applyFont="1" applyFill="1" applyBorder="1"/>
    <xf numFmtId="0" fontId="44" fillId="10" borderId="106" xfId="0" applyFont="1" applyFill="1" applyBorder="1"/>
    <xf numFmtId="0" fontId="43" fillId="10" borderId="107" xfId="0" applyFont="1" applyFill="1" applyBorder="1"/>
    <xf numFmtId="0" fontId="44" fillId="10" borderId="108" xfId="0" applyFont="1" applyFill="1" applyBorder="1" applyAlignment="1">
      <alignment horizontal="center"/>
    </xf>
    <xf numFmtId="0" fontId="44" fillId="10" borderId="109" xfId="0" applyFont="1" applyFill="1" applyBorder="1" applyAlignment="1">
      <alignment horizontal="center"/>
    </xf>
    <xf numFmtId="0" fontId="44" fillId="10" borderId="110" xfId="0" applyFont="1" applyFill="1" applyBorder="1" applyAlignment="1">
      <alignment horizontal="center"/>
    </xf>
    <xf numFmtId="0" fontId="43" fillId="10" borderId="111" xfId="0" applyFont="1" applyFill="1" applyBorder="1"/>
    <xf numFmtId="0" fontId="44" fillId="10" borderId="112" xfId="0" applyFont="1" applyFill="1" applyBorder="1" applyAlignment="1">
      <alignment horizontal="center"/>
    </xf>
    <xf numFmtId="0" fontId="44" fillId="10" borderId="113" xfId="0" applyFont="1" applyFill="1" applyBorder="1" applyAlignment="1">
      <alignment horizontal="center"/>
    </xf>
    <xf numFmtId="0" fontId="43" fillId="10" borderId="114" xfId="0" applyFont="1" applyFill="1" applyBorder="1"/>
    <xf numFmtId="0" fontId="44" fillId="10" borderId="115" xfId="0" applyFont="1" applyFill="1" applyBorder="1" applyAlignment="1">
      <alignment horizontal="center"/>
    </xf>
    <xf numFmtId="0" fontId="44" fillId="10" borderId="116" xfId="0" applyFont="1" applyFill="1" applyBorder="1" applyAlignment="1">
      <alignment horizontal="center"/>
    </xf>
    <xf numFmtId="0" fontId="44" fillId="10" borderId="117" xfId="0" applyFont="1" applyFill="1" applyBorder="1" applyAlignment="1">
      <alignment horizontal="center"/>
    </xf>
    <xf numFmtId="0" fontId="44" fillId="10" borderId="37" xfId="0" applyFont="1" applyFill="1" applyBorder="1" applyAlignment="1">
      <alignment horizontal="center"/>
    </xf>
    <xf numFmtId="0" fontId="45" fillId="0" borderId="0" xfId="0" applyFont="1"/>
    <xf numFmtId="0" fontId="47" fillId="11" borderId="0" xfId="1" applyAlignment="1"/>
    <xf numFmtId="0" fontId="0" fillId="12" borderId="119" xfId="2" applyFont="1" applyAlignment="1"/>
    <xf numFmtId="0" fontId="28" fillId="12" borderId="119" xfId="2" applyFont="1" applyAlignment="1"/>
    <xf numFmtId="0" fontId="51" fillId="0" borderId="0" xfId="0" applyFont="1" applyAlignment="1">
      <alignment horizontal="center"/>
    </xf>
    <xf numFmtId="0" fontId="51" fillId="0" borderId="37" xfId="0" applyFont="1" applyBorder="1" applyAlignment="1">
      <alignment horizontal="center"/>
    </xf>
    <xf numFmtId="0" fontId="0" fillId="0" borderId="37" xfId="0" applyBorder="1"/>
    <xf numFmtId="0" fontId="52" fillId="0" borderId="0" xfId="0" applyFont="1"/>
    <xf numFmtId="0" fontId="53" fillId="0" borderId="0" xfId="0" applyFont="1" applyAlignment="1">
      <alignment horizontal="center"/>
    </xf>
    <xf numFmtId="0" fontId="50" fillId="15" borderId="120" xfId="5" applyAlignment="1">
      <alignment horizontal="center"/>
    </xf>
    <xf numFmtId="0" fontId="53" fillId="3" borderId="37" xfId="0" applyFont="1" applyFill="1" applyBorder="1" applyAlignment="1">
      <alignment horizontal="center"/>
    </xf>
    <xf numFmtId="2" fontId="51" fillId="16" borderId="120" xfId="6" applyNumberFormat="1" applyFont="1" applyBorder="1" applyAlignment="1">
      <alignment horizontal="center"/>
    </xf>
    <xf numFmtId="11" fontId="0" fillId="0" borderId="0" xfId="0" applyNumberFormat="1"/>
    <xf numFmtId="0" fontId="50" fillId="15" borderId="120" xfId="5"/>
    <xf numFmtId="0" fontId="3" fillId="14" borderId="121" xfId="4" applyFont="1" applyBorder="1" applyAlignment="1"/>
    <xf numFmtId="2" fontId="3" fillId="14" borderId="122" xfId="4" applyNumberFormat="1" applyFont="1" applyBorder="1" applyAlignment="1"/>
    <xf numFmtId="0" fontId="3" fillId="14" borderId="122" xfId="4" applyFont="1" applyBorder="1" applyAlignment="1"/>
    <xf numFmtId="0" fontId="51" fillId="16" borderId="120" xfId="6" applyFont="1" applyBorder="1" applyAlignment="1">
      <alignment horizontal="center"/>
    </xf>
    <xf numFmtId="0" fontId="51" fillId="16" borderId="122" xfId="6" applyFont="1" applyBorder="1" applyAlignment="1">
      <alignment horizontal="center"/>
    </xf>
    <xf numFmtId="0" fontId="50" fillId="15" borderId="120" xfId="5" applyAlignment="1"/>
    <xf numFmtId="0" fontId="48" fillId="13" borderId="0" xfId="3" applyAlignment="1"/>
    <xf numFmtId="2" fontId="0" fillId="0" borderId="0" xfId="0" applyNumberFormat="1"/>
    <xf numFmtId="2" fontId="11" fillId="3" borderId="37" xfId="0" applyNumberFormat="1" applyFont="1" applyFill="1" applyBorder="1" applyAlignment="1">
      <alignment horizontal="center"/>
    </xf>
    <xf numFmtId="0" fontId="2" fillId="14" borderId="121" xfId="4" applyFont="1" applyBorder="1" applyAlignment="1"/>
    <xf numFmtId="0" fontId="13" fillId="0" borderId="77" xfId="0" applyFont="1" applyBorder="1" applyAlignment="1">
      <alignment wrapText="1"/>
    </xf>
    <xf numFmtId="0" fontId="13" fillId="0" borderId="123" xfId="0" applyFont="1" applyBorder="1" applyAlignment="1">
      <alignment wrapText="1"/>
    </xf>
    <xf numFmtId="0" fontId="27" fillId="0" borderId="124" xfId="0" applyFont="1" applyBorder="1" applyAlignment="1">
      <alignment vertical="center" wrapText="1"/>
    </xf>
    <xf numFmtId="0" fontId="27" fillId="0" borderId="125" xfId="0" applyFont="1" applyBorder="1" applyAlignment="1">
      <alignment horizontal="center" wrapText="1"/>
    </xf>
    <xf numFmtId="0" fontId="27" fillId="0" borderId="126" xfId="0" applyFont="1" applyBorder="1" applyAlignment="1">
      <alignment horizontal="center" wrapText="1"/>
    </xf>
    <xf numFmtId="0" fontId="27" fillId="0" borderId="123" xfId="0" applyFont="1" applyBorder="1" applyAlignment="1">
      <alignment horizontal="center" wrapText="1"/>
    </xf>
    <xf numFmtId="0" fontId="27" fillId="0" borderId="129" xfId="0" applyFont="1" applyBorder="1" applyAlignment="1">
      <alignment horizontal="center" wrapText="1"/>
    </xf>
    <xf numFmtId="0" fontId="27" fillId="0" borderId="85" xfId="0" applyFont="1" applyBorder="1" applyAlignment="1">
      <alignment horizontal="center" vertical="center" wrapText="1"/>
    </xf>
    <xf numFmtId="0" fontId="27" fillId="0" borderId="129" xfId="0" applyFont="1" applyBorder="1" applyAlignment="1">
      <alignment horizontal="center" vertical="center" wrapText="1"/>
    </xf>
    <xf numFmtId="0" fontId="27" fillId="0" borderId="130" xfId="0" applyFont="1" applyBorder="1" applyAlignment="1">
      <alignment horizontal="center" wrapText="1"/>
    </xf>
    <xf numFmtId="0" fontId="27" fillId="0" borderId="126" xfId="0" applyFont="1" applyBorder="1" applyAlignment="1">
      <alignment horizontal="center" vertical="center" wrapText="1"/>
    </xf>
    <xf numFmtId="0" fontId="27" fillId="0" borderId="125" xfId="0" applyFont="1" applyBorder="1" applyAlignment="1">
      <alignment horizontal="center" vertical="center" wrapText="1"/>
    </xf>
    <xf numFmtId="0" fontId="27" fillId="0" borderId="84" xfId="0" applyFont="1" applyBorder="1" applyAlignment="1">
      <alignment horizontal="center" wrapText="1"/>
    </xf>
    <xf numFmtId="0" fontId="13" fillId="0" borderId="77" xfId="0" applyFont="1" applyBorder="1" applyAlignment="1">
      <alignment horizontal="right" wrapText="1"/>
    </xf>
    <xf numFmtId="0" fontId="27" fillId="0" borderId="84" xfId="0" applyFont="1" applyBorder="1" applyAlignment="1">
      <alignment horizontal="center" vertical="center" wrapText="1"/>
    </xf>
    <xf numFmtId="0" fontId="13" fillId="0" borderId="123" xfId="0" applyFont="1" applyBorder="1" applyAlignment="1">
      <alignment vertical="center" wrapText="1"/>
    </xf>
    <xf numFmtId="0" fontId="27" fillId="0" borderId="37" xfId="0" applyFont="1" applyBorder="1" applyAlignment="1">
      <alignment horizontal="center" vertical="center" wrapText="1"/>
    </xf>
    <xf numFmtId="0" fontId="6" fillId="0" borderId="50" xfId="0" applyFont="1" applyBorder="1"/>
    <xf numFmtId="0" fontId="0" fillId="0" borderId="142" xfId="0" applyBorder="1"/>
    <xf numFmtId="0" fontId="0" fillId="0" borderId="143" xfId="0" applyBorder="1"/>
    <xf numFmtId="0" fontId="0" fillId="0" borderId="145" xfId="0" applyBorder="1"/>
    <xf numFmtId="0" fontId="51" fillId="20" borderId="146" xfId="0" applyFont="1" applyFill="1" applyBorder="1" applyAlignment="1">
      <alignment horizontal="center"/>
    </xf>
    <xf numFmtId="0" fontId="51" fillId="20" borderId="146" xfId="0" applyFont="1" applyFill="1" applyBorder="1"/>
    <xf numFmtId="169" fontId="51" fillId="21" borderId="108" xfId="0" applyNumberFormat="1" applyFont="1" applyFill="1" applyBorder="1" applyAlignment="1">
      <alignment horizontal="center"/>
    </xf>
    <xf numFmtId="169" fontId="51" fillId="22" borderId="148" xfId="0" applyNumberFormat="1" applyFont="1" applyFill="1" applyBorder="1" applyAlignment="1">
      <alignment horizontal="center"/>
    </xf>
    <xf numFmtId="2" fontId="51" fillId="21" borderId="148" xfId="0" applyNumberFormat="1" applyFont="1" applyFill="1" applyBorder="1" applyAlignment="1">
      <alignment horizontal="center"/>
    </xf>
    <xf numFmtId="2" fontId="51" fillId="23" borderId="148" xfId="0" applyNumberFormat="1" applyFont="1" applyFill="1" applyBorder="1" applyAlignment="1">
      <alignment horizontal="center"/>
    </xf>
    <xf numFmtId="0" fontId="51" fillId="21" borderId="148" xfId="0" applyFont="1" applyFill="1" applyBorder="1" applyAlignment="1">
      <alignment horizontal="center"/>
    </xf>
    <xf numFmtId="0" fontId="56" fillId="21" borderId="148" xfId="0" applyFont="1" applyFill="1" applyBorder="1" applyAlignment="1">
      <alignment horizontal="center"/>
    </xf>
    <xf numFmtId="0" fontId="51" fillId="21" borderId="149" xfId="0" applyFont="1" applyFill="1" applyBorder="1" applyAlignment="1">
      <alignment horizontal="center"/>
    </xf>
    <xf numFmtId="169" fontId="51" fillId="21" borderId="150" xfId="0" applyNumberFormat="1" applyFont="1" applyFill="1" applyBorder="1" applyAlignment="1">
      <alignment horizontal="center"/>
    </xf>
    <xf numFmtId="2" fontId="51" fillId="21" borderId="122" xfId="0" applyNumberFormat="1" applyFont="1" applyFill="1" applyBorder="1" applyAlignment="1">
      <alignment horizontal="center"/>
    </xf>
    <xf numFmtId="0" fontId="51" fillId="21" borderId="122" xfId="0" applyFont="1" applyFill="1" applyBorder="1" applyAlignment="1">
      <alignment horizontal="center"/>
    </xf>
    <xf numFmtId="0" fontId="56" fillId="21" borderId="122" xfId="0" applyFont="1" applyFill="1" applyBorder="1" applyAlignment="1">
      <alignment horizontal="center"/>
    </xf>
    <xf numFmtId="0" fontId="51" fillId="0" borderId="122" xfId="0" applyFont="1" applyBorder="1" applyAlignment="1">
      <alignment horizontal="center"/>
    </xf>
    <xf numFmtId="0" fontId="51" fillId="21" borderId="151" xfId="0" applyFont="1" applyFill="1" applyBorder="1" applyAlignment="1">
      <alignment horizontal="center"/>
    </xf>
    <xf numFmtId="169" fontId="51" fillId="21" borderId="152" xfId="0" applyNumberFormat="1" applyFont="1" applyFill="1" applyBorder="1" applyAlignment="1">
      <alignment horizontal="center"/>
    </xf>
    <xf numFmtId="169" fontId="51" fillId="22" borderId="153" xfId="0" applyNumberFormat="1" applyFont="1" applyFill="1" applyBorder="1" applyAlignment="1">
      <alignment horizontal="center"/>
    </xf>
    <xf numFmtId="2" fontId="51" fillId="21" borderId="154" xfId="0" applyNumberFormat="1" applyFont="1" applyFill="1" applyBorder="1" applyAlignment="1">
      <alignment horizontal="center"/>
    </xf>
    <xf numFmtId="0" fontId="51" fillId="21" borderId="154" xfId="0" applyFont="1" applyFill="1" applyBorder="1" applyAlignment="1">
      <alignment horizontal="center"/>
    </xf>
    <xf numFmtId="0" fontId="56" fillId="21" borderId="154" xfId="0" applyFont="1" applyFill="1" applyBorder="1" applyAlignment="1">
      <alignment horizontal="center"/>
    </xf>
    <xf numFmtId="0" fontId="51" fillId="21" borderId="155" xfId="0" applyFont="1" applyFill="1" applyBorder="1" applyAlignment="1">
      <alignment horizontal="center"/>
    </xf>
    <xf numFmtId="0" fontId="51" fillId="0" borderId="106" xfId="0" applyFont="1" applyBorder="1" applyAlignment="1">
      <alignment horizontal="center"/>
    </xf>
    <xf numFmtId="169" fontId="51" fillId="19" borderId="117" xfId="0" applyNumberFormat="1" applyFont="1" applyFill="1" applyBorder="1" applyAlignment="1">
      <alignment horizontal="center"/>
    </xf>
    <xf numFmtId="0" fontId="0" fillId="0" borderId="156" xfId="0" applyBorder="1"/>
    <xf numFmtId="0" fontId="51" fillId="0" borderId="100" xfId="0" applyFont="1" applyBorder="1" applyAlignment="1">
      <alignment horizontal="center"/>
    </xf>
    <xf numFmtId="0" fontId="51" fillId="0" borderId="147" xfId="0" applyFont="1" applyBorder="1" applyAlignment="1">
      <alignment horizontal="center"/>
    </xf>
    <xf numFmtId="0" fontId="0" fillId="22" borderId="146" xfId="0" applyFill="1" applyBorder="1" applyAlignment="1">
      <alignment horizontal="center"/>
    </xf>
    <xf numFmtId="169" fontId="51" fillId="19" borderId="100" xfId="0" applyNumberFormat="1" applyFont="1" applyFill="1" applyBorder="1" applyAlignment="1">
      <alignment horizontal="center"/>
    </xf>
    <xf numFmtId="0" fontId="0" fillId="0" borderId="157" xfId="0" applyBorder="1" applyAlignment="1">
      <alignment horizontal="center"/>
    </xf>
    <xf numFmtId="169" fontId="0" fillId="0" borderId="110" xfId="0" applyNumberFormat="1" applyBorder="1" applyAlignment="1">
      <alignment horizontal="center"/>
    </xf>
    <xf numFmtId="0" fontId="57" fillId="21" borderId="106" xfId="0" applyFont="1" applyFill="1" applyBorder="1" applyAlignment="1">
      <alignment horizontal="center"/>
    </xf>
    <xf numFmtId="0" fontId="0" fillId="0" borderId="158" xfId="0" applyBorder="1" applyAlignment="1">
      <alignment horizontal="center"/>
    </xf>
    <xf numFmtId="14" fontId="0" fillId="0" borderId="0" xfId="0" applyNumberFormat="1"/>
    <xf numFmtId="0" fontId="0" fillId="0" borderId="159" xfId="0" applyBorder="1" applyAlignment="1">
      <alignment horizontal="center"/>
    </xf>
    <xf numFmtId="169" fontId="51" fillId="0" borderId="100" xfId="0" applyNumberFormat="1" applyFont="1" applyBorder="1" applyAlignment="1">
      <alignment horizontal="center"/>
    </xf>
    <xf numFmtId="0" fontId="0" fillId="0" borderId="114" xfId="0" applyBorder="1"/>
    <xf numFmtId="0" fontId="0" fillId="0" borderId="144" xfId="0" applyBorder="1"/>
    <xf numFmtId="0" fontId="0" fillId="0" borderId="117" xfId="0" applyBorder="1"/>
    <xf numFmtId="0" fontId="17" fillId="3" borderId="31" xfId="0" applyFont="1" applyFill="1" applyBorder="1" applyAlignment="1">
      <alignment vertical="center"/>
    </xf>
    <xf numFmtId="2" fontId="57" fillId="21" borderId="106" xfId="0" applyNumberFormat="1" applyFont="1" applyFill="1" applyBorder="1" applyAlignment="1">
      <alignment horizontal="center"/>
    </xf>
    <xf numFmtId="0" fontId="45" fillId="0" borderId="37" xfId="7"/>
    <xf numFmtId="0" fontId="45" fillId="0" borderId="37" xfId="7" applyFont="1" applyAlignment="1"/>
    <xf numFmtId="0" fontId="27" fillId="10" borderId="99" xfId="7" applyFont="1" applyFill="1" applyBorder="1" applyAlignment="1"/>
    <xf numFmtId="0" fontId="14" fillId="0" borderId="77" xfId="7" applyFont="1" applyBorder="1" applyAlignment="1">
      <alignment wrapText="1"/>
    </xf>
    <xf numFmtId="0" fontId="25" fillId="0" borderId="160" xfId="7" applyFont="1" applyBorder="1" applyAlignment="1">
      <alignment wrapText="1"/>
    </xf>
    <xf numFmtId="0" fontId="27" fillId="10" borderId="140" xfId="7" applyFont="1" applyFill="1" applyBorder="1" applyAlignment="1"/>
    <xf numFmtId="0" fontId="14" fillId="3" borderId="160" xfId="7" applyFont="1" applyFill="1" applyBorder="1" applyAlignment="1">
      <alignment wrapText="1"/>
    </xf>
    <xf numFmtId="0" fontId="25" fillId="3" borderId="85" xfId="7" applyFont="1" applyFill="1" applyBorder="1" applyAlignment="1">
      <alignment wrapText="1"/>
    </xf>
    <xf numFmtId="0" fontId="25" fillId="24" borderId="160" xfId="7" applyFont="1" applyFill="1" applyBorder="1" applyAlignment="1">
      <alignment wrapText="1"/>
    </xf>
    <xf numFmtId="0" fontId="14" fillId="24" borderId="85" xfId="7" applyFont="1" applyFill="1" applyBorder="1" applyAlignment="1">
      <alignment wrapText="1"/>
    </xf>
    <xf numFmtId="0" fontId="58" fillId="24" borderId="85" xfId="7" applyFont="1" applyFill="1" applyBorder="1" applyAlignment="1">
      <alignment wrapText="1"/>
    </xf>
    <xf numFmtId="0" fontId="25" fillId="24" borderId="85" xfId="7" applyFont="1" applyFill="1" applyBorder="1" applyAlignment="1">
      <alignment wrapText="1"/>
    </xf>
    <xf numFmtId="0" fontId="25" fillId="3" borderId="160" xfId="7" applyFont="1" applyFill="1" applyBorder="1" applyAlignment="1">
      <alignment wrapText="1"/>
    </xf>
    <xf numFmtId="0" fontId="59" fillId="5" borderId="160" xfId="7" applyFont="1" applyFill="1" applyBorder="1" applyAlignment="1">
      <alignment vertical="top" wrapText="1"/>
    </xf>
    <xf numFmtId="0" fontId="25" fillId="0" borderId="85" xfId="7" applyFont="1" applyBorder="1" applyAlignment="1">
      <alignment vertical="center" wrapText="1"/>
    </xf>
    <xf numFmtId="0" fontId="25" fillId="0" borderId="85" xfId="7" applyFont="1" applyBorder="1" applyAlignment="1">
      <alignment wrapText="1"/>
    </xf>
    <xf numFmtId="0" fontId="59" fillId="25" borderId="160" xfId="7" applyFont="1" applyFill="1" applyBorder="1" applyAlignment="1">
      <alignment vertical="top" wrapText="1"/>
    </xf>
    <xf numFmtId="0" fontId="59" fillId="18" borderId="160" xfId="7" applyFont="1" applyFill="1" applyBorder="1" applyAlignment="1">
      <alignment vertical="top" wrapText="1"/>
    </xf>
    <xf numFmtId="0" fontId="25" fillId="18" borderId="85" xfId="7" applyFont="1" applyFill="1" applyBorder="1" applyAlignment="1">
      <alignment vertical="center" wrapText="1"/>
    </xf>
    <xf numFmtId="0" fontId="25" fillId="18" borderId="85" xfId="7" applyFont="1" applyFill="1" applyBorder="1" applyAlignment="1">
      <alignment wrapText="1"/>
    </xf>
    <xf numFmtId="0" fontId="14" fillId="3" borderId="85" xfId="7" applyFont="1" applyFill="1" applyBorder="1" applyAlignment="1">
      <alignment wrapText="1"/>
    </xf>
    <xf numFmtId="0" fontId="14" fillId="0" borderId="161" xfId="7" applyFont="1" applyBorder="1" applyAlignment="1">
      <alignment wrapText="1"/>
    </xf>
    <xf numFmtId="0" fontId="14" fillId="3" borderId="160" xfId="7" applyFont="1" applyFill="1" applyBorder="1" applyAlignment="1">
      <alignment vertical="top" wrapText="1"/>
    </xf>
    <xf numFmtId="0" fontId="25" fillId="3" borderId="85" xfId="7" applyFont="1" applyFill="1" applyBorder="1" applyAlignment="1">
      <alignment vertical="center" wrapText="1"/>
    </xf>
    <xf numFmtId="0" fontId="59" fillId="25" borderId="85" xfId="7" applyFont="1" applyFill="1" applyBorder="1" applyAlignment="1">
      <alignment vertical="top" wrapText="1"/>
    </xf>
    <xf numFmtId="0" fontId="59" fillId="5" borderId="85" xfId="7" applyFont="1" applyFill="1" applyBorder="1" applyAlignment="1">
      <alignment vertical="top" wrapText="1"/>
    </xf>
    <xf numFmtId="0" fontId="59" fillId="3" borderId="85" xfId="7" applyFont="1" applyFill="1" applyBorder="1" applyAlignment="1">
      <alignment vertical="top" wrapText="1"/>
    </xf>
    <xf numFmtId="0" fontId="59" fillId="24" borderId="160" xfId="7" applyFont="1" applyFill="1" applyBorder="1" applyAlignment="1">
      <alignment vertical="top" wrapText="1"/>
    </xf>
    <xf numFmtId="169" fontId="54" fillId="26" borderId="43" xfId="7" applyNumberFormat="1" applyFont="1" applyFill="1" applyBorder="1" applyAlignment="1">
      <alignment horizontal="center"/>
    </xf>
    <xf numFmtId="0" fontId="16" fillId="27" borderId="162" xfId="7" applyFont="1" applyFill="1" applyBorder="1" applyAlignment="1">
      <alignment horizontal="center"/>
    </xf>
    <xf numFmtId="0" fontId="16" fillId="27" borderId="163" xfId="7" applyFont="1" applyFill="1" applyBorder="1" applyAlignment="1">
      <alignment horizontal="center"/>
    </xf>
    <xf numFmtId="0" fontId="16" fillId="27" borderId="164" xfId="7" applyFont="1" applyFill="1" applyBorder="1" applyAlignment="1">
      <alignment horizontal="center"/>
    </xf>
    <xf numFmtId="2" fontId="45" fillId="27" borderId="119" xfId="7" applyNumberFormat="1" applyFont="1" applyFill="1" applyBorder="1" applyAlignment="1">
      <alignment horizontal="center"/>
    </xf>
    <xf numFmtId="2" fontId="45" fillId="27" borderId="119" xfId="7" applyNumberFormat="1" applyFont="1" applyFill="1" applyBorder="1" applyAlignment="1">
      <alignment horizontal="right"/>
    </xf>
    <xf numFmtId="9" fontId="45" fillId="27" borderId="119" xfId="7" applyNumberFormat="1" applyFont="1" applyFill="1" applyBorder="1" applyAlignment="1">
      <alignment horizontal="center"/>
    </xf>
    <xf numFmtId="0" fontId="16" fillId="27" borderId="119" xfId="7" applyFont="1" applyFill="1" applyBorder="1" applyAlignment="1">
      <alignment horizontal="center"/>
    </xf>
    <xf numFmtId="0" fontId="16" fillId="27" borderId="119" xfId="7" applyFont="1" applyFill="1" applyBorder="1"/>
    <xf numFmtId="0" fontId="60" fillId="20" borderId="37" xfId="7" applyFont="1" applyFill="1" applyAlignment="1"/>
    <xf numFmtId="2" fontId="45" fillId="27" borderId="168" xfId="7" applyNumberFormat="1" applyFont="1" applyFill="1" applyBorder="1" applyAlignment="1">
      <alignment horizontal="right"/>
    </xf>
    <xf numFmtId="0" fontId="6" fillId="0" borderId="162" xfId="7" applyFont="1" applyBorder="1"/>
    <xf numFmtId="0" fontId="6" fillId="0" borderId="163" xfId="7" applyFont="1" applyBorder="1"/>
    <xf numFmtId="0" fontId="25" fillId="28" borderId="34" xfId="7" applyFont="1" applyFill="1" applyBorder="1"/>
    <xf numFmtId="0" fontId="14" fillId="25" borderId="160" xfId="7" applyFont="1" applyFill="1" applyBorder="1" applyAlignment="1">
      <alignment vertical="top" wrapText="1"/>
    </xf>
    <xf numFmtId="2" fontId="25" fillId="28" borderId="34" xfId="7" applyNumberFormat="1" applyFont="1" applyFill="1" applyBorder="1"/>
    <xf numFmtId="1" fontId="25" fillId="28" borderId="34" xfId="7" applyNumberFormat="1" applyFont="1" applyFill="1" applyBorder="1"/>
    <xf numFmtId="2" fontId="61" fillId="28" borderId="34" xfId="7" applyNumberFormat="1" applyFont="1" applyFill="1" applyBorder="1"/>
    <xf numFmtId="0" fontId="62" fillId="28" borderId="34" xfId="7" applyFont="1" applyFill="1" applyBorder="1"/>
    <xf numFmtId="0" fontId="54" fillId="28" borderId="34" xfId="7" applyFont="1" applyFill="1" applyBorder="1"/>
    <xf numFmtId="0" fontId="14" fillId="0" borderId="160" xfId="7" applyFont="1" applyBorder="1" applyAlignment="1">
      <alignment wrapText="1"/>
    </xf>
    <xf numFmtId="0" fontId="14" fillId="0" borderId="85" xfId="7" applyFont="1" applyBorder="1" applyAlignment="1">
      <alignment wrapText="1"/>
    </xf>
    <xf numFmtId="0" fontId="27" fillId="10" borderId="71" xfId="7" applyFont="1" applyFill="1" applyBorder="1" applyAlignment="1"/>
    <xf numFmtId="0" fontId="45" fillId="0" borderId="37" xfId="7" applyFont="1"/>
    <xf numFmtId="0" fontId="14" fillId="0" borderId="84" xfId="7" applyFont="1" applyBorder="1" applyAlignment="1">
      <alignment wrapText="1"/>
    </xf>
    <xf numFmtId="0" fontId="63" fillId="21" borderId="148" xfId="0" applyFont="1" applyFill="1" applyBorder="1" applyAlignment="1">
      <alignment horizontal="center"/>
    </xf>
    <xf numFmtId="0" fontId="63" fillId="21" borderId="122" xfId="0" applyFont="1" applyFill="1" applyBorder="1" applyAlignment="1">
      <alignment horizontal="center"/>
    </xf>
    <xf numFmtId="0" fontId="63" fillId="21" borderId="154" xfId="0" applyFont="1" applyFill="1" applyBorder="1" applyAlignment="1">
      <alignment horizontal="center"/>
    </xf>
    <xf numFmtId="2" fontId="64" fillId="21" borderId="106" xfId="0" applyNumberFormat="1" applyFont="1" applyFill="1" applyBorder="1" applyAlignment="1">
      <alignment horizontal="center"/>
    </xf>
    <xf numFmtId="0" fontId="64" fillId="21" borderId="106" xfId="0" applyFont="1" applyFill="1" applyBorder="1" applyAlignment="1">
      <alignment horizontal="center"/>
    </xf>
    <xf numFmtId="0" fontId="48" fillId="13" borderId="37" xfId="3" applyBorder="1"/>
    <xf numFmtId="0" fontId="49" fillId="14" borderId="0" xfId="4"/>
    <xf numFmtId="2" fontId="49" fillId="14" borderId="0" xfId="4" applyNumberFormat="1"/>
    <xf numFmtId="2" fontId="47" fillId="11" borderId="0" xfId="1" applyNumberFormat="1"/>
    <xf numFmtId="0" fontId="48" fillId="13" borderId="0" xfId="3"/>
    <xf numFmtId="0" fontId="47" fillId="11" borderId="0" xfId="1"/>
    <xf numFmtId="0" fontId="5" fillId="3" borderId="31" xfId="0" applyFont="1" applyFill="1" applyBorder="1" applyAlignment="1">
      <alignment vertical="center"/>
    </xf>
    <xf numFmtId="0" fontId="6" fillId="0" borderId="50" xfId="0" applyFont="1" applyBorder="1" applyAlignment="1"/>
    <xf numFmtId="0" fontId="17" fillId="0" borderId="52" xfId="0" applyFont="1" applyBorder="1" applyAlignment="1">
      <alignment vertical="center"/>
    </xf>
    <xf numFmtId="0" fontId="6" fillId="0" borderId="48" xfId="0" applyFont="1" applyBorder="1" applyAlignment="1"/>
    <xf numFmtId="0" fontId="5" fillId="0" borderId="31" xfId="0" applyFont="1" applyBorder="1" applyAlignment="1">
      <alignment vertical="center"/>
    </xf>
    <xf numFmtId="0" fontId="0" fillId="0" borderId="0" xfId="0"/>
    <xf numFmtId="0" fontId="1" fillId="0" borderId="37" xfId="8"/>
    <xf numFmtId="0" fontId="1" fillId="0" borderId="142" xfId="8" applyBorder="1"/>
    <xf numFmtId="0" fontId="1" fillId="0" borderId="145" xfId="8" applyBorder="1"/>
    <xf numFmtId="0" fontId="1" fillId="21" borderId="146" xfId="8" applyFill="1" applyBorder="1"/>
    <xf numFmtId="0" fontId="51" fillId="20" borderId="146" xfId="8" applyFont="1" applyFill="1" applyBorder="1" applyAlignment="1">
      <alignment horizontal="center"/>
    </xf>
    <xf numFmtId="0" fontId="51" fillId="20" borderId="146" xfId="8" applyFont="1" applyFill="1" applyBorder="1"/>
    <xf numFmtId="0" fontId="1" fillId="21" borderId="106" xfId="8" applyFill="1" applyBorder="1" applyAlignment="1">
      <alignment horizontal="center"/>
    </xf>
    <xf numFmtId="2" fontId="1" fillId="21" borderId="122" xfId="8" applyNumberFormat="1" applyFill="1" applyBorder="1" applyAlignment="1">
      <alignment horizontal="center"/>
    </xf>
    <xf numFmtId="169" fontId="1" fillId="21" borderId="122" xfId="8" applyNumberFormat="1" applyFill="1" applyBorder="1" applyAlignment="1">
      <alignment horizontal="center"/>
    </xf>
    <xf numFmtId="2" fontId="1" fillId="30" borderId="122" xfId="8" applyNumberFormat="1" applyFill="1" applyBorder="1" applyAlignment="1">
      <alignment horizontal="center"/>
    </xf>
    <xf numFmtId="1" fontId="1" fillId="30" borderId="122" xfId="8" applyNumberFormat="1" applyFill="1" applyBorder="1" applyAlignment="1">
      <alignment horizontal="center"/>
    </xf>
    <xf numFmtId="1" fontId="1" fillId="21" borderId="122" xfId="8" applyNumberFormat="1" applyFill="1" applyBorder="1" applyAlignment="1">
      <alignment horizontal="center"/>
    </xf>
    <xf numFmtId="0" fontId="1" fillId="22" borderId="146" xfId="8" applyFill="1" applyBorder="1" applyAlignment="1">
      <alignment horizontal="center"/>
    </xf>
    <xf numFmtId="0" fontId="1" fillId="22" borderId="106" xfId="8" applyFill="1" applyBorder="1" applyAlignment="1">
      <alignment horizontal="center"/>
    </xf>
    <xf numFmtId="1" fontId="1" fillId="0" borderId="112" xfId="8" applyNumberFormat="1" applyBorder="1" applyAlignment="1">
      <alignment horizontal="center" vertical="center"/>
    </xf>
    <xf numFmtId="169" fontId="1" fillId="0" borderId="171" xfId="8" applyNumberFormat="1" applyBorder="1" applyAlignment="1">
      <alignment horizontal="center"/>
    </xf>
    <xf numFmtId="1" fontId="1" fillId="0" borderId="150" xfId="8" applyNumberFormat="1" applyBorder="1" applyAlignment="1">
      <alignment horizontal="center" vertical="center"/>
    </xf>
    <xf numFmtId="169" fontId="1" fillId="0" borderId="151" xfId="8" applyNumberFormat="1" applyBorder="1" applyAlignment="1">
      <alignment horizontal="center"/>
    </xf>
    <xf numFmtId="0" fontId="1" fillId="0" borderId="156" xfId="8" applyBorder="1"/>
    <xf numFmtId="169" fontId="1" fillId="19" borderId="100" xfId="8" applyNumberFormat="1" applyFill="1" applyBorder="1"/>
    <xf numFmtId="2" fontId="1" fillId="21" borderId="37" xfId="8" applyNumberFormat="1" applyFill="1"/>
    <xf numFmtId="0" fontId="51" fillId="0" borderId="100" xfId="8" applyFont="1" applyBorder="1" applyAlignment="1">
      <alignment horizontal="center"/>
    </xf>
    <xf numFmtId="0" fontId="51" fillId="0" borderId="147" xfId="8" applyFont="1" applyBorder="1" applyAlignment="1">
      <alignment horizontal="center"/>
    </xf>
    <xf numFmtId="0" fontId="1" fillId="0" borderId="157" xfId="8" applyBorder="1" applyAlignment="1">
      <alignment horizontal="center"/>
    </xf>
    <xf numFmtId="169" fontId="1" fillId="0" borderId="110" xfId="8" applyNumberFormat="1" applyBorder="1" applyAlignment="1">
      <alignment horizontal="center"/>
    </xf>
    <xf numFmtId="0" fontId="1" fillId="0" borderId="158" xfId="8" applyBorder="1" applyAlignment="1">
      <alignment horizontal="center"/>
    </xf>
    <xf numFmtId="0" fontId="1" fillId="29" borderId="37" xfId="8" applyFill="1"/>
    <xf numFmtId="14" fontId="1" fillId="0" borderId="37" xfId="8" applyNumberFormat="1"/>
    <xf numFmtId="0" fontId="1" fillId="0" borderId="159" xfId="8" applyBorder="1" applyAlignment="1">
      <alignment horizontal="center"/>
    </xf>
    <xf numFmtId="0" fontId="1" fillId="0" borderId="100" xfId="8" applyBorder="1" applyAlignment="1">
      <alignment horizontal="center"/>
    </xf>
    <xf numFmtId="169" fontId="1" fillId="0" borderId="100" xfId="8" applyNumberFormat="1" applyBorder="1" applyAlignment="1">
      <alignment horizontal="center"/>
    </xf>
    <xf numFmtId="0" fontId="1" fillId="0" borderId="114" xfId="8" applyBorder="1"/>
    <xf numFmtId="0" fontId="1" fillId="0" borderId="144" xfId="8" applyBorder="1"/>
    <xf numFmtId="2" fontId="1" fillId="0" borderId="142" xfId="8" applyNumberFormat="1" applyBorder="1"/>
    <xf numFmtId="2" fontId="1" fillId="21" borderId="122" xfId="8" applyNumberFormat="1" applyFill="1" applyBorder="1"/>
    <xf numFmtId="169" fontId="1" fillId="21" borderId="122" xfId="8" applyNumberFormat="1" applyFill="1" applyBorder="1"/>
    <xf numFmtId="2" fontId="1" fillId="30" borderId="122" xfId="8" applyNumberFormat="1" applyFill="1" applyBorder="1"/>
    <xf numFmtId="1" fontId="1" fillId="23" borderId="122" xfId="8" applyNumberFormat="1" applyFill="1" applyBorder="1" applyAlignment="1">
      <alignment horizontal="center"/>
    </xf>
    <xf numFmtId="2" fontId="1" fillId="23" borderId="122" xfId="8" applyNumberFormat="1" applyFill="1" applyBorder="1"/>
    <xf numFmtId="2" fontId="1" fillId="22" borderId="122" xfId="8" applyNumberFormat="1" applyFill="1" applyBorder="1"/>
    <xf numFmtId="169" fontId="1" fillId="22" borderId="122" xfId="8" applyNumberFormat="1" applyFill="1" applyBorder="1"/>
    <xf numFmtId="169" fontId="51" fillId="0" borderId="100" xfId="8" applyNumberFormat="1" applyFont="1" applyBorder="1" applyAlignment="1">
      <alignment horizontal="center"/>
    </xf>
    <xf numFmtId="0" fontId="0" fillId="0" borderId="0" xfId="0"/>
    <xf numFmtId="0" fontId="51" fillId="0" borderId="146" xfId="8" applyFont="1" applyBorder="1" applyAlignment="1">
      <alignment horizontal="center" vertical="center"/>
    </xf>
    <xf numFmtId="0" fontId="51" fillId="0" borderId="106" xfId="8" applyFont="1" applyBorder="1" applyAlignment="1">
      <alignment horizontal="center" vertical="center"/>
    </xf>
    <xf numFmtId="0" fontId="51" fillId="20" borderId="146" xfId="8" applyFont="1" applyFill="1" applyBorder="1" applyAlignment="1">
      <alignment horizontal="center" vertical="center"/>
    </xf>
    <xf numFmtId="0" fontId="51" fillId="20" borderId="103" xfId="8" applyFont="1" applyFill="1" applyBorder="1" applyAlignment="1">
      <alignment horizontal="center" vertical="center"/>
    </xf>
    <xf numFmtId="0" fontId="51" fillId="20" borderId="146" xfId="8" applyFont="1" applyFill="1" applyBorder="1" applyAlignment="1">
      <alignment horizontal="center" vertical="center" wrapText="1"/>
    </xf>
    <xf numFmtId="0" fontId="51" fillId="20" borderId="103" xfId="8" applyFont="1" applyFill="1" applyBorder="1" applyAlignment="1">
      <alignment horizontal="center" vertical="center" wrapText="1"/>
    </xf>
    <xf numFmtId="0" fontId="51" fillId="20" borderId="118" xfId="8" applyFont="1" applyFill="1" applyBorder="1" applyAlignment="1">
      <alignment horizontal="center"/>
    </xf>
    <xf numFmtId="0" fontId="51" fillId="20" borderId="147" xfId="8" applyFont="1" applyFill="1" applyBorder="1" applyAlignment="1">
      <alignment horizontal="center"/>
    </xf>
    <xf numFmtId="0" fontId="65" fillId="19" borderId="141" xfId="8" applyFont="1" applyFill="1" applyBorder="1" applyAlignment="1">
      <alignment horizontal="center" vertical="center" wrapText="1"/>
    </xf>
    <xf numFmtId="0" fontId="65" fillId="19" borderId="142" xfId="8" applyFont="1" applyFill="1" applyBorder="1" applyAlignment="1">
      <alignment horizontal="center" vertical="center"/>
    </xf>
    <xf numFmtId="0" fontId="65" fillId="19" borderId="143" xfId="8" applyFont="1" applyFill="1" applyBorder="1" applyAlignment="1">
      <alignment horizontal="center" vertical="center"/>
    </xf>
    <xf numFmtId="0" fontId="65" fillId="19" borderId="114" xfId="8" applyFont="1" applyFill="1" applyBorder="1" applyAlignment="1">
      <alignment horizontal="center" vertical="center"/>
    </xf>
    <xf numFmtId="0" fontId="65" fillId="19" borderId="144" xfId="8" applyFont="1" applyFill="1" applyBorder="1" applyAlignment="1">
      <alignment horizontal="center" vertical="center"/>
    </xf>
    <xf numFmtId="0" fontId="65" fillId="19" borderId="117" xfId="8" applyFont="1" applyFill="1" applyBorder="1" applyAlignment="1">
      <alignment horizontal="center" vertical="center"/>
    </xf>
    <xf numFmtId="0" fontId="1" fillId="0" borderId="118" xfId="8" applyBorder="1" applyAlignment="1">
      <alignment horizontal="center"/>
    </xf>
    <xf numFmtId="0" fontId="1" fillId="0" borderId="147" xfId="8" applyBorder="1" applyAlignment="1">
      <alignment horizontal="center"/>
    </xf>
    <xf numFmtId="0" fontId="55" fillId="19" borderId="141" xfId="8" applyFont="1" applyFill="1" applyBorder="1" applyAlignment="1">
      <alignment horizontal="center" vertical="center" wrapText="1"/>
    </xf>
    <xf numFmtId="0" fontId="55" fillId="19" borderId="142" xfId="8" applyFont="1" applyFill="1" applyBorder="1" applyAlignment="1">
      <alignment horizontal="center" vertical="center"/>
    </xf>
    <xf numFmtId="0" fontId="55" fillId="19" borderId="143" xfId="8" applyFont="1" applyFill="1" applyBorder="1" applyAlignment="1">
      <alignment horizontal="center" vertical="center"/>
    </xf>
    <xf numFmtId="0" fontId="55" fillId="19" borderId="114" xfId="8" applyFont="1" applyFill="1" applyBorder="1" applyAlignment="1">
      <alignment horizontal="center" vertical="center"/>
    </xf>
    <xf numFmtId="0" fontId="55" fillId="19" borderId="144" xfId="8" applyFont="1" applyFill="1" applyBorder="1" applyAlignment="1">
      <alignment horizontal="center" vertical="center"/>
    </xf>
    <xf numFmtId="0" fontId="55" fillId="19" borderId="117" xfId="8" applyFont="1" applyFill="1" applyBorder="1" applyAlignment="1">
      <alignment horizontal="center" vertical="center"/>
    </xf>
    <xf numFmtId="0" fontId="51" fillId="20" borderId="157" xfId="8" applyFont="1" applyFill="1" applyBorder="1" applyAlignment="1">
      <alignment horizontal="center" vertical="center" wrapText="1"/>
    </xf>
    <xf numFmtId="0" fontId="51" fillId="20" borderId="146" xfId="0" applyFont="1" applyFill="1" applyBorder="1" applyAlignment="1">
      <alignment horizontal="center" vertical="center"/>
    </xf>
    <xf numFmtId="0" fontId="51" fillId="20" borderId="10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1" fillId="20" borderId="146" xfId="0" applyFont="1" applyFill="1" applyBorder="1" applyAlignment="1">
      <alignment horizontal="center" vertical="center" wrapText="1"/>
    </xf>
    <xf numFmtId="0" fontId="51" fillId="20" borderId="103" xfId="0" applyFont="1" applyFill="1" applyBorder="1" applyAlignment="1">
      <alignment horizontal="center" vertical="center" wrapText="1"/>
    </xf>
    <xf numFmtId="0" fontId="51" fillId="20" borderId="118" xfId="0" applyFont="1" applyFill="1" applyBorder="1" applyAlignment="1">
      <alignment horizontal="center"/>
    </xf>
    <xf numFmtId="0" fontId="51" fillId="20" borderId="147" xfId="0" applyFont="1" applyFill="1" applyBorder="1" applyAlignment="1">
      <alignment horizontal="center"/>
    </xf>
    <xf numFmtId="0" fontId="55" fillId="19" borderId="141" xfId="0" applyFont="1" applyFill="1" applyBorder="1" applyAlignment="1">
      <alignment horizontal="center" vertical="center"/>
    </xf>
    <xf numFmtId="0" fontId="55" fillId="19" borderId="142" xfId="0" applyFont="1" applyFill="1" applyBorder="1" applyAlignment="1">
      <alignment horizontal="center" vertical="center"/>
    </xf>
    <xf numFmtId="0" fontId="55" fillId="19" borderId="143" xfId="0" applyFont="1" applyFill="1" applyBorder="1" applyAlignment="1">
      <alignment horizontal="center" vertical="center"/>
    </xf>
    <xf numFmtId="0" fontId="55" fillId="19" borderId="114" xfId="0" applyFont="1" applyFill="1" applyBorder="1" applyAlignment="1">
      <alignment horizontal="center" vertical="center"/>
    </xf>
    <xf numFmtId="0" fontId="55" fillId="19" borderId="144" xfId="0" applyFont="1" applyFill="1" applyBorder="1" applyAlignment="1">
      <alignment horizontal="center" vertical="center"/>
    </xf>
    <xf numFmtId="0" fontId="55" fillId="19" borderId="117" xfId="0" applyFont="1" applyFill="1" applyBorder="1" applyAlignment="1">
      <alignment horizontal="center" vertical="center"/>
    </xf>
    <xf numFmtId="0" fontId="0" fillId="0" borderId="0" xfId="0"/>
    <xf numFmtId="0" fontId="66" fillId="32" borderId="172" xfId="9" applyFont="1" applyFill="1" applyBorder="1" applyAlignment="1">
      <alignment horizontal="center"/>
    </xf>
    <xf numFmtId="0" fontId="66" fillId="0" borderId="173" xfId="9" applyFont="1" applyFill="1" applyBorder="1" applyAlignment="1">
      <alignment horizontal="right" wrapText="1"/>
    </xf>
    <xf numFmtId="0" fontId="0" fillId="33" borderId="0" xfId="0" applyFill="1"/>
    <xf numFmtId="0" fontId="0" fillId="0" borderId="0" xfId="0" applyAlignment="1"/>
    <xf numFmtId="0" fontId="0" fillId="22" borderId="0" xfId="0" applyFill="1"/>
    <xf numFmtId="0" fontId="0" fillId="0" borderId="0" xfId="0" applyAlignment="1">
      <alignment horizontal="right"/>
    </xf>
    <xf numFmtId="1" fontId="0" fillId="22" borderId="0" xfId="0" applyNumberFormat="1" applyFill="1"/>
    <xf numFmtId="0" fontId="0" fillId="0" borderId="0" xfId="0"/>
    <xf numFmtId="0" fontId="51" fillId="20" borderId="147" xfId="8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169" fontId="56" fillId="31" borderId="118" xfId="8" applyNumberFormat="1" applyFont="1" applyFill="1" applyBorder="1" applyAlignment="1">
      <alignment horizontal="center" wrapText="1"/>
    </xf>
    <xf numFmtId="169" fontId="56" fillId="31" borderId="147" xfId="8" applyNumberFormat="1" applyFont="1" applyFill="1" applyBorder="1" applyAlignment="1">
      <alignment horizontal="center" wrapText="1"/>
    </xf>
    <xf numFmtId="0" fontId="51" fillId="0" borderId="146" xfId="8" applyFont="1" applyBorder="1" applyAlignment="1">
      <alignment horizontal="center" vertical="center"/>
    </xf>
    <xf numFmtId="0" fontId="51" fillId="0" borderId="106" xfId="8" applyFont="1" applyBorder="1" applyAlignment="1">
      <alignment horizontal="center" vertical="center"/>
    </xf>
    <xf numFmtId="0" fontId="51" fillId="20" borderId="118" xfId="8" applyFont="1" applyFill="1" applyBorder="1" applyAlignment="1">
      <alignment horizontal="center"/>
    </xf>
    <xf numFmtId="0" fontId="51" fillId="20" borderId="147" xfId="8" applyFont="1" applyFill="1" applyBorder="1" applyAlignment="1">
      <alignment horizontal="center"/>
    </xf>
    <xf numFmtId="0" fontId="51" fillId="20" borderId="146" xfId="8" applyFont="1" applyFill="1" applyBorder="1" applyAlignment="1">
      <alignment horizontal="center" vertical="center"/>
    </xf>
    <xf numFmtId="0" fontId="51" fillId="20" borderId="103" xfId="8" applyFont="1" applyFill="1" applyBorder="1" applyAlignment="1">
      <alignment horizontal="center" vertical="center"/>
    </xf>
    <xf numFmtId="0" fontId="1" fillId="0" borderId="118" xfId="8" applyBorder="1" applyAlignment="1">
      <alignment horizontal="center"/>
    </xf>
    <xf numFmtId="0" fontId="1" fillId="0" borderId="147" xfId="8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25" fillId="3" borderId="34" xfId="0" applyFont="1" applyFill="1" applyBorder="1" applyAlignment="1">
      <alignment horizontal="center" vertical="center"/>
    </xf>
    <xf numFmtId="0" fontId="25" fillId="3" borderId="34" xfId="0" applyFont="1" applyFill="1" applyBorder="1" applyAlignment="1">
      <alignment horizontal="center" vertical="center" wrapText="1"/>
    </xf>
    <xf numFmtId="0" fontId="67" fillId="0" borderId="34" xfId="0" applyFont="1" applyBorder="1"/>
    <xf numFmtId="0" fontId="14" fillId="0" borderId="34" xfId="0" applyFont="1" applyBorder="1"/>
    <xf numFmtId="0" fontId="9" fillId="0" borderId="29" xfId="0" applyFont="1" applyBorder="1" applyAlignment="1">
      <alignment horizontal="left" vertical="center"/>
    </xf>
    <xf numFmtId="0" fontId="6" fillId="0" borderId="33" xfId="0" applyFont="1" applyBorder="1"/>
    <xf numFmtId="0" fontId="6" fillId="0" borderId="30" xfId="0" applyFont="1" applyBorder="1"/>
    <xf numFmtId="0" fontId="5" fillId="0" borderId="31" xfId="0" applyFont="1" applyBorder="1" applyAlignment="1">
      <alignment horizontal="center" vertical="center"/>
    </xf>
    <xf numFmtId="0" fontId="6" fillId="0" borderId="50" xfId="0" applyFont="1" applyBorder="1"/>
    <xf numFmtId="0" fontId="5" fillId="0" borderId="1" xfId="0" applyFont="1" applyBorder="1" applyAlignment="1">
      <alignment horizontal="left" vertical="center" wrapText="1"/>
    </xf>
    <xf numFmtId="0" fontId="6" fillId="0" borderId="2" xfId="0" applyFont="1" applyBorder="1"/>
    <xf numFmtId="0" fontId="6" fillId="0" borderId="3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0" fontId="7" fillId="0" borderId="4" xfId="0" applyFont="1" applyBorder="1" applyAlignment="1">
      <alignment horizontal="center" vertical="center"/>
    </xf>
    <xf numFmtId="0" fontId="6" fillId="0" borderId="5" xfId="0" applyFont="1" applyBorder="1"/>
    <xf numFmtId="0" fontId="6" fillId="0" borderId="6" xfId="0" applyFont="1" applyBorder="1"/>
    <xf numFmtId="0" fontId="4" fillId="0" borderId="12" xfId="0" applyFont="1" applyBorder="1" applyAlignment="1">
      <alignment horizontal="left" vertical="center" wrapText="1"/>
    </xf>
    <xf numFmtId="0" fontId="6" fillId="0" borderId="13" xfId="0" applyFont="1" applyBorder="1"/>
    <xf numFmtId="0" fontId="6" fillId="0" borderId="14" xfId="0" applyFont="1" applyBorder="1"/>
    <xf numFmtId="0" fontId="4" fillId="0" borderId="16" xfId="0" applyFont="1" applyBorder="1" applyAlignment="1">
      <alignment horizontal="center"/>
    </xf>
    <xf numFmtId="0" fontId="6" fillId="0" borderId="17" xfId="0" applyFont="1" applyBorder="1"/>
    <xf numFmtId="0" fontId="6" fillId="0" borderId="18" xfId="0" applyFont="1" applyBorder="1"/>
    <xf numFmtId="164" fontId="4" fillId="0" borderId="16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6" fillId="0" borderId="21" xfId="0" applyFont="1" applyBorder="1"/>
    <xf numFmtId="0" fontId="11" fillId="0" borderId="22" xfId="0" applyFont="1" applyBorder="1" applyAlignment="1">
      <alignment horizontal="left"/>
    </xf>
    <xf numFmtId="0" fontId="6" fillId="0" borderId="23" xfId="0" applyFont="1" applyBorder="1"/>
    <xf numFmtId="0" fontId="6" fillId="0" borderId="26" xfId="0" applyFont="1" applyBorder="1"/>
    <xf numFmtId="0" fontId="7" fillId="0" borderId="29" xfId="0" applyFont="1" applyBorder="1" applyAlignment="1">
      <alignment horizontal="left" vertical="center"/>
    </xf>
    <xf numFmtId="165" fontId="10" fillId="0" borderId="31" xfId="0" applyNumberFormat="1" applyFont="1" applyBorder="1" applyAlignment="1">
      <alignment horizontal="center" vertical="center"/>
    </xf>
    <xf numFmtId="0" fontId="11" fillId="0" borderId="29" xfId="0" applyFont="1" applyBorder="1" applyAlignment="1">
      <alignment horizontal="left"/>
    </xf>
    <xf numFmtId="0" fontId="11" fillId="0" borderId="36" xfId="0" applyFont="1" applyBorder="1" applyAlignment="1">
      <alignment horizontal="center"/>
    </xf>
    <xf numFmtId="0" fontId="0" fillId="0" borderId="39" xfId="0" applyBorder="1" applyAlignment="1">
      <alignment horizontal="center" vertical="center" wrapText="1"/>
    </xf>
    <xf numFmtId="0" fontId="0" fillId="0" borderId="0" xfId="0"/>
    <xf numFmtId="0" fontId="16" fillId="0" borderId="44" xfId="0" applyFont="1" applyBorder="1"/>
    <xf numFmtId="0" fontId="6" fillId="0" borderId="45" xfId="0" applyFont="1" applyBorder="1"/>
    <xf numFmtId="0" fontId="6" fillId="0" borderId="46" xfId="0" applyFont="1" applyBorder="1"/>
    <xf numFmtId="0" fontId="5" fillId="0" borderId="22" xfId="0" applyFont="1" applyBorder="1" applyAlignment="1">
      <alignment horizontal="center" vertical="center"/>
    </xf>
    <xf numFmtId="0" fontId="6" fillId="0" borderId="49" xfId="0" applyFont="1" applyBorder="1"/>
    <xf numFmtId="1" fontId="5" fillId="2" borderId="31" xfId="0" applyNumberFormat="1" applyFont="1" applyFill="1" applyBorder="1" applyAlignment="1">
      <alignment horizontal="center" vertical="center"/>
    </xf>
    <xf numFmtId="165" fontId="5" fillId="0" borderId="31" xfId="0" applyNumberFormat="1" applyFont="1" applyBorder="1" applyAlignment="1">
      <alignment horizontal="center" vertical="center"/>
    </xf>
    <xf numFmtId="0" fontId="9" fillId="0" borderId="31" xfId="0" applyFont="1" applyBorder="1" applyAlignment="1">
      <alignment horizontal="left" vertical="center"/>
    </xf>
    <xf numFmtId="0" fontId="15" fillId="0" borderId="44" xfId="0" applyFont="1" applyBorder="1" applyAlignment="1">
      <alignment horizontal="left" vertical="center"/>
    </xf>
    <xf numFmtId="0" fontId="5" fillId="0" borderId="31" xfId="0" applyFont="1" applyBorder="1" applyAlignment="1">
      <alignment horizontal="center"/>
    </xf>
    <xf numFmtId="0" fontId="27" fillId="0" borderId="87" xfId="0" applyFont="1" applyBorder="1" applyAlignment="1">
      <alignment horizontal="center" wrapText="1"/>
    </xf>
    <xf numFmtId="0" fontId="6" fillId="0" borderId="88" xfId="0" applyFont="1" applyBorder="1"/>
    <xf numFmtId="0" fontId="6" fillId="0" borderId="89" xfId="0" applyFont="1" applyBorder="1"/>
    <xf numFmtId="0" fontId="27" fillId="0" borderId="87" xfId="0" applyFont="1" applyBorder="1" applyAlignment="1">
      <alignment wrapText="1"/>
    </xf>
    <xf numFmtId="0" fontId="0" fillId="0" borderId="87" xfId="0" applyBorder="1" applyAlignment="1">
      <alignment wrapText="1"/>
    </xf>
    <xf numFmtId="0" fontId="27" fillId="0" borderId="87" xfId="0" applyFont="1" applyBorder="1" applyAlignment="1">
      <alignment horizontal="left" vertical="center"/>
    </xf>
    <xf numFmtId="0" fontId="6" fillId="0" borderId="90" xfId="0" applyFont="1" applyBorder="1"/>
    <xf numFmtId="0" fontId="27" fillId="0" borderId="93" xfId="0" applyFont="1" applyBorder="1" applyAlignment="1">
      <alignment horizontal="left" vertical="center"/>
    </xf>
    <xf numFmtId="0" fontId="6" fillId="0" borderId="94" xfId="0" applyFont="1" applyBorder="1"/>
    <xf numFmtId="0" fontId="27" fillId="0" borderId="73" xfId="0" applyFont="1" applyBorder="1" applyAlignment="1">
      <alignment horizontal="left" vertical="center"/>
    </xf>
    <xf numFmtId="0" fontId="6" fillId="0" borderId="92" xfId="0" applyFont="1" applyBorder="1"/>
    <xf numFmtId="0" fontId="16" fillId="0" borderId="87" xfId="0" applyFont="1" applyBorder="1" applyAlignment="1">
      <alignment wrapText="1"/>
    </xf>
    <xf numFmtId="0" fontId="4" fillId="0" borderId="29" xfId="0" applyFont="1" applyBorder="1" applyAlignment="1">
      <alignment horizontal="left"/>
    </xf>
    <xf numFmtId="0" fontId="24" fillId="0" borderId="29" xfId="0" applyFont="1" applyBorder="1" applyAlignment="1">
      <alignment horizontal="left"/>
    </xf>
    <xf numFmtId="0" fontId="29" fillId="0" borderId="53" xfId="0" applyFont="1" applyBorder="1" applyAlignment="1">
      <alignment horizontal="center" vertical="center" wrapText="1"/>
    </xf>
    <xf numFmtId="0" fontId="6" fillId="0" borderId="53" xfId="0" applyFont="1" applyBorder="1"/>
    <xf numFmtId="0" fontId="6" fillId="0" borderId="68" xfId="0" applyFont="1" applyBorder="1"/>
    <xf numFmtId="0" fontId="23" fillId="0" borderId="22" xfId="0" applyFont="1" applyBorder="1" applyAlignment="1">
      <alignment horizontal="center"/>
    </xf>
    <xf numFmtId="0" fontId="28" fillId="5" borderId="59" xfId="0" applyFont="1" applyFill="1" applyBorder="1" applyAlignment="1">
      <alignment horizontal="left"/>
    </xf>
    <xf numFmtId="0" fontId="6" fillId="0" borderId="62" xfId="0" applyFont="1" applyBorder="1"/>
    <xf numFmtId="0" fontId="6" fillId="0" borderId="64" xfId="0" applyFont="1" applyBorder="1"/>
    <xf numFmtId="0" fontId="27" fillId="0" borderId="29" xfId="0" applyFont="1" applyBorder="1" applyAlignment="1">
      <alignment wrapText="1"/>
    </xf>
    <xf numFmtId="0" fontId="28" fillId="5" borderId="56" xfId="0" applyFont="1" applyFill="1" applyBorder="1" applyAlignment="1">
      <alignment horizontal="left"/>
    </xf>
    <xf numFmtId="0" fontId="0" fillId="0" borderId="29" xfId="0" applyBorder="1" applyAlignment="1">
      <alignment wrapText="1"/>
    </xf>
    <xf numFmtId="0" fontId="5" fillId="0" borderId="87" xfId="0" applyFont="1" applyBorder="1" applyAlignment="1">
      <alignment horizontal="left" vertical="center"/>
    </xf>
    <xf numFmtId="0" fontId="19" fillId="0" borderId="95" xfId="0" applyFont="1" applyBorder="1" applyAlignment="1">
      <alignment horizontal="center" vertical="center" wrapText="1"/>
    </xf>
    <xf numFmtId="0" fontId="6" fillId="0" borderId="96" xfId="0" applyFont="1" applyBorder="1"/>
    <xf numFmtId="0" fontId="6" fillId="0" borderId="99" xfId="0" applyFont="1" applyBorder="1"/>
    <xf numFmtId="0" fontId="35" fillId="0" borderId="95" xfId="0" applyFont="1" applyBorder="1" applyAlignment="1">
      <alignment horizontal="center" vertical="center" wrapText="1"/>
    </xf>
    <xf numFmtId="0" fontId="44" fillId="10" borderId="118" xfId="0" applyFont="1" applyFill="1" applyBorder="1" applyAlignment="1">
      <alignment horizontal="center"/>
    </xf>
    <xf numFmtId="0" fontId="44" fillId="10" borderId="102" xfId="0" applyFont="1" applyFill="1" applyBorder="1" applyAlignment="1">
      <alignment horizontal="center"/>
    </xf>
    <xf numFmtId="0" fontId="44" fillId="10" borderId="101" xfId="0" applyFont="1" applyFill="1" applyBorder="1" applyAlignment="1">
      <alignment horizontal="center"/>
    </xf>
    <xf numFmtId="0" fontId="27" fillId="0" borderId="133" xfId="0" applyFont="1" applyBorder="1" applyAlignment="1">
      <alignment horizontal="center" vertical="center" wrapText="1"/>
    </xf>
    <xf numFmtId="0" fontId="27" fillId="0" borderId="127" xfId="0" applyFont="1" applyBorder="1" applyAlignment="1">
      <alignment horizontal="center" vertical="center" wrapText="1"/>
    </xf>
    <xf numFmtId="0" fontId="27" fillId="0" borderId="128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6" fillId="27" borderId="167" xfId="7" applyFont="1" applyFill="1" applyBorder="1" applyAlignment="1">
      <alignment horizontal="center"/>
    </xf>
    <xf numFmtId="0" fontId="6" fillId="0" borderId="166" xfId="7" applyFont="1" applyBorder="1"/>
    <xf numFmtId="0" fontId="6" fillId="0" borderId="165" xfId="7" applyFont="1" applyBorder="1"/>
    <xf numFmtId="0" fontId="54" fillId="17" borderId="72" xfId="7" applyFont="1" applyFill="1" applyBorder="1" applyAlignment="1">
      <alignment horizontal="center"/>
    </xf>
    <xf numFmtId="0" fontId="54" fillId="17" borderId="71" xfId="7" applyFont="1" applyFill="1" applyBorder="1" applyAlignment="1">
      <alignment horizontal="center"/>
    </xf>
    <xf numFmtId="0" fontId="45" fillId="0" borderId="170" xfId="7" applyFont="1" applyBorder="1" applyAlignment="1">
      <alignment horizontal="center"/>
    </xf>
    <xf numFmtId="0" fontId="45" fillId="0" borderId="169" xfId="7" applyFont="1" applyBorder="1" applyAlignment="1">
      <alignment horizontal="center"/>
    </xf>
    <xf numFmtId="0" fontId="45" fillId="0" borderId="37" xfId="7" applyFont="1" applyAlignment="1">
      <alignment horizontal="center"/>
    </xf>
    <xf numFmtId="0" fontId="45" fillId="0" borderId="37" xfId="7" applyFont="1" applyAlignment="1"/>
    <xf numFmtId="0" fontId="54" fillId="28" borderId="72" xfId="7" applyFont="1" applyFill="1" applyBorder="1" applyAlignment="1">
      <alignment horizontal="center"/>
    </xf>
    <xf numFmtId="0" fontId="54" fillId="28" borderId="71" xfId="7" applyFont="1" applyFill="1" applyBorder="1" applyAlignment="1">
      <alignment horizontal="center"/>
    </xf>
    <xf numFmtId="2" fontId="25" fillId="28" borderId="72" xfId="7" applyNumberFormat="1" applyFont="1" applyFill="1" applyBorder="1" applyAlignment="1">
      <alignment horizontal="center"/>
    </xf>
    <xf numFmtId="2" fontId="25" fillId="28" borderId="71" xfId="7" applyNumberFormat="1" applyFont="1" applyFill="1" applyBorder="1" applyAlignment="1">
      <alignment horizontal="center"/>
    </xf>
    <xf numFmtId="0" fontId="13" fillId="0" borderId="134" xfId="0" applyFont="1" applyBorder="1" applyAlignment="1">
      <alignment wrapText="1"/>
    </xf>
    <xf numFmtId="0" fontId="13" fillId="0" borderId="24" xfId="0" applyFont="1" applyBorder="1" applyAlignment="1">
      <alignment wrapText="1"/>
    </xf>
    <xf numFmtId="0" fontId="13" fillId="0" borderId="135" xfId="0" applyFont="1" applyBorder="1" applyAlignment="1">
      <alignment wrapText="1"/>
    </xf>
    <xf numFmtId="0" fontId="13" fillId="0" borderId="136" xfId="0" applyFont="1" applyBorder="1" applyAlignment="1">
      <alignment wrapText="1"/>
    </xf>
    <xf numFmtId="0" fontId="13" fillId="0" borderId="131" xfId="0" applyFont="1" applyBorder="1" applyAlignment="1">
      <alignment wrapText="1"/>
    </xf>
    <xf numFmtId="0" fontId="13" fillId="0" borderId="132" xfId="0" applyFont="1" applyBorder="1" applyAlignment="1">
      <alignment wrapText="1"/>
    </xf>
    <xf numFmtId="0" fontId="13" fillId="0" borderId="137" xfId="0" applyFont="1" applyBorder="1" applyAlignment="1">
      <alignment wrapText="1"/>
    </xf>
    <xf numFmtId="0" fontId="13" fillId="0" borderId="138" xfId="0" applyFont="1" applyBorder="1" applyAlignment="1">
      <alignment wrapText="1"/>
    </xf>
    <xf numFmtId="0" fontId="13" fillId="0" borderId="139" xfId="0" applyFont="1" applyBorder="1" applyAlignment="1">
      <alignment wrapText="1"/>
    </xf>
  </cellXfs>
  <cellStyles count="10">
    <cellStyle name="20% - Accent1" xfId="6" builtinId="30"/>
    <cellStyle name="Bad" xfId="4" builtinId="27"/>
    <cellStyle name="Calculation" xfId="5" builtinId="22"/>
    <cellStyle name="Good" xfId="3" builtinId="26"/>
    <cellStyle name="Neutral" xfId="1" builtinId="28"/>
    <cellStyle name="Normal" xfId="0" builtinId="0"/>
    <cellStyle name="Normal 2" xfId="7"/>
    <cellStyle name="Normal 3" xfId="8"/>
    <cellStyle name="Normale_Foglio1" xfId="9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</xdr:row>
      <xdr:rowOff>66675</xdr:rowOff>
    </xdr:from>
    <xdr:ext cx="933450" cy="8953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412866</xdr:colOff>
      <xdr:row>142</xdr:row>
      <xdr:rowOff>90780</xdr:rowOff>
    </xdr:from>
    <xdr:ext cx="2847583" cy="344672"/>
    <xdr:pic>
      <xdr:nvPicPr>
        <xdr:cNvPr id="6" name="Picture 5">
          <a:extLst>
            <a:ext uri="{FF2B5EF4-FFF2-40B4-BE49-F238E27FC236}">
              <a16:creationId xmlns:a16="http://schemas.microsoft.com/office/drawing/2014/main" id="{5C576CA7-4CDB-41DB-9352-07A401A24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043649" y="29212432"/>
          <a:ext cx="2847583" cy="344672"/>
        </a:xfrm>
        <a:prstGeom prst="rect">
          <a:avLst/>
        </a:prstGeom>
      </xdr:spPr>
    </xdr:pic>
    <xdr:clientData/>
  </xdr:oneCellAnchor>
  <xdr:oneCellAnchor>
    <xdr:from>
      <xdr:col>31</xdr:col>
      <xdr:colOff>291232</xdr:colOff>
      <xdr:row>167</xdr:row>
      <xdr:rowOff>72658</xdr:rowOff>
    </xdr:from>
    <xdr:ext cx="2210931" cy="267612"/>
    <xdr:pic>
      <xdr:nvPicPr>
        <xdr:cNvPr id="7" name="Picture 6">
          <a:extLst>
            <a:ext uri="{FF2B5EF4-FFF2-40B4-BE49-F238E27FC236}">
              <a16:creationId xmlns:a16="http://schemas.microsoft.com/office/drawing/2014/main" id="{9E0F618B-BC8D-4D98-B1E9-8EBF0ACF3C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09203" y="26585776"/>
          <a:ext cx="2210931" cy="267612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19050</xdr:colOff>
          <xdr:row>10</xdr:row>
          <xdr:rowOff>9525</xdr:rowOff>
        </xdr:from>
        <xdr:to>
          <xdr:col>28</xdr:col>
          <xdr:colOff>1047750</xdr:colOff>
          <xdr:row>10</xdr:row>
          <xdr:rowOff>371475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kcplservices.azurewebsites.net/admin/sizing_app/nomenclatureevapmodel/1/change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00"/>
  <sheetViews>
    <sheetView showGridLines="0" zoomScale="90" zoomScaleNormal="90" workbookViewId="0">
      <selection activeCell="J16" sqref="J16"/>
    </sheetView>
  </sheetViews>
  <sheetFormatPr defaultColWidth="14.42578125" defaultRowHeight="15" customHeight="1"/>
  <cols>
    <col min="1" max="1" width="9.140625" customWidth="1"/>
    <col min="2" max="2" width="9.5703125" customWidth="1"/>
    <col min="3" max="3" width="9.42578125" customWidth="1"/>
    <col min="4" max="4" width="9.85546875" customWidth="1"/>
    <col min="5" max="5" width="25.7109375" customWidth="1"/>
    <col min="6" max="6" width="23.7109375" customWidth="1"/>
    <col min="7" max="7" width="14.28515625" customWidth="1"/>
    <col min="8" max="8" width="17.7109375" customWidth="1"/>
    <col min="9" max="9" width="25.28515625" customWidth="1"/>
    <col min="10" max="10" width="14.140625" customWidth="1"/>
    <col min="11" max="11" width="5.28515625" customWidth="1"/>
    <col min="12" max="12" width="12.28515625" customWidth="1"/>
    <col min="13" max="13" width="9.85546875" customWidth="1"/>
    <col min="14" max="14" width="12.140625" customWidth="1"/>
    <col min="15" max="21" width="7.85546875" customWidth="1"/>
    <col min="22" max="26" width="8" customWidth="1"/>
  </cols>
  <sheetData>
    <row r="1" spans="1:26" ht="12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46.5" customHeight="1">
      <c r="A2" s="1"/>
      <c r="B2" s="505"/>
      <c r="C2" s="506"/>
      <c r="D2" s="506"/>
      <c r="E2" s="507"/>
      <c r="F2" s="511" t="s">
        <v>0</v>
      </c>
      <c r="G2" s="512"/>
      <c r="H2" s="512"/>
      <c r="I2" s="513"/>
      <c r="J2" s="2" t="s">
        <v>1</v>
      </c>
      <c r="K2" s="3">
        <v>1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6.75" customHeight="1">
      <c r="A3" s="1"/>
      <c r="B3" s="508"/>
      <c r="C3" s="509"/>
      <c r="D3" s="509"/>
      <c r="E3" s="510"/>
      <c r="F3" s="4" t="s">
        <v>2</v>
      </c>
      <c r="G3" s="514" t="s">
        <v>3</v>
      </c>
      <c r="H3" s="515"/>
      <c r="I3" s="516"/>
      <c r="J3" s="2" t="s">
        <v>4</v>
      </c>
      <c r="K3" s="3">
        <v>3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1"/>
      <c r="B4" s="5" t="s">
        <v>5</v>
      </c>
      <c r="C4" s="517">
        <v>1</v>
      </c>
      <c r="D4" s="518"/>
      <c r="E4" s="519"/>
      <c r="F4" s="6" t="s">
        <v>6</v>
      </c>
      <c r="G4" s="520">
        <v>43839</v>
      </c>
      <c r="H4" s="518"/>
      <c r="I4" s="519"/>
      <c r="J4" s="7" t="s">
        <v>7</v>
      </c>
      <c r="K4" s="8">
        <v>0</v>
      </c>
      <c r="L4" s="1"/>
      <c r="M4" s="9"/>
      <c r="N4" s="10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4.75" customHeight="1">
      <c r="A5" s="1"/>
      <c r="B5" s="521" t="s">
        <v>8</v>
      </c>
      <c r="C5" s="506"/>
      <c r="D5" s="506"/>
      <c r="E5" s="506"/>
      <c r="F5" s="506"/>
      <c r="G5" s="506"/>
      <c r="H5" s="506"/>
      <c r="I5" s="506"/>
      <c r="J5" s="506"/>
      <c r="K5" s="522"/>
      <c r="L5" s="1"/>
      <c r="M5" s="11"/>
      <c r="N5" s="10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4.75" customHeight="1">
      <c r="A6" s="1"/>
      <c r="B6" s="12" t="s">
        <v>9</v>
      </c>
      <c r="C6" s="13"/>
      <c r="D6" s="14"/>
      <c r="E6" s="14"/>
      <c r="F6" s="15">
        <f>I26</f>
        <v>171.40254746253859</v>
      </c>
      <c r="G6" s="523" t="s">
        <v>10</v>
      </c>
      <c r="H6" s="524"/>
      <c r="I6" s="525"/>
      <c r="J6" s="16">
        <f>Sheet3!AI18</f>
        <v>12</v>
      </c>
      <c r="K6" s="17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4.75" customHeight="1">
      <c r="A7" s="1"/>
      <c r="B7" s="526" t="s">
        <v>11</v>
      </c>
      <c r="C7" s="502"/>
      <c r="D7" s="527">
        <f>F7*3.516</f>
        <v>595.32996122764007</v>
      </c>
      <c r="E7" s="502"/>
      <c r="F7" s="18">
        <f>Sheet3!AG14</f>
        <v>169.32023925700798</v>
      </c>
      <c r="G7" s="528" t="s">
        <v>12</v>
      </c>
      <c r="H7" s="501"/>
      <c r="I7" s="502"/>
      <c r="J7" s="19">
        <f>Sheet3!AH18</f>
        <v>122</v>
      </c>
      <c r="K7" s="20"/>
      <c r="L7" s="21"/>
      <c r="M7" s="22"/>
      <c r="N7" s="23"/>
      <c r="O7" s="1"/>
      <c r="P7" s="1"/>
      <c r="Q7" s="1">
        <f>P7*16.66</f>
        <v>0</v>
      </c>
      <c r="R7" s="1"/>
      <c r="S7" s="1"/>
      <c r="T7" s="1"/>
      <c r="U7" s="1"/>
      <c r="V7" s="1"/>
      <c r="W7" s="1"/>
      <c r="X7" s="1"/>
      <c r="Y7" s="1"/>
      <c r="Z7" s="1"/>
    </row>
    <row r="8" spans="1:26" ht="24.75" customHeight="1">
      <c r="A8" s="1"/>
      <c r="B8" s="529" t="s">
        <v>13</v>
      </c>
      <c r="C8" s="506"/>
      <c r="D8" s="258">
        <f>Sheet3!AG15</f>
        <v>126.90988219885328</v>
      </c>
      <c r="E8" s="24" t="s">
        <v>13</v>
      </c>
      <c r="F8" s="25"/>
      <c r="G8" s="528" t="s">
        <v>14</v>
      </c>
      <c r="H8" s="501"/>
      <c r="I8" s="502"/>
      <c r="J8" s="19">
        <f>Sheet3!AI19</f>
        <v>12</v>
      </c>
      <c r="K8" s="20"/>
      <c r="L8" s="21"/>
      <c r="M8" s="26">
        <f>F12-N11</f>
        <v>3.3102482312196941</v>
      </c>
      <c r="N8" s="23"/>
      <c r="O8" s="1">
        <v>1.7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7.75" customHeight="1">
      <c r="A9" s="1"/>
      <c r="B9" s="530" t="s">
        <v>15</v>
      </c>
      <c r="C9" s="531"/>
      <c r="D9" s="27">
        <v>20322</v>
      </c>
      <c r="E9" s="28" t="s">
        <v>278</v>
      </c>
      <c r="F9" s="29"/>
      <c r="G9" s="528" t="s">
        <v>16</v>
      </c>
      <c r="H9" s="501"/>
      <c r="I9" s="502"/>
      <c r="J9" s="30">
        <f>Sheet3!AH19</f>
        <v>150</v>
      </c>
      <c r="K9" s="31"/>
      <c r="L9" s="21"/>
      <c r="M9" s="26">
        <f>N12-J13</f>
        <v>3.447363406646744</v>
      </c>
      <c r="N9" s="23"/>
      <c r="O9" s="1">
        <v>2.2000000000000002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5" customHeight="1">
      <c r="A10" s="1"/>
      <c r="B10" s="32"/>
      <c r="C10" s="33"/>
      <c r="D10" s="34"/>
      <c r="E10" s="33"/>
      <c r="F10" s="35"/>
      <c r="G10" s="532" t="s">
        <v>17</v>
      </c>
      <c r="H10" s="533"/>
      <c r="I10" s="534"/>
      <c r="J10" s="36">
        <v>31</v>
      </c>
      <c r="K10" s="37"/>
      <c r="L10" s="1"/>
      <c r="M10" s="11"/>
      <c r="N10" s="10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5" customHeight="1">
      <c r="A11" s="1"/>
      <c r="B11" s="535" t="s">
        <v>18</v>
      </c>
      <c r="C11" s="524"/>
      <c r="D11" s="524"/>
      <c r="E11" s="524"/>
      <c r="F11" s="536"/>
      <c r="G11" s="535" t="s">
        <v>19</v>
      </c>
      <c r="H11" s="524"/>
      <c r="I11" s="524"/>
      <c r="J11" s="524"/>
      <c r="K11" s="536"/>
      <c r="L11" s="1"/>
      <c r="M11" s="38" t="s">
        <v>20</v>
      </c>
      <c r="N11" s="39">
        <f>'CALCULATIONS &amp; OUTPUT'!H6</f>
        <v>3.6897517687803059</v>
      </c>
      <c r="O11" t="s">
        <v>21</v>
      </c>
      <c r="P11" s="1">
        <f t="shared" ref="P11:P12" si="0">(N11*9/5)+32</f>
        <v>38.641553183804554</v>
      </c>
      <c r="Q11" t="s">
        <v>22</v>
      </c>
      <c r="R11" s="1"/>
      <c r="S11" s="1"/>
      <c r="T11" s="1"/>
      <c r="U11" s="1"/>
      <c r="V11" s="1"/>
      <c r="W11" s="1"/>
      <c r="X11" s="1"/>
      <c r="Y11" s="1"/>
      <c r="Z11" s="1"/>
    </row>
    <row r="12" spans="1:26" ht="19.5" customHeight="1">
      <c r="A12" s="1">
        <f t="shared" ref="A12:A13" si="1">(F12*9/5)+32</f>
        <v>44.6</v>
      </c>
      <c r="B12" s="500" t="s">
        <v>23</v>
      </c>
      <c r="C12" s="501"/>
      <c r="D12" s="501"/>
      <c r="E12" s="502"/>
      <c r="F12" s="40">
        <v>7</v>
      </c>
      <c r="G12" s="500" t="s">
        <v>24</v>
      </c>
      <c r="H12" s="501"/>
      <c r="I12" s="502"/>
      <c r="J12" s="319">
        <v>30</v>
      </c>
      <c r="K12" s="277"/>
      <c r="L12" s="1">
        <f t="shared" ref="L12:L13" si="2">(J12*9/5)+32</f>
        <v>86</v>
      </c>
      <c r="M12" s="38" t="s">
        <v>25</v>
      </c>
      <c r="N12" s="41">
        <f>'CALCULATIONS &amp; OUTPUT'!H7</f>
        <v>38.447363406646744</v>
      </c>
      <c r="O12" t="s">
        <v>21</v>
      </c>
      <c r="P12" s="1">
        <f t="shared" si="0"/>
        <v>101.20525413196414</v>
      </c>
      <c r="Q12" t="s">
        <v>22</v>
      </c>
      <c r="R12" s="1"/>
      <c r="S12" s="1"/>
      <c r="T12" s="1"/>
      <c r="U12" s="1"/>
      <c r="V12" s="1"/>
      <c r="W12" s="1"/>
      <c r="X12" s="1"/>
      <c r="Y12" s="1"/>
      <c r="Z12" s="1"/>
    </row>
    <row r="13" spans="1:26" ht="19.5" customHeight="1">
      <c r="A13" s="1">
        <f t="shared" si="1"/>
        <v>53.6</v>
      </c>
      <c r="B13" s="500" t="s">
        <v>24</v>
      </c>
      <c r="C13" s="501"/>
      <c r="D13" s="501"/>
      <c r="E13" s="502"/>
      <c r="F13" s="40">
        <v>12</v>
      </c>
      <c r="G13" s="500" t="s">
        <v>23</v>
      </c>
      <c r="H13" s="501"/>
      <c r="I13" s="502"/>
      <c r="J13" s="319">
        <v>35</v>
      </c>
      <c r="K13" s="277"/>
      <c r="L13" s="1">
        <f t="shared" si="2"/>
        <v>95</v>
      </c>
      <c r="M13" s="38" t="s">
        <v>26</v>
      </c>
      <c r="N13" s="39">
        <f>'CALCULATIONS &amp; OUTPUT'!H8</f>
        <v>1.1802550728051528</v>
      </c>
      <c r="O13" t="s">
        <v>27</v>
      </c>
      <c r="P13" s="1">
        <f>3.28084*N13</f>
        <v>3.8722280530620576</v>
      </c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5" customHeight="1">
      <c r="A14" s="1">
        <f>0.27778*F14</f>
        <v>28.366477349802405</v>
      </c>
      <c r="B14" s="500" t="s">
        <v>28</v>
      </c>
      <c r="C14" s="501"/>
      <c r="D14" s="501"/>
      <c r="E14" s="502"/>
      <c r="F14" s="42">
        <f>((D7)/3.516)*50.45/(F13-F12)*0.06*J21</f>
        <v>102.11850151127656</v>
      </c>
      <c r="G14" s="500"/>
      <c r="H14" s="501"/>
      <c r="I14" s="502"/>
      <c r="J14" s="537">
        <f>((D7+D8)/3.516)*50.45*0.06/(J13-J12)</f>
        <v>124.35836211899861</v>
      </c>
      <c r="K14" s="504"/>
      <c r="L14" s="1">
        <f>J14*0.27778</f>
        <v>34.544265829415437</v>
      </c>
      <c r="M14" s="38" t="s">
        <v>29</v>
      </c>
      <c r="N14" s="39">
        <f>'CALCULATIONS &amp; OUTPUT'!H9</f>
        <v>0.10622888588353389</v>
      </c>
      <c r="O14" t="s">
        <v>30</v>
      </c>
      <c r="P14" s="1">
        <f>N14*100</f>
        <v>10.622888588353389</v>
      </c>
      <c r="Q14" s="1" t="s">
        <v>31</v>
      </c>
      <c r="R14" s="1">
        <f>N14*33.45</f>
        <v>3.5533562328042092</v>
      </c>
      <c r="S14" s="1" t="s">
        <v>32</v>
      </c>
      <c r="T14" s="1"/>
      <c r="U14" s="1"/>
      <c r="V14" s="1"/>
      <c r="W14" s="1"/>
      <c r="X14" s="1"/>
      <c r="Y14" s="1"/>
      <c r="Z14" s="1"/>
    </row>
    <row r="15" spans="1:26" ht="19.5" customHeight="1">
      <c r="A15" s="1">
        <f>F15*3.7854</f>
        <v>1701.9699050207403</v>
      </c>
      <c r="B15" s="500" t="s">
        <v>33</v>
      </c>
      <c r="C15" s="501"/>
      <c r="D15" s="501"/>
      <c r="E15" s="502"/>
      <c r="F15" s="43">
        <f>4.402868*F14</f>
        <v>449.61428251195122</v>
      </c>
      <c r="G15" s="500" t="s">
        <v>33</v>
      </c>
      <c r="H15" s="501"/>
      <c r="I15" s="502"/>
      <c r="J15" s="538">
        <f>4.402868*J14</f>
        <v>547.53345310615111</v>
      </c>
      <c r="K15" s="504"/>
      <c r="L15" s="1">
        <f>J15*3.7854</f>
        <v>2072.6331333880244</v>
      </c>
      <c r="M15" s="38" t="s">
        <v>34</v>
      </c>
      <c r="N15" s="39">
        <f>'CALCULATIONS &amp; OUTPUT'!H10</f>
        <v>1.1690013359559936</v>
      </c>
      <c r="O15" t="s">
        <v>27</v>
      </c>
      <c r="P15" s="1">
        <f>3.28084*N15</f>
        <v>3.8353063430578622</v>
      </c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5" customHeight="1">
      <c r="A16" s="1"/>
      <c r="B16" s="500" t="s">
        <v>35</v>
      </c>
      <c r="C16" s="501"/>
      <c r="D16" s="501"/>
      <c r="E16" s="502"/>
      <c r="F16" s="44">
        <v>1</v>
      </c>
      <c r="G16" s="500" t="s">
        <v>35</v>
      </c>
      <c r="H16" s="501"/>
      <c r="I16" s="502"/>
      <c r="J16" s="385">
        <v>1</v>
      </c>
      <c r="K16" s="386"/>
      <c r="L16" s="1"/>
      <c r="M16" s="38" t="s">
        <v>36</v>
      </c>
      <c r="N16" s="39">
        <f>'CALCULATIONS &amp; OUTPUT'!H11</f>
        <v>0.12991730915759106</v>
      </c>
      <c r="O16" t="s">
        <v>30</v>
      </c>
      <c r="P16" s="1">
        <f>N16*100</f>
        <v>12.991730915759106</v>
      </c>
      <c r="Q16" s="1" t="s">
        <v>31</v>
      </c>
      <c r="R16" s="1">
        <f>N16*33.45</f>
        <v>4.3457339913214215</v>
      </c>
      <c r="S16" s="1" t="s">
        <v>32</v>
      </c>
      <c r="T16" s="1"/>
      <c r="U16" s="1"/>
      <c r="V16" s="1"/>
      <c r="W16" s="1"/>
      <c r="X16" s="1"/>
      <c r="Y16" s="1"/>
      <c r="Z16" s="1"/>
    </row>
    <row r="17" spans="1:26" ht="19.5" customHeight="1">
      <c r="A17" s="1"/>
      <c r="B17" s="500" t="s">
        <v>37</v>
      </c>
      <c r="C17" s="501"/>
      <c r="D17" s="501"/>
      <c r="E17" s="502"/>
      <c r="F17" s="45">
        <v>1.7999999999999999E-2</v>
      </c>
      <c r="G17" s="500" t="s">
        <v>38</v>
      </c>
      <c r="H17" s="501"/>
      <c r="I17" s="502"/>
      <c r="J17" s="385">
        <v>4.3999999999999997E-2</v>
      </c>
      <c r="K17" s="386"/>
      <c r="L17" s="1"/>
      <c r="M17" s="38" t="s">
        <v>39</v>
      </c>
      <c r="N17" s="39">
        <f>'CALCULATIONS &amp; OUTPUT'!H12</f>
        <v>5.8709172710947968</v>
      </c>
      <c r="O17" t="s">
        <v>40</v>
      </c>
      <c r="P17" s="1">
        <f>(N17*9/5)+32</f>
        <v>42.567651087970631</v>
      </c>
      <c r="Q17" t="s">
        <v>22</v>
      </c>
      <c r="R17" s="1"/>
      <c r="S17" s="1"/>
      <c r="T17" s="1"/>
      <c r="U17" s="1"/>
      <c r="V17" s="1"/>
      <c r="W17" s="1"/>
      <c r="X17" s="1"/>
      <c r="Y17" s="1"/>
      <c r="Z17" s="1"/>
    </row>
    <row r="18" spans="1:26" ht="19.5" customHeight="1">
      <c r="A18" s="1"/>
      <c r="B18" s="500" t="s">
        <v>41</v>
      </c>
      <c r="C18" s="501"/>
      <c r="D18" s="501"/>
      <c r="E18" s="502"/>
      <c r="F18" s="46" t="s">
        <v>994</v>
      </c>
      <c r="G18" s="500" t="s">
        <v>41</v>
      </c>
      <c r="H18" s="501"/>
      <c r="I18" s="502"/>
      <c r="J18" s="389" t="s">
        <v>994</v>
      </c>
      <c r="K18" s="386"/>
      <c r="L18" s="1"/>
      <c r="M18" s="38" t="s">
        <v>43</v>
      </c>
      <c r="N18" s="39">
        <f>'CALCULATIONS &amp; OUTPUT'!C35</f>
        <v>5.4293160298338288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9.5" customHeight="1">
      <c r="A19" s="1"/>
      <c r="B19" s="500" t="s">
        <v>44</v>
      </c>
      <c r="C19" s="501"/>
      <c r="D19" s="501"/>
      <c r="E19" s="502"/>
      <c r="F19" s="46">
        <v>0.57999999999999996</v>
      </c>
      <c r="G19" s="500" t="s">
        <v>44</v>
      </c>
      <c r="H19" s="501"/>
      <c r="I19" s="502"/>
      <c r="J19" s="503">
        <v>0.57999999999999996</v>
      </c>
      <c r="K19" s="504"/>
      <c r="L19" s="1"/>
      <c r="M19" s="38" t="s">
        <v>45</v>
      </c>
      <c r="N19" s="39">
        <f>'CALCULATIONS &amp; OUTPUT'!C77</f>
        <v>5.5838059433523277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9.5" customHeight="1">
      <c r="A20" s="1"/>
      <c r="B20" s="540" t="s">
        <v>46</v>
      </c>
      <c r="C20" s="533"/>
      <c r="D20" s="533"/>
      <c r="E20" s="534"/>
      <c r="F20" s="47">
        <v>0</v>
      </c>
      <c r="G20" s="540" t="s">
        <v>46</v>
      </c>
      <c r="H20" s="533"/>
      <c r="I20" s="534"/>
      <c r="J20" s="387">
        <v>0</v>
      </c>
      <c r="K20" s="388"/>
      <c r="L20" s="1"/>
      <c r="M20" s="11"/>
      <c r="N20" s="48">
        <f>N12-N17</f>
        <v>32.576446135551947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9.5" customHeight="1">
      <c r="A21" s="1"/>
      <c r="B21" s="49"/>
      <c r="C21" s="49"/>
      <c r="D21" s="49"/>
      <c r="E21" s="49"/>
      <c r="F21" s="49"/>
      <c r="G21" s="49" t="s">
        <v>47</v>
      </c>
      <c r="H21" s="49"/>
      <c r="I21" s="49"/>
      <c r="J21" s="50">
        <f>'DATA BASE'!X17</f>
        <v>0.99621515281773287</v>
      </c>
      <c r="K21" s="51"/>
      <c r="L21" s="1"/>
      <c r="M21" s="9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9.5" customHeight="1">
      <c r="A22" s="1"/>
      <c r="B22" s="49"/>
      <c r="C22" s="49"/>
      <c r="D22" s="52"/>
      <c r="H22" s="49"/>
      <c r="I22" s="49"/>
      <c r="J22" s="50"/>
      <c r="K22" s="50"/>
      <c r="L22" s="1"/>
      <c r="M22" s="11"/>
      <c r="N22" s="1"/>
      <c r="O22" s="1"/>
      <c r="P22" s="1"/>
      <c r="Q22" s="1"/>
      <c r="R22" s="10"/>
      <c r="S22" s="1"/>
      <c r="T22" s="1"/>
      <c r="U22" s="1"/>
      <c r="V22" s="1"/>
      <c r="W22" s="1"/>
      <c r="X22" s="1"/>
      <c r="Y22" s="1"/>
      <c r="Z22" s="1"/>
    </row>
    <row r="23" spans="1:26" ht="19.5" customHeight="1">
      <c r="A23" s="1"/>
      <c r="B23" s="541" t="s">
        <v>48</v>
      </c>
      <c r="C23" s="501"/>
      <c r="D23" s="501"/>
      <c r="E23" s="501"/>
      <c r="F23" s="502"/>
      <c r="G23" s="49"/>
      <c r="H23" s="53"/>
      <c r="I23" s="54"/>
      <c r="J23" s="50"/>
      <c r="K23" s="50"/>
      <c r="L23" s="1"/>
      <c r="M23" s="11"/>
      <c r="N23" s="1"/>
      <c r="O23" s="1"/>
      <c r="P23" s="1"/>
      <c r="Q23" s="1"/>
      <c r="R23" s="10"/>
      <c r="S23" s="1"/>
      <c r="T23" s="1"/>
      <c r="U23" s="1"/>
      <c r="V23" s="1"/>
      <c r="W23" s="1"/>
      <c r="X23" s="1"/>
      <c r="Y23" s="1"/>
      <c r="Z23" s="1"/>
    </row>
    <row r="24" spans="1:26" ht="48" customHeight="1">
      <c r="A24" s="1"/>
      <c r="B24" s="539" t="s">
        <v>49</v>
      </c>
      <c r="C24" s="501"/>
      <c r="D24" s="501"/>
      <c r="E24" s="502"/>
      <c r="F24" s="55">
        <f>D8</f>
        <v>126.90988219885328</v>
      </c>
      <c r="G24" s="52"/>
      <c r="H24" s="56" t="s">
        <v>50</v>
      </c>
      <c r="I24" s="57">
        <f>F25*F26*(N17-5)</f>
        <v>7.321395650645627</v>
      </c>
      <c r="J24" s="57"/>
      <c r="K24" s="57"/>
      <c r="L24" s="1"/>
      <c r="M24" s="11"/>
      <c r="N24" s="10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32.25" customHeight="1">
      <c r="A25" s="1"/>
      <c r="B25" s="539" t="s">
        <v>51</v>
      </c>
      <c r="C25" s="501"/>
      <c r="D25" s="501"/>
      <c r="E25" s="502"/>
      <c r="F25" s="58">
        <f>G25/3600</f>
        <v>5.6449999999999996</v>
      </c>
      <c r="G25" s="49">
        <f>D9</f>
        <v>20322</v>
      </c>
      <c r="H25" s="56" t="s">
        <v>52</v>
      </c>
      <c r="I25" s="59">
        <f>I24/3.516</f>
        <v>2.0823082055306106</v>
      </c>
      <c r="J25" s="50"/>
      <c r="K25" s="50"/>
      <c r="L25" s="1"/>
      <c r="M25" s="11"/>
      <c r="N25" s="1"/>
      <c r="O25" s="1"/>
      <c r="P25" s="1"/>
      <c r="Q25" s="1"/>
      <c r="R25" s="10"/>
      <c r="S25" s="1"/>
      <c r="T25" s="1"/>
      <c r="U25" s="1"/>
      <c r="V25" s="1"/>
      <c r="W25" s="1"/>
      <c r="X25" s="1"/>
      <c r="Y25" s="1"/>
      <c r="Z25" s="1"/>
    </row>
    <row r="26" spans="1:26" ht="36" customHeight="1">
      <c r="A26" s="1"/>
      <c r="B26" s="539" t="s">
        <v>53</v>
      </c>
      <c r="C26" s="501"/>
      <c r="D26" s="501"/>
      <c r="E26" s="502"/>
      <c r="F26" s="58">
        <f>'refrigerant properties'!C2</f>
        <v>1.4892000000000001</v>
      </c>
      <c r="G26" s="60"/>
      <c r="H26" s="60" t="s">
        <v>54</v>
      </c>
      <c r="I26" s="61">
        <f>I25+F7</f>
        <v>171.40254746253859</v>
      </c>
      <c r="J26" s="62"/>
      <c r="K26" s="62"/>
      <c r="L26" s="1"/>
      <c r="M26" s="1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36" customHeight="1">
      <c r="A27" s="1"/>
      <c r="B27" s="63"/>
      <c r="C27" s="63"/>
      <c r="D27" s="63"/>
      <c r="E27" s="63"/>
      <c r="F27" s="64"/>
      <c r="G27" s="60"/>
      <c r="H27" s="60"/>
      <c r="I27" s="60"/>
      <c r="J27" s="62"/>
      <c r="K27" s="62"/>
      <c r="L27" s="1"/>
      <c r="M27" s="1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7.25" customHeight="1">
      <c r="A28" s="1"/>
      <c r="B28" s="60"/>
      <c r="C28" s="10"/>
      <c r="D28" s="10"/>
      <c r="E28" s="10"/>
      <c r="F28" s="10"/>
      <c r="G28" s="10"/>
      <c r="H28" s="10"/>
      <c r="I28" s="10"/>
      <c r="J28" s="65"/>
      <c r="K28" s="65"/>
      <c r="L28" s="1"/>
      <c r="M28" s="1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7.25" customHeight="1">
      <c r="A29" s="1"/>
      <c r="B29" s="60"/>
      <c r="C29" s="10"/>
      <c r="D29" s="10"/>
      <c r="E29" s="10"/>
      <c r="F29" s="10"/>
      <c r="G29" s="10"/>
      <c r="H29" s="10"/>
      <c r="I29" s="10" t="s">
        <v>55</v>
      </c>
      <c r="J29" s="65" t="s">
        <v>56</v>
      </c>
      <c r="K29" s="65"/>
      <c r="L29" s="1"/>
      <c r="M29" s="1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7.25" customHeight="1">
      <c r="A30" s="1"/>
      <c r="B30" s="1"/>
      <c r="C30" s="1"/>
      <c r="D30" s="1"/>
      <c r="E30" s="1"/>
      <c r="F30" s="1">
        <v>1</v>
      </c>
      <c r="G30" s="1"/>
      <c r="H30" s="1" t="s">
        <v>57</v>
      </c>
      <c r="I30" s="1">
        <v>1.7600000000000001E-2</v>
      </c>
      <c r="J30" s="1">
        <v>1E-4</v>
      </c>
      <c r="K30" s="1"/>
      <c r="L30" s="1"/>
      <c r="M30" s="1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>
      <c r="A31" s="1"/>
      <c r="B31" s="1"/>
      <c r="C31" s="1"/>
      <c r="D31" s="1"/>
      <c r="E31" s="1"/>
      <c r="F31" s="1">
        <v>2</v>
      </c>
      <c r="G31" s="1"/>
      <c r="H31" s="1" t="s">
        <v>42</v>
      </c>
      <c r="I31" s="1">
        <v>4.3999999999999997E-2</v>
      </c>
      <c r="J31" s="1">
        <v>2.5000000000000001E-4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>
      <c r="A32" s="1"/>
      <c r="B32" s="1"/>
      <c r="C32" s="1"/>
      <c r="D32" s="1"/>
      <c r="E32" s="1"/>
      <c r="F32" s="1">
        <v>3</v>
      </c>
      <c r="G32" s="1"/>
      <c r="H32" s="66" t="s">
        <v>58</v>
      </c>
      <c r="I32" s="67">
        <v>0.1</v>
      </c>
      <c r="J32" s="1">
        <v>5.0000000000000001E-4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>
      <c r="A33" s="1"/>
      <c r="B33" s="1"/>
      <c r="C33" s="1"/>
      <c r="D33" s="1"/>
      <c r="E33" s="1"/>
      <c r="F33" s="1">
        <v>4</v>
      </c>
      <c r="G33" s="68"/>
      <c r="H33" s="66" t="s">
        <v>59</v>
      </c>
      <c r="I33" s="68">
        <v>0.13200000000000001</v>
      </c>
      <c r="J33" s="1">
        <v>7.5000000000000002E-4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>
      <c r="A34" s="1"/>
      <c r="B34" s="1"/>
      <c r="C34" s="1"/>
      <c r="D34" s="1"/>
      <c r="E34" s="1"/>
      <c r="F34" s="1"/>
      <c r="G34" s="1"/>
      <c r="H34" s="1"/>
      <c r="I34" s="1">
        <v>0.17599999999999999</v>
      </c>
      <c r="J34" s="1">
        <v>1E-3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>
      <c r="A35" s="1"/>
      <c r="B35" s="1"/>
      <c r="C35" s="1"/>
      <c r="D35" s="1"/>
      <c r="E35" s="1"/>
      <c r="F35" s="1"/>
      <c r="G35" s="1"/>
      <c r="H35" s="1"/>
      <c r="I35" s="1">
        <v>0.35199999999999998</v>
      </c>
      <c r="J35" s="1">
        <v>2E-3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>
      <c r="A36" s="1"/>
      <c r="B36" s="1"/>
      <c r="C36" s="1"/>
      <c r="D36" s="1"/>
      <c r="E36" s="1"/>
      <c r="F36" s="1"/>
      <c r="G36" s="68"/>
      <c r="H36" s="66"/>
      <c r="I36" s="68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>
      <c r="A42" s="1"/>
      <c r="B42" s="1"/>
      <c r="C42" s="1"/>
      <c r="D42" s="1"/>
      <c r="E42" s="1"/>
      <c r="F42" s="6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>
      <c r="A43" s="1"/>
      <c r="B43" s="1"/>
      <c r="C43" s="1"/>
      <c r="D43" s="1"/>
      <c r="E43" s="1"/>
      <c r="F43" s="1"/>
      <c r="G43" s="1"/>
      <c r="H43" s="10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>
      <c r="A45" s="1"/>
      <c r="B45" s="1"/>
      <c r="C45" s="1"/>
      <c r="D45" s="1"/>
      <c r="E45" s="1"/>
      <c r="F45" s="1"/>
      <c r="G45" s="69"/>
      <c r="H45" s="1"/>
      <c r="I45" s="70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>
      <c r="A46" s="1"/>
      <c r="B46" s="1"/>
      <c r="C46" s="1"/>
      <c r="D46" s="1"/>
      <c r="E46" s="1"/>
      <c r="F46" s="1"/>
      <c r="G46" s="7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>
      <c r="A47" s="1"/>
      <c r="B47" s="1"/>
      <c r="C47" s="1"/>
      <c r="D47" s="1"/>
      <c r="E47" s="1"/>
      <c r="F47" s="10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>
      <c r="A50" s="1"/>
      <c r="B50" s="1"/>
      <c r="C50" s="1"/>
      <c r="D50" s="1"/>
      <c r="E50" s="1"/>
      <c r="F50" s="66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>
      <c r="A51" s="1"/>
      <c r="B51" s="1"/>
      <c r="C51" s="1"/>
      <c r="D51" s="1"/>
      <c r="E51" s="1"/>
      <c r="F51" s="1"/>
      <c r="G51" s="1"/>
      <c r="H51" s="10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>
      <c r="A53" s="1"/>
      <c r="B53" s="1"/>
      <c r="C53" s="1"/>
      <c r="D53" s="1"/>
      <c r="E53" s="1"/>
      <c r="F53" s="1"/>
      <c r="G53" s="71"/>
      <c r="H53" s="1"/>
      <c r="I53" s="70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/>
    <row r="237" spans="1:26" ht="15.75" customHeight="1"/>
    <row r="238" spans="1:26" ht="15.75" customHeight="1"/>
    <row r="239" spans="1:26" ht="15.75" customHeight="1"/>
    <row r="240" spans="1:26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2">
    <mergeCell ref="B25:E25"/>
    <mergeCell ref="B26:E26"/>
    <mergeCell ref="B20:E20"/>
    <mergeCell ref="G20:I20"/>
    <mergeCell ref="B23:F23"/>
    <mergeCell ref="B24:E24"/>
    <mergeCell ref="G16:I16"/>
    <mergeCell ref="B14:E14"/>
    <mergeCell ref="G14:I14"/>
    <mergeCell ref="J14:K14"/>
    <mergeCell ref="B15:E15"/>
    <mergeCell ref="G15:I15"/>
    <mergeCell ref="J15:K15"/>
    <mergeCell ref="B16:E16"/>
    <mergeCell ref="B8:C8"/>
    <mergeCell ref="G8:I8"/>
    <mergeCell ref="B9:C9"/>
    <mergeCell ref="G9:I9"/>
    <mergeCell ref="G13:I13"/>
    <mergeCell ref="G10:I10"/>
    <mergeCell ref="B11:F11"/>
    <mergeCell ref="G11:K11"/>
    <mergeCell ref="B12:E12"/>
    <mergeCell ref="G12:I12"/>
    <mergeCell ref="B13:E13"/>
    <mergeCell ref="B5:K5"/>
    <mergeCell ref="G6:I6"/>
    <mergeCell ref="B7:C7"/>
    <mergeCell ref="D7:E7"/>
    <mergeCell ref="G7:I7"/>
    <mergeCell ref="B2:E3"/>
    <mergeCell ref="F2:I2"/>
    <mergeCell ref="G3:I3"/>
    <mergeCell ref="C4:E4"/>
    <mergeCell ref="G4:I4"/>
    <mergeCell ref="G19:I19"/>
    <mergeCell ref="J19:K19"/>
    <mergeCell ref="B17:E17"/>
    <mergeCell ref="G17:I17"/>
    <mergeCell ref="B18:E18"/>
    <mergeCell ref="G18:I18"/>
    <mergeCell ref="B19:E19"/>
  </mergeCells>
  <dataValidations count="3">
    <dataValidation type="list" allowBlank="1" showErrorMessage="1" sqref="F17 J17">
      <formula1>$I$30:$I$35</formula1>
    </dataValidation>
    <dataValidation type="list" allowBlank="1" showErrorMessage="1" sqref="F18 J18">
      <formula1>$H$30:$H$33</formula1>
    </dataValidation>
    <dataValidation type="list" allowBlank="1" showErrorMessage="1" sqref="F16 J16">
      <formula1>$F$30:$F$33</formula1>
    </dataValidation>
  </dataValidations>
  <pageMargins left="0.7" right="0.7" top="0.75" bottom="0.75" header="0" footer="0"/>
  <pageSetup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0"/>
  <sheetViews>
    <sheetView topLeftCell="A25" workbookViewId="0">
      <selection activeCell="D35" sqref="D35"/>
    </sheetView>
  </sheetViews>
  <sheetFormatPr defaultColWidth="14.42578125" defaultRowHeight="15" customHeight="1"/>
  <cols>
    <col min="1" max="1" width="3.5703125" customWidth="1"/>
    <col min="2" max="2" width="25.140625" customWidth="1"/>
    <col min="3" max="3" width="13.140625" customWidth="1"/>
    <col min="4" max="4" width="15.140625" customWidth="1"/>
    <col min="5" max="5" width="11.85546875" customWidth="1"/>
    <col min="6" max="6" width="8" customWidth="1"/>
    <col min="7" max="7" width="8.5703125" customWidth="1"/>
    <col min="8" max="8" width="20.28515625" customWidth="1"/>
    <col min="9" max="9" width="10.85546875" customWidth="1"/>
    <col min="10" max="10" width="12" customWidth="1"/>
    <col min="11" max="11" width="11.42578125" customWidth="1"/>
    <col min="12" max="12" width="15.7109375" customWidth="1"/>
    <col min="13" max="13" width="9.140625" customWidth="1"/>
    <col min="14" max="19" width="8" customWidth="1"/>
    <col min="20" max="20" width="17.140625" customWidth="1"/>
    <col min="21" max="21" width="8" customWidth="1"/>
    <col min="22" max="22" width="13.85546875" customWidth="1"/>
    <col min="23" max="26" width="8" customWidth="1"/>
  </cols>
  <sheetData>
    <row r="1" spans="2:25" ht="13.5" customHeight="1">
      <c r="M1" s="11"/>
    </row>
    <row r="2" spans="2:25" ht="18" customHeight="1">
      <c r="B2" s="559" t="s">
        <v>60</v>
      </c>
      <c r="C2" s="524"/>
      <c r="D2" s="524"/>
      <c r="E2" s="524"/>
      <c r="F2" s="536"/>
      <c r="H2" s="559" t="s">
        <v>61</v>
      </c>
      <c r="I2" s="524"/>
      <c r="J2" s="524"/>
      <c r="K2" s="524"/>
      <c r="L2" s="524"/>
      <c r="M2" s="72"/>
    </row>
    <row r="3" spans="2:25" ht="12.75" customHeight="1">
      <c r="B3" s="555" t="s">
        <v>62</v>
      </c>
      <c r="C3" s="501"/>
      <c r="D3" s="501"/>
      <c r="E3" s="501"/>
      <c r="F3" s="504"/>
      <c r="H3" s="555" t="s">
        <v>63</v>
      </c>
      <c r="I3" s="501"/>
      <c r="J3" s="501"/>
      <c r="K3" s="501"/>
      <c r="L3" s="501"/>
      <c r="M3" s="73"/>
    </row>
    <row r="4" spans="2:25" ht="12.75" customHeight="1">
      <c r="B4" s="74"/>
      <c r="C4" s="22"/>
      <c r="D4" s="22"/>
      <c r="E4" s="22"/>
      <c r="F4" s="75"/>
      <c r="H4" s="74"/>
      <c r="I4" s="22"/>
      <c r="J4" s="22"/>
      <c r="K4" s="22"/>
      <c r="L4" s="76"/>
      <c r="M4" s="73"/>
    </row>
    <row r="5" spans="2:25" ht="12.75" customHeight="1">
      <c r="B5" s="74"/>
      <c r="C5" s="22" t="s">
        <v>64</v>
      </c>
      <c r="D5" s="22" t="s">
        <v>65</v>
      </c>
      <c r="E5" s="22" t="s">
        <v>66</v>
      </c>
      <c r="F5" s="75" t="str">
        <f>'Input data'!F18</f>
        <v>Copper (Cu)</v>
      </c>
      <c r="H5" s="74"/>
      <c r="I5" s="22" t="s">
        <v>64</v>
      </c>
      <c r="J5" s="22" t="s">
        <v>65</v>
      </c>
      <c r="K5" s="22" t="s">
        <v>66</v>
      </c>
      <c r="L5" s="76" t="s">
        <v>57</v>
      </c>
      <c r="M5" s="73"/>
    </row>
    <row r="6" spans="2:25" ht="14.25" customHeight="1">
      <c r="B6" s="77" t="s">
        <v>67</v>
      </c>
      <c r="C6" s="23" t="s">
        <v>68</v>
      </c>
      <c r="D6" s="78">
        <f t="shared" ref="D6:D9" si="0">V13</f>
        <v>1.4019138755980861E-4</v>
      </c>
      <c r="E6" s="22"/>
      <c r="F6" s="75">
        <f>D41</f>
        <v>5.3899999999999998E-3</v>
      </c>
      <c r="H6" s="79" t="s">
        <v>67</v>
      </c>
      <c r="I6" s="22" t="s">
        <v>69</v>
      </c>
      <c r="J6" s="78">
        <v>1.471E-4</v>
      </c>
      <c r="K6" s="22"/>
      <c r="L6" s="76">
        <f>J41</f>
        <v>5.3899999999999998E-3</v>
      </c>
      <c r="M6" s="73"/>
      <c r="P6" s="80"/>
      <c r="Q6" s="80" t="s">
        <v>70</v>
      </c>
      <c r="R6" s="80"/>
      <c r="S6" s="80"/>
      <c r="T6" s="80"/>
      <c r="U6" s="80"/>
      <c r="V6" s="80"/>
      <c r="W6" s="81"/>
    </row>
    <row r="7" spans="2:25" ht="14.25" customHeight="1">
      <c r="B7" s="77" t="s">
        <v>71</v>
      </c>
      <c r="C7" s="23" t="s">
        <v>72</v>
      </c>
      <c r="D7" s="78">
        <f t="shared" si="0"/>
        <v>1.3270000000000001E-3</v>
      </c>
      <c r="E7" s="22"/>
      <c r="F7" s="75"/>
      <c r="H7" s="79" t="s">
        <v>71</v>
      </c>
      <c r="I7" s="22" t="s">
        <v>73</v>
      </c>
      <c r="J7" s="1">
        <v>7.6756363636363645E-4</v>
      </c>
      <c r="K7" s="22"/>
      <c r="L7" s="76"/>
      <c r="M7" s="73"/>
      <c r="P7" s="80"/>
      <c r="Q7" s="80"/>
      <c r="R7" s="80"/>
      <c r="S7" s="80"/>
      <c r="T7" s="80"/>
      <c r="U7" s="80"/>
      <c r="V7" s="80"/>
      <c r="W7" s="81"/>
    </row>
    <row r="8" spans="2:25" ht="14.25" customHeight="1">
      <c r="B8" s="77" t="s">
        <v>74</v>
      </c>
      <c r="C8" s="23" t="s">
        <v>75</v>
      </c>
      <c r="D8" s="78">
        <f t="shared" si="0"/>
        <v>1.0040502392344499</v>
      </c>
      <c r="E8" s="22"/>
      <c r="F8" s="75"/>
      <c r="H8" s="79" t="s">
        <v>74</v>
      </c>
      <c r="I8" s="22" t="s">
        <v>76</v>
      </c>
      <c r="J8" s="78">
        <v>1</v>
      </c>
      <c r="K8" s="22"/>
      <c r="L8" s="76"/>
      <c r="M8" s="73"/>
      <c r="P8" s="80"/>
      <c r="Q8" s="82">
        <v>0.58599999999999997</v>
      </c>
      <c r="R8" s="83" t="s">
        <v>77</v>
      </c>
      <c r="S8" s="80"/>
      <c r="T8" s="84">
        <f>Q8/(4.18*1000)</f>
        <v>1.4019138755980861E-4</v>
      </c>
      <c r="U8" s="85" t="s">
        <v>78</v>
      </c>
      <c r="V8" s="80"/>
      <c r="W8" s="81"/>
    </row>
    <row r="9" spans="2:25" ht="14.25" customHeight="1">
      <c r="B9" s="77" t="s">
        <v>79</v>
      </c>
      <c r="C9" s="23" t="s">
        <v>80</v>
      </c>
      <c r="D9" s="78">
        <f t="shared" si="0"/>
        <v>999.75</v>
      </c>
      <c r="E9" s="22"/>
      <c r="F9" s="75"/>
      <c r="H9" s="79" t="s">
        <v>79</v>
      </c>
      <c r="I9" s="22" t="s">
        <v>81</v>
      </c>
      <c r="J9" s="78">
        <v>1000</v>
      </c>
      <c r="K9" s="22"/>
      <c r="L9" s="76"/>
      <c r="M9" s="73"/>
      <c r="P9" s="80"/>
      <c r="Q9" s="80"/>
      <c r="R9" s="80"/>
      <c r="S9" s="80"/>
      <c r="T9" s="80"/>
      <c r="U9" s="80"/>
      <c r="V9" s="80"/>
      <c r="W9" s="81"/>
    </row>
    <row r="10" spans="2:25" ht="12.75" customHeight="1">
      <c r="B10" s="86" t="s">
        <v>46</v>
      </c>
      <c r="C10" s="10"/>
      <c r="D10" s="87">
        <f>'Input data'!F20</f>
        <v>0</v>
      </c>
      <c r="E10" s="11"/>
      <c r="F10" s="88"/>
      <c r="H10" s="86" t="s">
        <v>46</v>
      </c>
      <c r="I10" s="1"/>
      <c r="J10" s="1"/>
      <c r="K10" s="1"/>
      <c r="L10" s="1"/>
      <c r="M10" s="88"/>
      <c r="P10" s="80"/>
      <c r="Q10" s="82">
        <v>3.758</v>
      </c>
      <c r="R10" s="83" t="s">
        <v>82</v>
      </c>
      <c r="S10" s="80"/>
      <c r="T10" s="84">
        <f>Q10/4.18</f>
        <v>0.89904306220095698</v>
      </c>
      <c r="U10" s="85" t="s">
        <v>83</v>
      </c>
      <c r="V10" s="80"/>
      <c r="W10" s="81"/>
    </row>
    <row r="11" spans="2:25" ht="12.75" customHeight="1">
      <c r="B11" s="89"/>
      <c r="C11" s="10"/>
      <c r="D11" s="11"/>
      <c r="E11" s="11"/>
      <c r="F11" s="88"/>
      <c r="H11" s="90"/>
      <c r="I11" s="1"/>
      <c r="J11" s="1"/>
      <c r="K11" s="1"/>
      <c r="L11" s="1"/>
      <c r="M11" s="88"/>
      <c r="P11" s="80"/>
      <c r="Q11" s="80"/>
      <c r="R11" s="80"/>
      <c r="S11" s="80"/>
      <c r="T11" s="80"/>
      <c r="U11" s="80"/>
      <c r="V11" s="80"/>
      <c r="W11" s="80"/>
    </row>
    <row r="12" spans="2:25" ht="12.75" customHeight="1">
      <c r="B12" s="555" t="s">
        <v>84</v>
      </c>
      <c r="C12" s="501"/>
      <c r="D12" s="502"/>
      <c r="E12" s="11"/>
      <c r="F12" s="91"/>
      <c r="H12" s="555" t="s">
        <v>84</v>
      </c>
      <c r="I12" s="501"/>
      <c r="J12" s="502"/>
      <c r="K12" s="1"/>
      <c r="L12" s="1"/>
      <c r="M12" s="88"/>
      <c r="P12" s="81"/>
      <c r="Q12" s="81"/>
      <c r="R12" s="81"/>
      <c r="S12" s="80"/>
      <c r="T12" s="80" t="s">
        <v>85</v>
      </c>
      <c r="U12" s="92">
        <f>D10</f>
        <v>0</v>
      </c>
      <c r="V12" s="80"/>
      <c r="W12" s="80"/>
    </row>
    <row r="13" spans="2:25" ht="12.75" customHeight="1">
      <c r="B13" s="90" t="str">
        <f>'Input data'!F18</f>
        <v>Copper (Cu)</v>
      </c>
      <c r="C13" s="1"/>
      <c r="D13" s="93"/>
      <c r="E13" s="11"/>
      <c r="F13" s="91"/>
      <c r="H13" s="90" t="str">
        <f t="array" ref="H13:I13">'Input data'!J18:K18</f>
        <v>Copper (Cu)</v>
      </c>
      <c r="I13" s="1">
        <v>0</v>
      </c>
      <c r="J13" s="93"/>
      <c r="K13" s="1"/>
      <c r="L13" s="1"/>
      <c r="M13" s="88"/>
      <c r="P13" s="81"/>
      <c r="Q13" s="81"/>
      <c r="R13" s="81"/>
      <c r="S13" s="80"/>
      <c r="T13" s="94" t="s">
        <v>67</v>
      </c>
      <c r="U13" s="85" t="s">
        <v>86</v>
      </c>
      <c r="V13" s="92">
        <f>VLOOKUP($U$12,R21:V32,2,FALSE)/(4180)</f>
        <v>1.4019138755980861E-4</v>
      </c>
      <c r="W13" s="22">
        <v>1.405E-4</v>
      </c>
    </row>
    <row r="14" spans="2:25" ht="12.75" customHeight="1">
      <c r="B14" s="554" t="s">
        <v>87</v>
      </c>
      <c r="C14" s="502"/>
      <c r="D14" s="22">
        <f t="shared" ref="D14:D19" si="1">D35</f>
        <v>17.82</v>
      </c>
      <c r="E14" s="11"/>
      <c r="F14" s="91"/>
      <c r="H14" s="554" t="s">
        <v>87</v>
      </c>
      <c r="I14" s="502"/>
      <c r="J14" s="22">
        <f t="shared" ref="J14:J19" si="2">J35</f>
        <v>17.82</v>
      </c>
      <c r="K14" s="1"/>
      <c r="L14" s="1"/>
      <c r="M14" s="88"/>
      <c r="P14" s="81"/>
      <c r="Q14" s="81"/>
      <c r="R14" s="81"/>
      <c r="S14" s="80"/>
      <c r="T14" s="94" t="s">
        <v>71</v>
      </c>
      <c r="U14" s="85" t="s">
        <v>88</v>
      </c>
      <c r="V14" s="92">
        <f>VLOOKUP($U$12,R22:V33,3,FALSE)</f>
        <v>1.3270000000000001E-3</v>
      </c>
      <c r="W14" s="22">
        <v>1.31E-3</v>
      </c>
    </row>
    <row r="15" spans="2:25" ht="12.75" customHeight="1">
      <c r="B15" s="554" t="s">
        <v>89</v>
      </c>
      <c r="C15" s="502"/>
      <c r="D15" s="22">
        <f t="shared" si="1"/>
        <v>15.85</v>
      </c>
      <c r="E15" s="11"/>
      <c r="F15" s="91"/>
      <c r="H15" s="554" t="s">
        <v>89</v>
      </c>
      <c r="I15" s="502"/>
      <c r="J15" s="22">
        <f t="shared" si="2"/>
        <v>15.85</v>
      </c>
      <c r="K15" s="1"/>
      <c r="L15" s="1"/>
      <c r="M15" s="88"/>
      <c r="P15" s="81"/>
      <c r="Q15" s="81"/>
      <c r="R15" s="95">
        <v>0.54400000000000004</v>
      </c>
      <c r="S15" s="80"/>
      <c r="T15" s="94" t="s">
        <v>74</v>
      </c>
      <c r="U15" s="85" t="s">
        <v>90</v>
      </c>
      <c r="V15" s="92">
        <f>VLOOKUP($U$12,R23:V34,4,FALSE)/4.18</f>
        <v>1.0040502392344499</v>
      </c>
      <c r="W15" s="22">
        <v>1</v>
      </c>
      <c r="X15" s="96">
        <f t="shared" ref="X15:X16" si="3">V15/W15</f>
        <v>1.0040502392344499</v>
      </c>
    </row>
    <row r="16" spans="2:25" ht="12.75" customHeight="1">
      <c r="B16" s="554" t="s">
        <v>91</v>
      </c>
      <c r="C16" s="502"/>
      <c r="D16" s="22">
        <f t="shared" si="1"/>
        <v>0.71120000000000005</v>
      </c>
      <c r="E16" s="11"/>
      <c r="F16" s="88"/>
      <c r="H16" s="554" t="s">
        <v>91</v>
      </c>
      <c r="I16" s="502"/>
      <c r="J16" s="22">
        <f t="shared" si="2"/>
        <v>0.71120000000000005</v>
      </c>
      <c r="K16" s="1"/>
      <c r="L16" s="1"/>
      <c r="M16" s="88"/>
      <c r="P16" s="81"/>
      <c r="Q16" s="80"/>
      <c r="R16" s="95">
        <v>1.5499999999999999E-3</v>
      </c>
      <c r="S16" s="80"/>
      <c r="T16" s="94" t="s">
        <v>79</v>
      </c>
      <c r="U16" s="85" t="s">
        <v>92</v>
      </c>
      <c r="V16" s="92">
        <f>VLOOKUP($U$12,R21:V32,5,FALSE)</f>
        <v>999.75</v>
      </c>
      <c r="W16" s="22">
        <v>1000</v>
      </c>
      <c r="X16" s="96">
        <f t="shared" si="3"/>
        <v>0.99975000000000003</v>
      </c>
      <c r="Y16" s="96">
        <f>V16/W16</f>
        <v>0.99975000000000003</v>
      </c>
    </row>
    <row r="17" spans="1:26" ht="14.25" customHeight="1">
      <c r="B17" s="554" t="s">
        <v>93</v>
      </c>
      <c r="C17" s="502"/>
      <c r="D17" s="22">
        <f t="shared" si="1"/>
        <v>5.4199999999999998E-2</v>
      </c>
      <c r="E17" s="11"/>
      <c r="F17" s="88"/>
      <c r="H17" s="554" t="s">
        <v>94</v>
      </c>
      <c r="I17" s="502"/>
      <c r="J17" s="22">
        <f t="shared" si="2"/>
        <v>5.4199999999999998E-2</v>
      </c>
      <c r="K17" s="1"/>
      <c r="L17" s="1"/>
      <c r="M17" s="88"/>
      <c r="P17" s="81"/>
      <c r="Q17" s="80"/>
      <c r="R17" s="95">
        <v>4.0419999999999998</v>
      </c>
      <c r="S17" s="81"/>
      <c r="T17" s="81"/>
      <c r="U17" s="81"/>
      <c r="V17" s="81"/>
      <c r="W17" s="81"/>
      <c r="X17" s="96">
        <f>1/(X15*X16)</f>
        <v>0.99621515281773287</v>
      </c>
    </row>
    <row r="18" spans="1:26" ht="14.25" customHeight="1">
      <c r="B18" s="554" t="s">
        <v>95</v>
      </c>
      <c r="C18" s="502"/>
      <c r="D18" s="22">
        <f t="shared" si="1"/>
        <v>4.9700000000000001E-2</v>
      </c>
      <c r="E18" s="11"/>
      <c r="F18" s="88"/>
      <c r="H18" s="554" t="s">
        <v>96</v>
      </c>
      <c r="I18" s="502"/>
      <c r="J18" s="22">
        <f t="shared" si="2"/>
        <v>4.9700000000000001E-2</v>
      </c>
      <c r="K18" s="1"/>
      <c r="L18" s="1"/>
      <c r="M18" s="88"/>
      <c r="P18" s="81"/>
      <c r="Q18" s="80"/>
      <c r="R18" s="95">
        <v>1012</v>
      </c>
      <c r="S18" s="81"/>
      <c r="T18" s="81"/>
      <c r="U18" s="81"/>
      <c r="V18" s="81"/>
      <c r="W18" s="81"/>
    </row>
    <row r="19" spans="1:26" ht="14.25" customHeight="1">
      <c r="B19" s="554" t="s">
        <v>97</v>
      </c>
      <c r="C19" s="502"/>
      <c r="D19" s="22">
        <f t="shared" si="1"/>
        <v>1.9699999999999999E-4</v>
      </c>
      <c r="E19" s="11"/>
      <c r="F19" s="88"/>
      <c r="H19" s="554" t="s">
        <v>98</v>
      </c>
      <c r="I19" s="502"/>
      <c r="J19" s="22">
        <f t="shared" si="2"/>
        <v>1.9699999999999999E-4</v>
      </c>
      <c r="K19" s="1"/>
      <c r="L19" s="1"/>
      <c r="M19" s="88"/>
      <c r="P19" s="81"/>
      <c r="Q19" s="81"/>
      <c r="R19" s="81"/>
      <c r="S19" s="81"/>
      <c r="T19" s="81"/>
      <c r="U19" s="81"/>
      <c r="V19" s="81"/>
      <c r="W19" s="81"/>
    </row>
    <row r="20" spans="1:26" ht="12.75" customHeight="1">
      <c r="B20" s="90"/>
      <c r="C20" s="1"/>
      <c r="D20" s="1"/>
      <c r="E20" s="1"/>
      <c r="F20" s="91"/>
      <c r="H20" s="90"/>
      <c r="I20" s="1"/>
      <c r="J20" s="1"/>
      <c r="K20" s="1"/>
      <c r="L20" s="1"/>
      <c r="M20" s="88"/>
      <c r="P20" s="81"/>
      <c r="Q20" s="81"/>
      <c r="R20" s="80"/>
      <c r="S20" s="80"/>
      <c r="T20" s="80"/>
      <c r="U20" s="80"/>
      <c r="V20" s="80"/>
      <c r="W20" s="81"/>
    </row>
    <row r="21" spans="1:26" ht="12.75" customHeight="1">
      <c r="B21" s="555" t="s">
        <v>99</v>
      </c>
      <c r="C21" s="501"/>
      <c r="D21" s="501"/>
      <c r="E21" s="501"/>
      <c r="F21" s="97"/>
      <c r="G21" s="11"/>
      <c r="H21" s="555" t="s">
        <v>100</v>
      </c>
      <c r="I21" s="501"/>
      <c r="J21" s="501"/>
      <c r="K21" s="501"/>
      <c r="L21" s="501"/>
      <c r="M21" s="504"/>
      <c r="P21" s="81"/>
      <c r="Q21" s="80"/>
      <c r="R21" s="98" t="s">
        <v>101</v>
      </c>
      <c r="S21" s="98" t="s">
        <v>67</v>
      </c>
      <c r="T21" s="98" t="s">
        <v>71</v>
      </c>
      <c r="U21" s="98" t="s">
        <v>74</v>
      </c>
      <c r="V21" s="98" t="s">
        <v>79</v>
      </c>
      <c r="W21" s="81"/>
    </row>
    <row r="22" spans="1:26" ht="12.75" customHeight="1">
      <c r="B22" s="564" t="s">
        <v>102</v>
      </c>
      <c r="C22" s="99"/>
      <c r="D22" s="99"/>
      <c r="E22" s="99"/>
      <c r="F22" s="100"/>
      <c r="G22" s="101"/>
      <c r="H22" s="560" t="s">
        <v>103</v>
      </c>
      <c r="I22" s="102"/>
      <c r="J22" s="102"/>
      <c r="K22" s="102"/>
      <c r="L22" s="103"/>
      <c r="M22" s="556" t="s">
        <v>104</v>
      </c>
      <c r="P22" s="81"/>
      <c r="Q22" s="80"/>
      <c r="R22" s="80"/>
      <c r="S22" s="98" t="s">
        <v>77</v>
      </c>
      <c r="T22" s="98" t="s">
        <v>105</v>
      </c>
      <c r="U22" s="98" t="s">
        <v>82</v>
      </c>
      <c r="V22" s="98" t="s">
        <v>106</v>
      </c>
      <c r="W22" s="81"/>
    </row>
    <row r="23" spans="1:26" ht="12.75" customHeight="1">
      <c r="B23" s="561"/>
      <c r="C23" s="104" t="s">
        <v>107</v>
      </c>
      <c r="D23" s="105" t="s">
        <v>108</v>
      </c>
      <c r="E23" s="104" t="s">
        <v>109</v>
      </c>
      <c r="F23" s="106" t="s">
        <v>110</v>
      </c>
      <c r="G23" s="107"/>
      <c r="H23" s="561"/>
      <c r="I23" s="104" t="s">
        <v>107</v>
      </c>
      <c r="J23" s="108" t="s">
        <v>108</v>
      </c>
      <c r="K23" s="104" t="s">
        <v>111</v>
      </c>
      <c r="L23" s="109" t="s">
        <v>110</v>
      </c>
      <c r="M23" s="557"/>
      <c r="P23" s="81"/>
      <c r="Q23" s="80"/>
      <c r="R23" s="98">
        <v>0</v>
      </c>
      <c r="S23" s="110">
        <v>0.58599999999999997</v>
      </c>
      <c r="T23" s="111">
        <v>1.3270000000000001E-3</v>
      </c>
      <c r="U23" s="110">
        <v>4.19693</v>
      </c>
      <c r="V23" s="111">
        <v>999.75</v>
      </c>
      <c r="W23" s="81"/>
    </row>
    <row r="24" spans="1:26" ht="12.75" customHeight="1">
      <c r="B24" s="562"/>
      <c r="C24" s="112" t="s">
        <v>112</v>
      </c>
      <c r="D24" s="112"/>
      <c r="E24" s="112"/>
      <c r="F24" s="113"/>
      <c r="G24" s="107"/>
      <c r="H24" s="562"/>
      <c r="I24" s="112" t="s">
        <v>112</v>
      </c>
      <c r="J24" s="112"/>
      <c r="K24" s="112"/>
      <c r="L24" s="114"/>
      <c r="M24" s="558"/>
      <c r="P24" s="81"/>
      <c r="Q24" s="80"/>
      <c r="R24" s="98">
        <v>5</v>
      </c>
      <c r="S24" s="98">
        <v>0.54400000000000004</v>
      </c>
      <c r="T24" s="98">
        <v>1.5499999999999999E-3</v>
      </c>
      <c r="U24" s="98">
        <v>4.0419999999999998</v>
      </c>
      <c r="V24" s="98">
        <v>1012</v>
      </c>
      <c r="W24" s="81"/>
    </row>
    <row r="25" spans="1:26" ht="12.75" customHeight="1">
      <c r="B25" s="74"/>
      <c r="C25" s="22"/>
      <c r="D25" s="22"/>
      <c r="E25" s="115" t="s">
        <v>113</v>
      </c>
      <c r="F25" s="116" t="s">
        <v>114</v>
      </c>
      <c r="G25" s="11"/>
      <c r="H25" s="74"/>
      <c r="I25" s="76"/>
      <c r="J25" s="22"/>
      <c r="K25" s="115" t="s">
        <v>113</v>
      </c>
      <c r="L25" s="117" t="s">
        <v>114</v>
      </c>
      <c r="M25" s="75"/>
      <c r="P25" s="81"/>
      <c r="Q25" s="80"/>
      <c r="R25" s="98">
        <v>10</v>
      </c>
      <c r="S25" s="98">
        <v>0.51400000000000001</v>
      </c>
      <c r="T25" s="98">
        <v>2.0170000000000001E-3</v>
      </c>
      <c r="U25" s="98">
        <v>3.9420000000000002</v>
      </c>
      <c r="V25" s="98">
        <v>1018.42</v>
      </c>
      <c r="W25" s="81"/>
    </row>
    <row r="26" spans="1:26" ht="13.5" customHeight="1">
      <c r="A26" s="1"/>
      <c r="B26" s="118" t="s">
        <v>115</v>
      </c>
      <c r="C26" s="119">
        <f>'Input data'!J7</f>
        <v>122</v>
      </c>
      <c r="D26" s="120">
        <v>12</v>
      </c>
      <c r="E26" s="121">
        <v>22</v>
      </c>
      <c r="F26" s="122">
        <f>'Input data'!J6</f>
        <v>12</v>
      </c>
      <c r="G26" s="11"/>
      <c r="H26" s="123" t="s">
        <v>116</v>
      </c>
      <c r="I26" s="124">
        <f>'Input data'!J9</f>
        <v>150</v>
      </c>
      <c r="J26" s="125">
        <v>12</v>
      </c>
      <c r="K26" s="126">
        <v>20</v>
      </c>
      <c r="L26" s="127">
        <f>'Input data'!J8</f>
        <v>12</v>
      </c>
      <c r="M26" s="128">
        <f>'Input data'!J10</f>
        <v>31</v>
      </c>
      <c r="N26" s="1"/>
      <c r="O26" s="1"/>
      <c r="P26" s="81"/>
      <c r="Q26" s="80"/>
      <c r="R26" s="98">
        <v>15</v>
      </c>
      <c r="S26" s="98">
        <v>0.48799999999999999</v>
      </c>
      <c r="T26" s="98">
        <v>2.6120000000000002E-3</v>
      </c>
      <c r="U26" s="98">
        <v>3.8540000000000001</v>
      </c>
      <c r="V26" s="98">
        <v>1027.53</v>
      </c>
      <c r="W26" s="81"/>
      <c r="X26" s="1"/>
      <c r="Y26" s="1"/>
      <c r="Z26" s="1"/>
    </row>
    <row r="27" spans="1:26" ht="12.75" customHeight="1">
      <c r="M27" s="11"/>
      <c r="P27" s="81"/>
      <c r="Q27" s="80"/>
      <c r="R27" s="98">
        <v>20</v>
      </c>
      <c r="S27" s="98">
        <v>0.46100000000000002</v>
      </c>
      <c r="T27" s="98">
        <v>3.6514999999999998E-3</v>
      </c>
      <c r="U27" s="98">
        <v>3.758</v>
      </c>
      <c r="V27" s="98">
        <v>1036.8699999999999</v>
      </c>
      <c r="W27" s="81"/>
    </row>
    <row r="28" spans="1:26" ht="12.75" customHeight="1">
      <c r="M28" s="11"/>
      <c r="P28" s="81"/>
      <c r="Q28" s="80"/>
      <c r="R28" s="98">
        <v>25</v>
      </c>
      <c r="S28" s="98">
        <v>0.438</v>
      </c>
      <c r="T28" s="98">
        <v>4.5729999999999998E-3</v>
      </c>
      <c r="U28" s="98">
        <v>3.6629999999999998</v>
      </c>
      <c r="V28" s="98">
        <v>1045.56</v>
      </c>
      <c r="W28" s="81"/>
    </row>
    <row r="29" spans="1:26" ht="12.75" customHeight="1">
      <c r="M29" s="11"/>
      <c r="P29" s="81"/>
      <c r="Q29" s="80"/>
      <c r="R29" s="98">
        <v>30</v>
      </c>
      <c r="S29" s="98">
        <v>0.41599999999999998</v>
      </c>
      <c r="T29" s="98">
        <v>6.1900000000000002E-3</v>
      </c>
      <c r="U29" s="98">
        <v>3.5609999999999999</v>
      </c>
      <c r="V29" s="98">
        <v>1054.27</v>
      </c>
      <c r="W29" s="81"/>
    </row>
    <row r="30" spans="1:26" ht="12.75" customHeight="1">
      <c r="M30" s="11"/>
      <c r="P30" s="81"/>
      <c r="Q30" s="80"/>
      <c r="R30" s="98">
        <v>35</v>
      </c>
      <c r="S30" s="98">
        <v>0.39300000000000002</v>
      </c>
      <c r="T30" s="98">
        <v>9.2969999999999997E-3</v>
      </c>
      <c r="U30" s="98">
        <v>3.4489999999999998</v>
      </c>
      <c r="V30" s="98">
        <v>1063.23</v>
      </c>
      <c r="W30" s="81"/>
    </row>
    <row r="31" spans="1:26" ht="12.75" customHeight="1">
      <c r="M31" s="11"/>
      <c r="P31" s="81"/>
      <c r="Q31" s="80"/>
      <c r="R31" s="98">
        <v>40</v>
      </c>
      <c r="S31" s="98">
        <v>0.372</v>
      </c>
      <c r="T31" s="98">
        <v>1.5748999999999999E-2</v>
      </c>
      <c r="U31" s="98">
        <v>3.3330000000000002</v>
      </c>
      <c r="V31" s="98">
        <v>1072.01</v>
      </c>
      <c r="W31" s="81"/>
    </row>
    <row r="32" spans="1:26" ht="12.75" customHeight="1">
      <c r="A32" s="129"/>
      <c r="B32" s="130"/>
      <c r="C32" s="130"/>
      <c r="D32" s="130"/>
      <c r="E32" s="130"/>
      <c r="F32" s="130"/>
      <c r="G32" s="130"/>
      <c r="H32" s="130"/>
      <c r="I32" s="130"/>
      <c r="J32" s="130"/>
      <c r="K32" s="130"/>
      <c r="L32" s="130"/>
      <c r="M32" s="131"/>
      <c r="N32" s="17"/>
      <c r="P32" s="81"/>
      <c r="Q32" s="80"/>
      <c r="R32" s="98">
        <v>45</v>
      </c>
      <c r="S32" s="98">
        <v>0.35299999999999998</v>
      </c>
      <c r="T32" s="98">
        <v>2.639E-2</v>
      </c>
      <c r="U32" s="98">
        <v>3.2109999999999999</v>
      </c>
      <c r="V32" s="98">
        <v>1080.5999999999999</v>
      </c>
      <c r="W32" s="81"/>
    </row>
    <row r="33" spans="1:14" ht="12.75" customHeight="1">
      <c r="A33" s="132"/>
      <c r="M33" s="11"/>
      <c r="N33" s="133"/>
    </row>
    <row r="34" spans="1:14" ht="12.75" customHeight="1">
      <c r="A34" s="132"/>
      <c r="B34" s="134" t="s">
        <v>18</v>
      </c>
      <c r="C34" s="135" t="str">
        <f>'Input data'!F18</f>
        <v>Copper (Cu)</v>
      </c>
      <c r="D34" s="136"/>
      <c r="E34" s="137"/>
      <c r="F34" s="138"/>
      <c r="G34" s="139"/>
      <c r="H34" s="140" t="s">
        <v>19</v>
      </c>
      <c r="I34" s="141" t="str">
        <f t="array" ref="I34:J34">'Input data'!J18:K18</f>
        <v>Copper (Cu)</v>
      </c>
      <c r="J34" s="142">
        <v>0</v>
      </c>
      <c r="K34" s="137"/>
      <c r="L34" s="138"/>
      <c r="M34" s="138"/>
      <c r="N34" s="133"/>
    </row>
    <row r="35" spans="1:14" ht="12.75" customHeight="1">
      <c r="A35" s="132"/>
      <c r="B35" s="563" t="s">
        <v>87</v>
      </c>
      <c r="C35" s="502"/>
      <c r="D35" s="143">
        <f t="shared" ref="D35:D44" si="4">IF($C$34="Cu",D51,IF($C$34="SS",G51,IF($C$34="Ti",J51,M51)))</f>
        <v>17.82</v>
      </c>
      <c r="E35" s="137"/>
      <c r="F35" s="138"/>
      <c r="G35" s="139"/>
      <c r="H35" s="563" t="s">
        <v>87</v>
      </c>
      <c r="I35" s="502"/>
      <c r="J35" s="143">
        <f t="shared" ref="J35:J44" si="5">IF($I$34="Cu",D65,IF($I$34="SS",G65,IF($I$34="Ti",J65,M65)))</f>
        <v>17.82</v>
      </c>
      <c r="K35" s="137"/>
      <c r="L35" s="138"/>
      <c r="M35" s="138"/>
      <c r="N35" s="133"/>
    </row>
    <row r="36" spans="1:14" ht="12.75" customHeight="1">
      <c r="A36" s="132"/>
      <c r="B36" s="563" t="s">
        <v>89</v>
      </c>
      <c r="C36" s="502"/>
      <c r="D36" s="143">
        <f t="shared" si="4"/>
        <v>15.85</v>
      </c>
      <c r="E36" s="137"/>
      <c r="F36" s="138"/>
      <c r="G36" s="139"/>
      <c r="H36" s="563" t="s">
        <v>89</v>
      </c>
      <c r="I36" s="502"/>
      <c r="J36" s="143">
        <f t="shared" si="5"/>
        <v>15.85</v>
      </c>
      <c r="K36" s="137"/>
      <c r="L36" s="138"/>
      <c r="M36" s="138"/>
      <c r="N36" s="133"/>
    </row>
    <row r="37" spans="1:14" ht="14.25" customHeight="1">
      <c r="A37" s="132"/>
      <c r="B37" s="563" t="s">
        <v>91</v>
      </c>
      <c r="C37" s="502"/>
      <c r="D37" s="143">
        <f t="shared" si="4"/>
        <v>0.71120000000000005</v>
      </c>
      <c r="E37" s="137"/>
      <c r="F37" s="138"/>
      <c r="G37" s="139"/>
      <c r="H37" s="563" t="s">
        <v>91</v>
      </c>
      <c r="I37" s="502"/>
      <c r="J37" s="143">
        <f t="shared" si="5"/>
        <v>0.71120000000000005</v>
      </c>
      <c r="K37" s="137"/>
      <c r="L37" s="138"/>
      <c r="M37" s="138"/>
      <c r="N37" s="133"/>
    </row>
    <row r="38" spans="1:14" ht="14.25" customHeight="1">
      <c r="A38" s="132"/>
      <c r="B38" s="565" t="s">
        <v>117</v>
      </c>
      <c r="C38" s="502"/>
      <c r="D38" s="143">
        <f t="shared" si="4"/>
        <v>5.4199999999999998E-2</v>
      </c>
      <c r="E38" s="137"/>
      <c r="F38" s="138"/>
      <c r="G38" s="139"/>
      <c r="H38" s="565" t="s">
        <v>118</v>
      </c>
      <c r="I38" s="502"/>
      <c r="J38" s="143">
        <f t="shared" si="5"/>
        <v>5.4199999999999998E-2</v>
      </c>
      <c r="K38" s="137"/>
      <c r="L38" s="138"/>
      <c r="M38" s="138"/>
      <c r="N38" s="133"/>
    </row>
    <row r="39" spans="1:14" ht="14.25" customHeight="1">
      <c r="A39" s="132"/>
      <c r="B39" s="565" t="s">
        <v>119</v>
      </c>
      <c r="C39" s="502"/>
      <c r="D39" s="143">
        <f t="shared" si="4"/>
        <v>4.9700000000000001E-2</v>
      </c>
      <c r="E39" s="137"/>
      <c r="F39" s="144"/>
      <c r="G39" s="139"/>
      <c r="H39" s="565" t="s">
        <v>120</v>
      </c>
      <c r="I39" s="502"/>
      <c r="J39" s="143">
        <f t="shared" si="5"/>
        <v>4.9700000000000001E-2</v>
      </c>
      <c r="K39" s="137"/>
      <c r="L39" s="138"/>
      <c r="M39" s="138"/>
      <c r="N39" s="133"/>
    </row>
    <row r="40" spans="1:14" ht="14.25" customHeight="1">
      <c r="A40" s="132"/>
      <c r="B40" s="565" t="s">
        <v>121</v>
      </c>
      <c r="C40" s="502"/>
      <c r="D40" s="143">
        <f t="shared" si="4"/>
        <v>1.9699999999999999E-4</v>
      </c>
      <c r="E40" s="137"/>
      <c r="F40" s="138"/>
      <c r="G40" s="139"/>
      <c r="H40" s="565" t="s">
        <v>121</v>
      </c>
      <c r="I40" s="502"/>
      <c r="J40" s="143">
        <f t="shared" si="5"/>
        <v>1.9699999999999999E-4</v>
      </c>
      <c r="K40" s="137"/>
      <c r="L40" s="138"/>
      <c r="M40" s="138"/>
      <c r="N40" s="133"/>
    </row>
    <row r="41" spans="1:14" ht="14.25" customHeight="1">
      <c r="A41" s="132"/>
      <c r="B41" s="145" t="s">
        <v>122</v>
      </c>
      <c r="C41" s="146"/>
      <c r="D41" s="143">
        <f t="shared" si="4"/>
        <v>5.3899999999999998E-3</v>
      </c>
      <c r="E41" s="137"/>
      <c r="F41" s="138"/>
      <c r="G41" s="139"/>
      <c r="H41" s="145" t="s">
        <v>123</v>
      </c>
      <c r="I41" s="146"/>
      <c r="J41" s="143">
        <f t="shared" si="5"/>
        <v>5.3899999999999998E-3</v>
      </c>
      <c r="K41" s="137"/>
      <c r="L41" s="138"/>
      <c r="M41" s="138"/>
      <c r="N41" s="133"/>
    </row>
    <row r="42" spans="1:14" ht="14.25" customHeight="1">
      <c r="A42" s="132"/>
      <c r="B42" s="145" t="s">
        <v>124</v>
      </c>
      <c r="C42" s="146"/>
      <c r="D42" s="143">
        <f t="shared" si="4"/>
        <v>6.8000000000000005E-2</v>
      </c>
      <c r="E42" s="137"/>
      <c r="F42" s="138"/>
      <c r="G42" s="139"/>
      <c r="H42" s="147" t="s">
        <v>124</v>
      </c>
      <c r="I42" s="148"/>
      <c r="J42" s="143">
        <f t="shared" si="5"/>
        <v>6.8000000000000005E-2</v>
      </c>
      <c r="K42" s="137"/>
      <c r="L42" s="138"/>
      <c r="M42" s="138"/>
      <c r="N42" s="133"/>
    </row>
    <row r="43" spans="1:14" ht="14.25" customHeight="1">
      <c r="A43" s="132"/>
      <c r="B43" s="145" t="s">
        <v>125</v>
      </c>
      <c r="C43" s="146"/>
      <c r="D43" s="143">
        <f t="shared" si="4"/>
        <v>0.81</v>
      </c>
      <c r="E43" s="137"/>
      <c r="F43" s="138"/>
      <c r="G43" s="139"/>
      <c r="H43" s="147" t="s">
        <v>125</v>
      </c>
      <c r="I43" s="148"/>
      <c r="J43" s="143">
        <f t="shared" si="5"/>
        <v>0.81</v>
      </c>
      <c r="K43" s="137"/>
      <c r="L43" s="138"/>
      <c r="M43" s="138"/>
      <c r="N43" s="133"/>
    </row>
    <row r="44" spans="1:14" ht="14.25" customHeight="1">
      <c r="A44" s="132"/>
      <c r="B44" s="149" t="s">
        <v>25</v>
      </c>
      <c r="C44" s="150"/>
      <c r="D44" s="143">
        <f t="shared" si="4"/>
        <v>0.26400000000000001</v>
      </c>
      <c r="E44" s="137"/>
      <c r="F44" s="138"/>
      <c r="G44" s="139"/>
      <c r="H44" s="151" t="s">
        <v>25</v>
      </c>
      <c r="I44" s="138"/>
      <c r="J44" s="143">
        <f t="shared" si="5"/>
        <v>0.26400000000000001</v>
      </c>
      <c r="K44" s="137"/>
      <c r="L44" s="138"/>
      <c r="M44" s="138"/>
      <c r="N44" s="133"/>
    </row>
    <row r="45" spans="1:14" ht="12.75" customHeight="1">
      <c r="A45" s="132"/>
      <c r="B45" s="152"/>
      <c r="C45" s="153"/>
      <c r="D45" s="154"/>
      <c r="E45" s="137"/>
      <c r="F45" s="138"/>
      <c r="G45" s="139"/>
      <c r="H45" s="155"/>
      <c r="I45" s="156"/>
      <c r="J45" s="157"/>
      <c r="K45" s="137"/>
      <c r="L45" s="138"/>
      <c r="M45" s="138"/>
      <c r="N45" s="133"/>
    </row>
    <row r="46" spans="1:14" ht="12.75" customHeight="1">
      <c r="A46" s="132"/>
      <c r="B46" s="158"/>
      <c r="C46" s="158"/>
      <c r="D46" s="158"/>
      <c r="E46" s="138"/>
      <c r="F46" s="138"/>
      <c r="G46" s="138"/>
      <c r="H46" s="158"/>
      <c r="I46" s="158"/>
      <c r="J46" s="158"/>
      <c r="K46" s="138"/>
      <c r="L46" s="138"/>
      <c r="M46" s="138"/>
      <c r="N46" s="133"/>
    </row>
    <row r="47" spans="1:14" ht="12.75" customHeight="1">
      <c r="A47" s="132"/>
      <c r="B47" s="159" t="s">
        <v>126</v>
      </c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3"/>
    </row>
    <row r="48" spans="1:14" ht="12.75" customHeight="1">
      <c r="A48" s="132"/>
      <c r="B48" s="156"/>
      <c r="C48" s="156"/>
      <c r="D48" s="156"/>
      <c r="E48" s="156"/>
      <c r="F48" s="156"/>
      <c r="G48" s="156"/>
      <c r="H48" s="156"/>
      <c r="I48" s="156"/>
      <c r="J48" s="156"/>
      <c r="K48" s="156"/>
      <c r="L48" s="156"/>
      <c r="M48" s="156"/>
      <c r="N48" s="133"/>
    </row>
    <row r="49" spans="1:14" ht="12.75" customHeight="1">
      <c r="A49" s="132"/>
      <c r="B49" s="553" t="s">
        <v>84</v>
      </c>
      <c r="C49" s="543"/>
      <c r="D49" s="544"/>
      <c r="E49" s="553" t="s">
        <v>84</v>
      </c>
      <c r="F49" s="543"/>
      <c r="G49" s="544"/>
      <c r="H49" s="553" t="s">
        <v>84</v>
      </c>
      <c r="I49" s="543"/>
      <c r="J49" s="544"/>
      <c r="K49" s="553" t="s">
        <v>84</v>
      </c>
      <c r="L49" s="543"/>
      <c r="M49" s="544"/>
      <c r="N49" s="133"/>
    </row>
    <row r="50" spans="1:14" ht="14.25" customHeight="1">
      <c r="A50" s="132"/>
      <c r="B50" s="542" t="s">
        <v>57</v>
      </c>
      <c r="C50" s="543"/>
      <c r="D50" s="544"/>
      <c r="E50" s="542" t="s">
        <v>42</v>
      </c>
      <c r="F50" s="543"/>
      <c r="G50" s="544"/>
      <c r="H50" s="542" t="s">
        <v>127</v>
      </c>
      <c r="I50" s="543"/>
      <c r="J50" s="544"/>
      <c r="K50" s="542" t="s">
        <v>128</v>
      </c>
      <c r="L50" s="543"/>
      <c r="M50" s="544"/>
      <c r="N50" s="133"/>
    </row>
    <row r="51" spans="1:14" ht="14.25" customHeight="1">
      <c r="A51" s="132"/>
      <c r="B51" s="545" t="s">
        <v>87</v>
      </c>
      <c r="C51" s="544"/>
      <c r="D51" s="160">
        <v>18.920000000000002</v>
      </c>
      <c r="E51" s="545" t="s">
        <v>87</v>
      </c>
      <c r="F51" s="544"/>
      <c r="G51" s="160">
        <v>16.97</v>
      </c>
      <c r="H51" s="545" t="s">
        <v>87</v>
      </c>
      <c r="I51" s="544"/>
      <c r="J51" s="160">
        <v>17.73</v>
      </c>
      <c r="K51" s="545" t="s">
        <v>87</v>
      </c>
      <c r="L51" s="544"/>
      <c r="M51" s="160">
        <v>17.82</v>
      </c>
      <c r="N51" s="133"/>
    </row>
    <row r="52" spans="1:14" ht="14.25" customHeight="1">
      <c r="A52" s="132"/>
      <c r="B52" s="545" t="s">
        <v>89</v>
      </c>
      <c r="C52" s="544"/>
      <c r="D52" s="160">
        <v>16.66</v>
      </c>
      <c r="E52" s="545" t="s">
        <v>89</v>
      </c>
      <c r="F52" s="544"/>
      <c r="G52" s="160">
        <v>15.55</v>
      </c>
      <c r="H52" s="545" t="s">
        <v>89</v>
      </c>
      <c r="I52" s="544"/>
      <c r="J52" s="160">
        <v>16.309999999999999</v>
      </c>
      <c r="K52" s="545" t="s">
        <v>89</v>
      </c>
      <c r="L52" s="544"/>
      <c r="M52" s="160">
        <v>15.85</v>
      </c>
      <c r="N52" s="133"/>
    </row>
    <row r="53" spans="1:14" ht="28.5" customHeight="1">
      <c r="A53" s="132"/>
      <c r="B53" s="545" t="s">
        <v>91</v>
      </c>
      <c r="C53" s="544"/>
      <c r="D53" s="160">
        <v>0.63500000000000001</v>
      </c>
      <c r="E53" s="545" t="s">
        <v>91</v>
      </c>
      <c r="F53" s="544"/>
      <c r="G53" s="160">
        <v>0.71099999999999997</v>
      </c>
      <c r="H53" s="545" t="s">
        <v>91</v>
      </c>
      <c r="I53" s="544"/>
      <c r="J53" s="160">
        <v>0.63500000000000001</v>
      </c>
      <c r="K53" s="545" t="s">
        <v>91</v>
      </c>
      <c r="L53" s="544"/>
      <c r="M53" s="160">
        <v>0.71120000000000005</v>
      </c>
      <c r="N53" s="133"/>
    </row>
    <row r="54" spans="1:14" ht="27" customHeight="1">
      <c r="A54" s="132"/>
      <c r="B54" s="546" t="s">
        <v>129</v>
      </c>
      <c r="C54" s="544"/>
      <c r="D54" s="160">
        <v>5.8500000000000003E-2</v>
      </c>
      <c r="E54" s="546" t="s">
        <v>130</v>
      </c>
      <c r="F54" s="544"/>
      <c r="G54" s="160">
        <v>5.33E-2</v>
      </c>
      <c r="H54" s="546" t="s">
        <v>131</v>
      </c>
      <c r="I54" s="544"/>
      <c r="J54" s="160">
        <v>5.57E-2</v>
      </c>
      <c r="K54" s="546" t="s">
        <v>132</v>
      </c>
      <c r="L54" s="544"/>
      <c r="M54" s="160">
        <v>5.4199999999999998E-2</v>
      </c>
      <c r="N54" s="133"/>
    </row>
    <row r="55" spans="1:14" ht="27" customHeight="1">
      <c r="A55" s="132"/>
      <c r="B55" s="546" t="s">
        <v>133</v>
      </c>
      <c r="C55" s="544"/>
      <c r="D55" s="160">
        <v>5.2338933999999997E-2</v>
      </c>
      <c r="E55" s="546" t="s">
        <v>134</v>
      </c>
      <c r="F55" s="544"/>
      <c r="G55" s="160">
        <v>4.8800000000000003E-2</v>
      </c>
      <c r="H55" s="546" t="s">
        <v>135</v>
      </c>
      <c r="I55" s="544"/>
      <c r="J55" s="160">
        <v>5.1200000000000002E-2</v>
      </c>
      <c r="K55" s="546" t="s">
        <v>136</v>
      </c>
      <c r="L55" s="544"/>
      <c r="M55" s="160">
        <v>4.9700000000000001E-2</v>
      </c>
      <c r="N55" s="133"/>
    </row>
    <row r="56" spans="1:14" ht="26.25" customHeight="1">
      <c r="A56" s="132"/>
      <c r="B56" s="546" t="s">
        <v>121</v>
      </c>
      <c r="C56" s="544"/>
      <c r="D56" s="160">
        <v>2.17992E-4</v>
      </c>
      <c r="E56" s="546" t="s">
        <v>121</v>
      </c>
      <c r="F56" s="544"/>
      <c r="G56" s="160">
        <v>1.8900000000000001E-4</v>
      </c>
      <c r="H56" s="546" t="s">
        <v>121</v>
      </c>
      <c r="I56" s="544"/>
      <c r="J56" s="160">
        <v>2.0892E-4</v>
      </c>
      <c r="K56" s="546" t="s">
        <v>121</v>
      </c>
      <c r="L56" s="544"/>
      <c r="M56" s="160">
        <v>1.9699999999999999E-4</v>
      </c>
      <c r="N56" s="133"/>
    </row>
    <row r="57" spans="1:14" ht="12.75" customHeight="1">
      <c r="A57" s="132"/>
      <c r="B57" s="161" t="s">
        <v>137</v>
      </c>
      <c r="C57" s="157"/>
      <c r="D57" s="162">
        <v>9.6600000000000005E-2</v>
      </c>
      <c r="E57" s="163" t="s">
        <v>138</v>
      </c>
      <c r="F57" s="157"/>
      <c r="G57" s="162">
        <v>1.1460000000000001E-3</v>
      </c>
      <c r="H57" s="163" t="s">
        <v>139</v>
      </c>
      <c r="I57" s="157"/>
      <c r="J57" s="162">
        <v>1.1942299999999999E-3</v>
      </c>
      <c r="K57" s="163" t="s">
        <v>140</v>
      </c>
      <c r="L57" s="157"/>
      <c r="M57" s="162">
        <v>5.3899999999999998E-3</v>
      </c>
      <c r="N57" s="133"/>
    </row>
    <row r="58" spans="1:14" ht="12.75" customHeight="1">
      <c r="A58" s="132"/>
      <c r="B58" s="547" t="s">
        <v>124</v>
      </c>
      <c r="C58" s="548"/>
      <c r="D58" s="164">
        <v>7.2999999999999995E-2</v>
      </c>
      <c r="E58" s="551" t="s">
        <v>124</v>
      </c>
      <c r="F58" s="552"/>
      <c r="G58" s="164">
        <v>5.2999999999999999E-2</v>
      </c>
      <c r="H58" s="551" t="s">
        <v>124</v>
      </c>
      <c r="I58" s="552"/>
      <c r="J58" s="164">
        <v>4.9000000000000002E-2</v>
      </c>
      <c r="K58" s="551" t="s">
        <v>124</v>
      </c>
      <c r="L58" s="552"/>
      <c r="M58" s="164">
        <v>6.8000000000000005E-2</v>
      </c>
      <c r="N58" s="133"/>
    </row>
    <row r="59" spans="1:14" ht="12.75" customHeight="1">
      <c r="A59" s="132"/>
      <c r="B59" s="547" t="s">
        <v>125</v>
      </c>
      <c r="C59" s="548"/>
      <c r="D59" s="164">
        <v>0.85499999999999998</v>
      </c>
      <c r="E59" s="551" t="s">
        <v>125</v>
      </c>
      <c r="F59" s="552"/>
      <c r="G59" s="164">
        <v>0.80600000000000005</v>
      </c>
      <c r="H59" s="551" t="s">
        <v>125</v>
      </c>
      <c r="I59" s="552"/>
      <c r="J59" s="164">
        <v>0.99399999999999999</v>
      </c>
      <c r="K59" s="551" t="s">
        <v>125</v>
      </c>
      <c r="L59" s="552"/>
      <c r="M59" s="164">
        <v>0.81</v>
      </c>
      <c r="N59" s="133"/>
    </row>
    <row r="60" spans="1:14" ht="12.75" customHeight="1">
      <c r="A60" s="132"/>
      <c r="B60" s="549" t="s">
        <v>25</v>
      </c>
      <c r="C60" s="550"/>
      <c r="D60" s="164">
        <v>0.26400000000000001</v>
      </c>
      <c r="E60" s="551" t="s">
        <v>25</v>
      </c>
      <c r="F60" s="552"/>
      <c r="G60" s="164">
        <v>0.26400000000000001</v>
      </c>
      <c r="H60" s="551" t="s">
        <v>25</v>
      </c>
      <c r="I60" s="552"/>
      <c r="J60" s="164">
        <v>0.30399999999999999</v>
      </c>
      <c r="K60" s="551" t="s">
        <v>25</v>
      </c>
      <c r="L60" s="552"/>
      <c r="M60" s="164">
        <v>0.26400000000000001</v>
      </c>
      <c r="N60" s="133"/>
    </row>
    <row r="61" spans="1:14" ht="12.75" customHeight="1">
      <c r="A61" s="132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  <c r="N61" s="133"/>
    </row>
    <row r="62" spans="1:14" ht="12.75" customHeight="1">
      <c r="A62" s="132"/>
      <c r="B62" s="156" t="s">
        <v>141</v>
      </c>
      <c r="C62" s="156"/>
      <c r="D62" s="156"/>
      <c r="E62" s="156"/>
      <c r="F62" s="156"/>
      <c r="G62" s="156"/>
      <c r="H62" s="156"/>
      <c r="I62" s="156"/>
      <c r="J62" s="156"/>
      <c r="K62" s="156"/>
      <c r="L62" s="156"/>
      <c r="M62" s="156"/>
      <c r="N62" s="133"/>
    </row>
    <row r="63" spans="1:14" ht="12.75" customHeight="1">
      <c r="A63" s="132"/>
      <c r="B63" s="553" t="s">
        <v>84</v>
      </c>
      <c r="C63" s="543"/>
      <c r="D63" s="544"/>
      <c r="E63" s="553" t="s">
        <v>84</v>
      </c>
      <c r="F63" s="543"/>
      <c r="G63" s="544"/>
      <c r="H63" s="553" t="s">
        <v>84</v>
      </c>
      <c r="I63" s="543"/>
      <c r="J63" s="544"/>
      <c r="K63" s="553" t="s">
        <v>84</v>
      </c>
      <c r="L63" s="543"/>
      <c r="M63" s="544"/>
      <c r="N63" s="133"/>
    </row>
    <row r="64" spans="1:14" ht="14.25" customHeight="1">
      <c r="A64" s="132"/>
      <c r="B64" s="542" t="s">
        <v>57</v>
      </c>
      <c r="C64" s="543"/>
      <c r="D64" s="544"/>
      <c r="E64" s="542" t="s">
        <v>42</v>
      </c>
      <c r="F64" s="543"/>
      <c r="G64" s="544"/>
      <c r="H64" s="542" t="s">
        <v>127</v>
      </c>
      <c r="I64" s="543"/>
      <c r="J64" s="544"/>
      <c r="K64" s="542" t="s">
        <v>128</v>
      </c>
      <c r="L64" s="543"/>
      <c r="M64" s="544"/>
      <c r="N64" s="133"/>
    </row>
    <row r="65" spans="1:14" ht="14.25" customHeight="1">
      <c r="A65" s="132"/>
      <c r="B65" s="545" t="s">
        <v>87</v>
      </c>
      <c r="C65" s="544"/>
      <c r="D65" s="160">
        <v>18.920000000000002</v>
      </c>
      <c r="E65" s="545" t="s">
        <v>87</v>
      </c>
      <c r="F65" s="544"/>
      <c r="G65" s="160">
        <v>16.97</v>
      </c>
      <c r="H65" s="545" t="s">
        <v>87</v>
      </c>
      <c r="I65" s="544"/>
      <c r="J65" s="160">
        <v>17.73</v>
      </c>
      <c r="K65" s="545" t="s">
        <v>87</v>
      </c>
      <c r="L65" s="544"/>
      <c r="M65" s="160">
        <v>17.82</v>
      </c>
      <c r="N65" s="133"/>
    </row>
    <row r="66" spans="1:14" ht="14.25" customHeight="1">
      <c r="A66" s="132"/>
      <c r="B66" s="545" t="s">
        <v>89</v>
      </c>
      <c r="C66" s="544"/>
      <c r="D66" s="160">
        <v>16.66</v>
      </c>
      <c r="E66" s="545" t="s">
        <v>89</v>
      </c>
      <c r="F66" s="544"/>
      <c r="G66" s="160">
        <v>15.55</v>
      </c>
      <c r="H66" s="545" t="s">
        <v>89</v>
      </c>
      <c r="I66" s="544"/>
      <c r="J66" s="160">
        <v>16.309999999999999</v>
      </c>
      <c r="K66" s="545" t="s">
        <v>89</v>
      </c>
      <c r="L66" s="544"/>
      <c r="M66" s="160">
        <v>15.85</v>
      </c>
      <c r="N66" s="133"/>
    </row>
    <row r="67" spans="1:14" ht="28.5" customHeight="1">
      <c r="A67" s="132"/>
      <c r="B67" s="545" t="s">
        <v>91</v>
      </c>
      <c r="C67" s="544"/>
      <c r="D67" s="160">
        <v>0.63500000000000001</v>
      </c>
      <c r="E67" s="545" t="s">
        <v>91</v>
      </c>
      <c r="F67" s="544"/>
      <c r="G67" s="160">
        <v>0.71099999999999997</v>
      </c>
      <c r="H67" s="545" t="s">
        <v>91</v>
      </c>
      <c r="I67" s="544"/>
      <c r="J67" s="160">
        <v>0.63500000000000001</v>
      </c>
      <c r="K67" s="545" t="s">
        <v>91</v>
      </c>
      <c r="L67" s="544"/>
      <c r="M67" s="160">
        <v>0.71120000000000005</v>
      </c>
      <c r="N67" s="133"/>
    </row>
    <row r="68" spans="1:14" ht="27" customHeight="1">
      <c r="A68" s="132"/>
      <c r="B68" s="546" t="s">
        <v>142</v>
      </c>
      <c r="C68" s="544"/>
      <c r="D68" s="160">
        <v>5.8500000000000003E-2</v>
      </c>
      <c r="E68" s="546" t="s">
        <v>143</v>
      </c>
      <c r="F68" s="544"/>
      <c r="G68" s="160">
        <v>5.33E-2</v>
      </c>
      <c r="H68" s="546" t="s">
        <v>144</v>
      </c>
      <c r="I68" s="544"/>
      <c r="J68" s="160">
        <v>5.57E-2</v>
      </c>
      <c r="K68" s="546" t="s">
        <v>145</v>
      </c>
      <c r="L68" s="544"/>
      <c r="M68" s="160">
        <v>5.4199999999999998E-2</v>
      </c>
      <c r="N68" s="133"/>
    </row>
    <row r="69" spans="1:14" ht="27" customHeight="1">
      <c r="A69" s="132"/>
      <c r="B69" s="546" t="s">
        <v>146</v>
      </c>
      <c r="C69" s="544"/>
      <c r="D69" s="160">
        <v>5.2338933999999997E-2</v>
      </c>
      <c r="E69" s="546" t="s">
        <v>147</v>
      </c>
      <c r="F69" s="544"/>
      <c r="G69" s="160">
        <v>4.8800000000000003E-2</v>
      </c>
      <c r="H69" s="546" t="s">
        <v>148</v>
      </c>
      <c r="I69" s="544"/>
      <c r="J69" s="160">
        <v>5.1200000000000002E-2</v>
      </c>
      <c r="K69" s="546" t="s">
        <v>149</v>
      </c>
      <c r="L69" s="544"/>
      <c r="M69" s="160">
        <v>4.9700000000000001E-2</v>
      </c>
      <c r="N69" s="133"/>
    </row>
    <row r="70" spans="1:14" ht="26.25" customHeight="1">
      <c r="A70" s="132"/>
      <c r="B70" s="546" t="s">
        <v>121</v>
      </c>
      <c r="C70" s="544"/>
      <c r="D70" s="160">
        <v>2.17992E-4</v>
      </c>
      <c r="E70" s="546" t="s">
        <v>121</v>
      </c>
      <c r="F70" s="544"/>
      <c r="G70" s="160">
        <v>1.8900000000000001E-4</v>
      </c>
      <c r="H70" s="546" t="s">
        <v>121</v>
      </c>
      <c r="I70" s="544"/>
      <c r="J70" s="160">
        <v>2.0892E-4</v>
      </c>
      <c r="K70" s="546" t="s">
        <v>121</v>
      </c>
      <c r="L70" s="544"/>
      <c r="M70" s="160">
        <v>1.9699999999999999E-4</v>
      </c>
      <c r="N70" s="133"/>
    </row>
    <row r="71" spans="1:14" ht="12.75" customHeight="1">
      <c r="A71" s="132"/>
      <c r="B71" s="161" t="s">
        <v>150</v>
      </c>
      <c r="C71" s="157"/>
      <c r="D71" s="162">
        <v>9.6600000000000005E-2</v>
      </c>
      <c r="E71" s="163" t="s">
        <v>151</v>
      </c>
      <c r="F71" s="157"/>
      <c r="G71" s="162">
        <v>1.1460000000000001E-3</v>
      </c>
      <c r="H71" s="163" t="s">
        <v>152</v>
      </c>
      <c r="I71" s="157"/>
      <c r="J71" s="162">
        <v>1.1942299999999999E-3</v>
      </c>
      <c r="K71" s="163" t="s">
        <v>153</v>
      </c>
      <c r="L71" s="157"/>
      <c r="M71" s="162">
        <v>5.3899999999999998E-3</v>
      </c>
      <c r="N71" s="133"/>
    </row>
    <row r="72" spans="1:14" ht="12.75" customHeight="1">
      <c r="A72" s="132"/>
      <c r="B72" s="551" t="s">
        <v>124</v>
      </c>
      <c r="C72" s="552"/>
      <c r="D72" s="165">
        <v>7.0000000000000007E-2</v>
      </c>
      <c r="E72" s="551" t="s">
        <v>124</v>
      </c>
      <c r="F72" s="552"/>
      <c r="G72" s="164">
        <v>5.2999999999999999E-2</v>
      </c>
      <c r="H72" s="551" t="s">
        <v>124</v>
      </c>
      <c r="I72" s="552"/>
      <c r="J72" s="164">
        <v>4.9000000000000002E-2</v>
      </c>
      <c r="K72" s="551" t="s">
        <v>124</v>
      </c>
      <c r="L72" s="552"/>
      <c r="M72" s="164">
        <v>6.8000000000000005E-2</v>
      </c>
      <c r="N72" s="133"/>
    </row>
    <row r="73" spans="1:14" ht="12.75" customHeight="1">
      <c r="A73" s="132"/>
      <c r="B73" s="551" t="s">
        <v>125</v>
      </c>
      <c r="C73" s="552"/>
      <c r="D73" s="165">
        <v>0.86499999999999999</v>
      </c>
      <c r="E73" s="551" t="s">
        <v>125</v>
      </c>
      <c r="F73" s="552"/>
      <c r="G73" s="164">
        <v>0.80600000000000005</v>
      </c>
      <c r="H73" s="551" t="s">
        <v>125</v>
      </c>
      <c r="I73" s="552"/>
      <c r="J73" s="164">
        <v>0.99399999999999999</v>
      </c>
      <c r="K73" s="551" t="s">
        <v>125</v>
      </c>
      <c r="L73" s="552"/>
      <c r="M73" s="164">
        <v>0.81</v>
      </c>
      <c r="N73" s="133"/>
    </row>
    <row r="74" spans="1:14" ht="12.75" customHeight="1">
      <c r="A74" s="132"/>
      <c r="B74" s="551" t="s">
        <v>25</v>
      </c>
      <c r="C74" s="552"/>
      <c r="D74">
        <v>0.27100000000000002</v>
      </c>
      <c r="E74" s="551" t="s">
        <v>25</v>
      </c>
      <c r="F74" s="552"/>
      <c r="G74" s="164">
        <v>0.26400000000000001</v>
      </c>
      <c r="H74" s="551" t="s">
        <v>25</v>
      </c>
      <c r="I74" s="552"/>
      <c r="J74" s="164">
        <v>0.30399999999999999</v>
      </c>
      <c r="K74" s="551" t="s">
        <v>25</v>
      </c>
      <c r="L74" s="552"/>
      <c r="M74" s="164">
        <v>0.26400000000000001</v>
      </c>
      <c r="N74" s="133"/>
    </row>
    <row r="75" spans="1:14" ht="12.75" customHeight="1">
      <c r="A75" s="166"/>
      <c r="B75" s="167"/>
      <c r="C75" s="167"/>
      <c r="D75" s="167"/>
      <c r="E75" s="167"/>
      <c r="F75" s="167"/>
      <c r="G75" s="167"/>
      <c r="H75" s="167"/>
      <c r="I75" s="167"/>
      <c r="J75" s="167"/>
      <c r="K75" s="167"/>
      <c r="L75" s="167"/>
      <c r="M75" s="168"/>
      <c r="N75" s="169"/>
    </row>
    <row r="76" spans="1:14" ht="12.75" customHeight="1">
      <c r="M76" s="11"/>
    </row>
    <row r="77" spans="1:14" ht="12.75" customHeight="1">
      <c r="M77" s="11"/>
    </row>
    <row r="78" spans="1:14" ht="12.75" customHeight="1">
      <c r="M78" s="11"/>
    </row>
    <row r="79" spans="1:14" ht="12.75" customHeight="1">
      <c r="M79" s="11"/>
    </row>
    <row r="80" spans="1:14" ht="12.75" customHeight="1">
      <c r="M80" s="11"/>
    </row>
    <row r="81" spans="13:13" ht="12.75" customHeight="1">
      <c r="M81" s="11"/>
    </row>
    <row r="82" spans="13:13" ht="12.75" customHeight="1">
      <c r="M82" s="11"/>
    </row>
    <row r="83" spans="13:13" ht="12.75" customHeight="1">
      <c r="M83" s="11"/>
    </row>
    <row r="84" spans="13:13" ht="12.75" customHeight="1">
      <c r="M84" s="11"/>
    </row>
    <row r="85" spans="13:13" ht="12.75" customHeight="1">
      <c r="M85" s="11"/>
    </row>
    <row r="86" spans="13:13" ht="12.75" customHeight="1">
      <c r="M86" s="11"/>
    </row>
    <row r="87" spans="13:13" ht="12.75" customHeight="1">
      <c r="M87" s="11"/>
    </row>
    <row r="88" spans="13:13" ht="12.75" customHeight="1">
      <c r="M88" s="11"/>
    </row>
    <row r="89" spans="13:13" ht="12.75" customHeight="1">
      <c r="M89" s="11"/>
    </row>
    <row r="90" spans="13:13" ht="12.75" customHeight="1">
      <c r="M90" s="11"/>
    </row>
    <row r="91" spans="13:13" ht="12.75" customHeight="1">
      <c r="M91" s="11"/>
    </row>
    <row r="92" spans="13:13" ht="12.75" customHeight="1">
      <c r="M92" s="11"/>
    </row>
    <row r="93" spans="13:13" ht="12.75" customHeight="1">
      <c r="M93" s="11"/>
    </row>
    <row r="94" spans="13:13" ht="12.75" customHeight="1">
      <c r="M94" s="11"/>
    </row>
    <row r="95" spans="13:13" ht="12.75" customHeight="1">
      <c r="M95" s="11"/>
    </row>
    <row r="96" spans="13:13" ht="12.75" customHeight="1">
      <c r="M96" s="11"/>
    </row>
    <row r="97" spans="13:13" ht="12.75" customHeight="1">
      <c r="M97" s="11"/>
    </row>
    <row r="98" spans="13:13" ht="12.75" customHeight="1">
      <c r="M98" s="11"/>
    </row>
    <row r="99" spans="13:13" ht="12.75" customHeight="1">
      <c r="M99" s="11"/>
    </row>
    <row r="100" spans="13:13" ht="12.75" customHeight="1">
      <c r="M100" s="11"/>
    </row>
    <row r="101" spans="13:13" ht="12.75" customHeight="1">
      <c r="M101" s="11"/>
    </row>
    <row r="102" spans="13:13" ht="12.75" customHeight="1">
      <c r="M102" s="11"/>
    </row>
    <row r="103" spans="13:13" ht="12.75" customHeight="1">
      <c r="M103" s="11"/>
    </row>
    <row r="104" spans="13:13" ht="12.75" customHeight="1">
      <c r="M104" s="11"/>
    </row>
    <row r="105" spans="13:13" ht="12.75" customHeight="1">
      <c r="M105" s="11"/>
    </row>
    <row r="106" spans="13:13" ht="12.75" customHeight="1">
      <c r="M106" s="11"/>
    </row>
    <row r="107" spans="13:13" ht="12.75" customHeight="1">
      <c r="M107" s="11"/>
    </row>
    <row r="108" spans="13:13" ht="12.75" customHeight="1">
      <c r="M108" s="11"/>
    </row>
    <row r="109" spans="13:13" ht="12.75" customHeight="1">
      <c r="M109" s="11"/>
    </row>
    <row r="110" spans="13:13" ht="12.75" customHeight="1">
      <c r="M110" s="11"/>
    </row>
    <row r="111" spans="13:13" ht="12.75" customHeight="1">
      <c r="M111" s="11"/>
    </row>
    <row r="112" spans="13:13" ht="12.75" customHeight="1">
      <c r="M112" s="11"/>
    </row>
    <row r="113" spans="13:13" ht="12.75" customHeight="1">
      <c r="M113" s="11"/>
    </row>
    <row r="114" spans="13:13" ht="12.75" customHeight="1">
      <c r="M114" s="11"/>
    </row>
    <row r="115" spans="13:13" ht="12.75" customHeight="1">
      <c r="M115" s="11"/>
    </row>
    <row r="116" spans="13:13" ht="12.75" customHeight="1">
      <c r="M116" s="11"/>
    </row>
    <row r="117" spans="13:13" ht="12.75" customHeight="1">
      <c r="M117" s="11"/>
    </row>
    <row r="118" spans="13:13" ht="12.75" customHeight="1">
      <c r="M118" s="11"/>
    </row>
    <row r="119" spans="13:13" ht="12.75" customHeight="1">
      <c r="M119" s="11"/>
    </row>
    <row r="120" spans="13:13" ht="12.75" customHeight="1">
      <c r="M120" s="11"/>
    </row>
    <row r="121" spans="13:13" ht="12.75" customHeight="1">
      <c r="M121" s="11"/>
    </row>
    <row r="122" spans="13:13" ht="12.75" customHeight="1">
      <c r="M122" s="11"/>
    </row>
    <row r="123" spans="13:13" ht="12.75" customHeight="1">
      <c r="M123" s="11"/>
    </row>
    <row r="124" spans="13:13" ht="12.75" customHeight="1">
      <c r="M124" s="11"/>
    </row>
    <row r="125" spans="13:13" ht="12.75" customHeight="1">
      <c r="M125" s="11"/>
    </row>
    <row r="126" spans="13:13" ht="12.75" customHeight="1">
      <c r="M126" s="11"/>
    </row>
    <row r="127" spans="13:13" ht="12.75" customHeight="1">
      <c r="M127" s="11"/>
    </row>
    <row r="128" spans="13:13" ht="12.75" customHeight="1">
      <c r="M128" s="11"/>
    </row>
    <row r="129" spans="13:13" ht="12.75" customHeight="1">
      <c r="M129" s="11"/>
    </row>
    <row r="130" spans="13:13" ht="12.75" customHeight="1">
      <c r="M130" s="11"/>
    </row>
    <row r="131" spans="13:13" ht="12.75" customHeight="1">
      <c r="M131" s="11"/>
    </row>
    <row r="132" spans="13:13" ht="12.75" customHeight="1">
      <c r="M132" s="11"/>
    </row>
    <row r="133" spans="13:13" ht="12.75" customHeight="1">
      <c r="M133" s="11"/>
    </row>
    <row r="134" spans="13:13" ht="12.75" customHeight="1">
      <c r="M134" s="11"/>
    </row>
    <row r="135" spans="13:13" ht="12.75" customHeight="1">
      <c r="M135" s="11"/>
    </row>
    <row r="136" spans="13:13" ht="12.75" customHeight="1">
      <c r="M136" s="11"/>
    </row>
    <row r="137" spans="13:13" ht="12.75" customHeight="1">
      <c r="M137" s="11"/>
    </row>
    <row r="138" spans="13:13" ht="12.75" customHeight="1">
      <c r="M138" s="11"/>
    </row>
    <row r="139" spans="13:13" ht="12.75" customHeight="1">
      <c r="M139" s="11"/>
    </row>
    <row r="140" spans="13:13" ht="12.75" customHeight="1">
      <c r="M140" s="11"/>
    </row>
    <row r="141" spans="13:13" ht="12.75" customHeight="1">
      <c r="M141" s="11"/>
    </row>
    <row r="142" spans="13:13" ht="12.75" customHeight="1">
      <c r="M142" s="11"/>
    </row>
    <row r="143" spans="13:13" ht="12.75" customHeight="1">
      <c r="M143" s="11"/>
    </row>
    <row r="144" spans="13:13" ht="12.75" customHeight="1">
      <c r="M144" s="11"/>
    </row>
    <row r="145" spans="13:13" ht="12.75" customHeight="1">
      <c r="M145" s="11"/>
    </row>
    <row r="146" spans="13:13" ht="12.75" customHeight="1">
      <c r="M146" s="11"/>
    </row>
    <row r="147" spans="13:13" ht="12.75" customHeight="1">
      <c r="M147" s="11"/>
    </row>
    <row r="148" spans="13:13" ht="12.75" customHeight="1">
      <c r="M148" s="11"/>
    </row>
    <row r="149" spans="13:13" ht="12.75" customHeight="1">
      <c r="M149" s="11"/>
    </row>
    <row r="150" spans="13:13" ht="12.75" customHeight="1">
      <c r="M150" s="11"/>
    </row>
    <row r="151" spans="13:13" ht="12.75" customHeight="1">
      <c r="M151" s="11"/>
    </row>
    <row r="152" spans="13:13" ht="12.75" customHeight="1">
      <c r="M152" s="11"/>
    </row>
    <row r="153" spans="13:13" ht="12.75" customHeight="1">
      <c r="M153" s="11"/>
    </row>
    <row r="154" spans="13:13" ht="12.75" customHeight="1">
      <c r="M154" s="11"/>
    </row>
    <row r="155" spans="13:13" ht="12.75" customHeight="1">
      <c r="M155" s="11"/>
    </row>
    <row r="156" spans="13:13" ht="12.75" customHeight="1">
      <c r="M156" s="11"/>
    </row>
    <row r="157" spans="13:13" ht="12.75" customHeight="1">
      <c r="M157" s="11"/>
    </row>
    <row r="158" spans="13:13" ht="12.75" customHeight="1">
      <c r="M158" s="11"/>
    </row>
    <row r="159" spans="13:13" ht="12.75" customHeight="1">
      <c r="M159" s="11"/>
    </row>
    <row r="160" spans="13:13" ht="12.75" customHeight="1">
      <c r="M160" s="11"/>
    </row>
    <row r="161" spans="13:13" ht="12.75" customHeight="1">
      <c r="M161" s="11"/>
    </row>
    <row r="162" spans="13:13" ht="12.75" customHeight="1">
      <c r="M162" s="11"/>
    </row>
    <row r="163" spans="13:13" ht="12.75" customHeight="1">
      <c r="M163" s="11"/>
    </row>
    <row r="164" spans="13:13" ht="12.75" customHeight="1">
      <c r="M164" s="11"/>
    </row>
    <row r="165" spans="13:13" ht="12.75" customHeight="1">
      <c r="M165" s="11"/>
    </row>
    <row r="166" spans="13:13" ht="12.75" customHeight="1">
      <c r="M166" s="11"/>
    </row>
    <row r="167" spans="13:13" ht="12.75" customHeight="1">
      <c r="M167" s="11"/>
    </row>
    <row r="168" spans="13:13" ht="12.75" customHeight="1">
      <c r="M168" s="11"/>
    </row>
    <row r="169" spans="13:13" ht="12.75" customHeight="1">
      <c r="M169" s="11"/>
    </row>
    <row r="170" spans="13:13" ht="12.75" customHeight="1">
      <c r="M170" s="11"/>
    </row>
    <row r="171" spans="13:13" ht="12.75" customHeight="1">
      <c r="M171" s="11"/>
    </row>
    <row r="172" spans="13:13" ht="12.75" customHeight="1">
      <c r="M172" s="11"/>
    </row>
    <row r="173" spans="13:13" ht="12.75" customHeight="1">
      <c r="M173" s="11"/>
    </row>
    <row r="174" spans="13:13" ht="12.75" customHeight="1">
      <c r="M174" s="11"/>
    </row>
    <row r="175" spans="13:13" ht="12.75" customHeight="1">
      <c r="M175" s="11"/>
    </row>
    <row r="176" spans="13:13" ht="12.75" customHeight="1">
      <c r="M176" s="11"/>
    </row>
    <row r="177" spans="13:13" ht="12.75" customHeight="1">
      <c r="M177" s="11"/>
    </row>
    <row r="178" spans="13:13" ht="12.75" customHeight="1">
      <c r="M178" s="11"/>
    </row>
    <row r="179" spans="13:13" ht="12.75" customHeight="1">
      <c r="M179" s="11"/>
    </row>
    <row r="180" spans="13:13" ht="12.75" customHeight="1">
      <c r="M180" s="11"/>
    </row>
    <row r="181" spans="13:13" ht="12.75" customHeight="1">
      <c r="M181" s="11"/>
    </row>
    <row r="182" spans="13:13" ht="12.75" customHeight="1">
      <c r="M182" s="11"/>
    </row>
    <row r="183" spans="13:13" ht="12.75" customHeight="1">
      <c r="M183" s="11"/>
    </row>
    <row r="184" spans="13:13" ht="12.75" customHeight="1">
      <c r="M184" s="11"/>
    </row>
    <row r="185" spans="13:13" ht="12.75" customHeight="1">
      <c r="M185" s="11"/>
    </row>
    <row r="186" spans="13:13" ht="12.75" customHeight="1">
      <c r="M186" s="11"/>
    </row>
    <row r="187" spans="13:13" ht="12.75" customHeight="1">
      <c r="M187" s="11"/>
    </row>
    <row r="188" spans="13:13" ht="12.75" customHeight="1">
      <c r="M188" s="11"/>
    </row>
    <row r="189" spans="13:13" ht="12.75" customHeight="1">
      <c r="M189" s="11"/>
    </row>
    <row r="190" spans="13:13" ht="12.75" customHeight="1">
      <c r="M190" s="11"/>
    </row>
    <row r="191" spans="13:13" ht="12.75" customHeight="1">
      <c r="M191" s="11"/>
    </row>
    <row r="192" spans="13:13" ht="12.75" customHeight="1">
      <c r="M192" s="11"/>
    </row>
    <row r="193" spans="13:13" ht="12.75" customHeight="1">
      <c r="M193" s="11"/>
    </row>
    <row r="194" spans="13:13" ht="12.75" customHeight="1">
      <c r="M194" s="11"/>
    </row>
    <row r="195" spans="13:13" ht="12.75" customHeight="1">
      <c r="M195" s="11"/>
    </row>
    <row r="196" spans="13:13" ht="12.75" customHeight="1">
      <c r="M196" s="11"/>
    </row>
    <row r="197" spans="13:13" ht="12.75" customHeight="1">
      <c r="M197" s="11"/>
    </row>
    <row r="198" spans="13:13" ht="12.75" customHeight="1">
      <c r="M198" s="11"/>
    </row>
    <row r="199" spans="13:13" ht="12.75" customHeight="1">
      <c r="M199" s="11"/>
    </row>
    <row r="200" spans="13:13" ht="12.75" customHeight="1">
      <c r="M200" s="11"/>
    </row>
    <row r="201" spans="13:13" ht="12.75" customHeight="1">
      <c r="M201" s="11"/>
    </row>
    <row r="202" spans="13:13" ht="12.75" customHeight="1">
      <c r="M202" s="11"/>
    </row>
    <row r="203" spans="13:13" ht="12.75" customHeight="1">
      <c r="M203" s="11"/>
    </row>
    <row r="204" spans="13:13" ht="12.75" customHeight="1">
      <c r="M204" s="11"/>
    </row>
    <row r="205" spans="13:13" ht="12.75" customHeight="1">
      <c r="M205" s="11"/>
    </row>
    <row r="206" spans="13:13" ht="12.75" customHeight="1">
      <c r="M206" s="11"/>
    </row>
    <row r="207" spans="13:13" ht="12.75" customHeight="1">
      <c r="M207" s="11"/>
    </row>
    <row r="208" spans="13:13" ht="12.75" customHeight="1">
      <c r="M208" s="11"/>
    </row>
    <row r="209" spans="13:13" ht="12.75" customHeight="1">
      <c r="M209" s="11"/>
    </row>
    <row r="210" spans="13:13" ht="12.75" customHeight="1">
      <c r="M210" s="11"/>
    </row>
    <row r="211" spans="13:13" ht="12.75" customHeight="1">
      <c r="M211" s="11"/>
    </row>
    <row r="212" spans="13:13" ht="12.75" customHeight="1">
      <c r="M212" s="11"/>
    </row>
    <row r="213" spans="13:13" ht="12.75" customHeight="1">
      <c r="M213" s="11"/>
    </row>
    <row r="214" spans="13:13" ht="12.75" customHeight="1">
      <c r="M214" s="11"/>
    </row>
    <row r="215" spans="13:13" ht="12.75" customHeight="1">
      <c r="M215" s="11"/>
    </row>
    <row r="216" spans="13:13" ht="12.75" customHeight="1">
      <c r="M216" s="11"/>
    </row>
    <row r="217" spans="13:13" ht="12.75" customHeight="1">
      <c r="M217" s="11"/>
    </row>
    <row r="218" spans="13:13" ht="12.75" customHeight="1">
      <c r="M218" s="11"/>
    </row>
    <row r="219" spans="13:13" ht="12.75" customHeight="1">
      <c r="M219" s="11"/>
    </row>
    <row r="220" spans="13:13" ht="12.75" customHeight="1">
      <c r="M220" s="11"/>
    </row>
    <row r="221" spans="13:13" ht="12.75" customHeight="1">
      <c r="M221" s="11"/>
    </row>
    <row r="222" spans="13:13" ht="12.75" customHeight="1">
      <c r="M222" s="11"/>
    </row>
    <row r="223" spans="13:13" ht="12.75" customHeight="1">
      <c r="M223" s="11"/>
    </row>
    <row r="224" spans="13:13" ht="12.75" customHeight="1">
      <c r="M224" s="11"/>
    </row>
    <row r="225" spans="13:13" ht="12.75" customHeight="1">
      <c r="M225" s="11"/>
    </row>
    <row r="226" spans="13:13" ht="12.75" customHeight="1">
      <c r="M226" s="11"/>
    </row>
    <row r="227" spans="13:13" ht="12.75" customHeight="1">
      <c r="M227" s="11"/>
    </row>
    <row r="228" spans="13:13" ht="12.75" customHeight="1">
      <c r="M228" s="11"/>
    </row>
    <row r="229" spans="13:13" ht="12.75" customHeight="1">
      <c r="M229" s="11"/>
    </row>
    <row r="230" spans="13:13" ht="12.75" customHeight="1">
      <c r="M230" s="11"/>
    </row>
    <row r="231" spans="13:13" ht="12.75" customHeight="1">
      <c r="M231" s="11"/>
    </row>
    <row r="232" spans="13:13" ht="12.75" customHeight="1">
      <c r="M232" s="11"/>
    </row>
    <row r="233" spans="13:13" ht="12.75" customHeight="1">
      <c r="M233" s="11"/>
    </row>
    <row r="234" spans="13:13" ht="12.75" customHeight="1">
      <c r="M234" s="11"/>
    </row>
    <row r="235" spans="13:13" ht="12.75" customHeight="1">
      <c r="M235" s="11"/>
    </row>
    <row r="236" spans="13:13" ht="12.75" customHeight="1">
      <c r="M236" s="11"/>
    </row>
    <row r="237" spans="13:13" ht="12.75" customHeight="1">
      <c r="M237" s="11"/>
    </row>
    <row r="238" spans="13:13" ht="12.75" customHeight="1">
      <c r="M238" s="11"/>
    </row>
    <row r="239" spans="13:13" ht="12.75" customHeight="1">
      <c r="M239" s="11"/>
    </row>
    <row r="240" spans="13:13" ht="12.75" customHeight="1">
      <c r="M240" s="11"/>
    </row>
    <row r="241" spans="13:13" ht="12.75" customHeight="1">
      <c r="M241" s="11"/>
    </row>
    <row r="242" spans="13:13" ht="12.75" customHeight="1">
      <c r="M242" s="11"/>
    </row>
    <row r="243" spans="13:13" ht="12.75" customHeight="1">
      <c r="M243" s="11"/>
    </row>
    <row r="244" spans="13:13" ht="12.75" customHeight="1">
      <c r="M244" s="11"/>
    </row>
    <row r="245" spans="13:13" ht="12.75" customHeight="1">
      <c r="M245" s="11"/>
    </row>
    <row r="246" spans="13:13" ht="12.75" customHeight="1">
      <c r="M246" s="11"/>
    </row>
    <row r="247" spans="13:13" ht="12.75" customHeight="1">
      <c r="M247" s="11"/>
    </row>
    <row r="248" spans="13:13" ht="12.75" customHeight="1">
      <c r="M248" s="11"/>
    </row>
    <row r="249" spans="13:13" ht="12.75" customHeight="1">
      <c r="M249" s="11"/>
    </row>
    <row r="250" spans="13:13" ht="12.75" customHeight="1">
      <c r="M250" s="11"/>
    </row>
    <row r="251" spans="13:13" ht="12.75" customHeight="1">
      <c r="M251" s="11"/>
    </row>
    <row r="252" spans="13:13" ht="12.75" customHeight="1">
      <c r="M252" s="11"/>
    </row>
    <row r="253" spans="13:13" ht="12.75" customHeight="1">
      <c r="M253" s="11"/>
    </row>
    <row r="254" spans="13:13" ht="12.75" customHeight="1">
      <c r="M254" s="11"/>
    </row>
    <row r="255" spans="13:13" ht="12.75" customHeight="1">
      <c r="M255" s="11"/>
    </row>
    <row r="256" spans="13:13" ht="12.75" customHeight="1">
      <c r="M256" s="11"/>
    </row>
    <row r="257" spans="13:13" ht="12.75" customHeight="1">
      <c r="M257" s="11"/>
    </row>
    <row r="258" spans="13:13" ht="12.75" customHeight="1">
      <c r="M258" s="11"/>
    </row>
    <row r="259" spans="13:13" ht="12.75" customHeight="1">
      <c r="M259" s="11"/>
    </row>
    <row r="260" spans="13:13" ht="12.75" customHeight="1">
      <c r="M260" s="11"/>
    </row>
    <row r="261" spans="13:13" ht="12.75" customHeight="1">
      <c r="M261" s="11"/>
    </row>
    <row r="262" spans="13:13" ht="12.75" customHeight="1">
      <c r="M262" s="11"/>
    </row>
    <row r="263" spans="13:13" ht="12.75" customHeight="1">
      <c r="M263" s="11"/>
    </row>
    <row r="264" spans="13:13" ht="12.75" customHeight="1">
      <c r="M264" s="11"/>
    </row>
    <row r="265" spans="13:13" ht="12.75" customHeight="1">
      <c r="M265" s="11"/>
    </row>
    <row r="266" spans="13:13" ht="12.75" customHeight="1">
      <c r="M266" s="11"/>
    </row>
    <row r="267" spans="13:13" ht="12.75" customHeight="1">
      <c r="M267" s="11"/>
    </row>
    <row r="268" spans="13:13" ht="12.75" customHeight="1">
      <c r="M268" s="11"/>
    </row>
    <row r="269" spans="13:13" ht="12.75" customHeight="1">
      <c r="M269" s="11"/>
    </row>
    <row r="270" spans="13:13" ht="12.75" customHeight="1">
      <c r="M270" s="11"/>
    </row>
    <row r="271" spans="13:13" ht="12.75" customHeight="1">
      <c r="M271" s="11"/>
    </row>
    <row r="272" spans="13:13" ht="12.75" customHeight="1">
      <c r="M272" s="11"/>
    </row>
    <row r="273" spans="13:13" ht="12.75" customHeight="1">
      <c r="M273" s="11"/>
    </row>
    <row r="274" spans="13:13" ht="12.75" customHeight="1">
      <c r="M274" s="11"/>
    </row>
    <row r="275" spans="13:13" ht="15.75" customHeight="1"/>
    <row r="276" spans="13:13" ht="15.75" customHeight="1"/>
    <row r="277" spans="13:13" ht="15.75" customHeight="1"/>
    <row r="278" spans="13:13" ht="15.75" customHeight="1"/>
    <row r="279" spans="13:13" ht="15.75" customHeight="1"/>
    <row r="280" spans="13:13" ht="15.75" customHeight="1"/>
    <row r="281" spans="13:13" ht="15.75" customHeight="1"/>
    <row r="282" spans="13:13" ht="15.75" customHeight="1"/>
    <row r="283" spans="13:13" ht="15.75" customHeight="1"/>
    <row r="284" spans="13:13" ht="15.75" customHeight="1"/>
    <row r="285" spans="13:13" ht="15.75" customHeight="1"/>
    <row r="286" spans="13:13" ht="15.75" customHeight="1"/>
    <row r="287" spans="13:13" ht="15.75" customHeight="1"/>
    <row r="288" spans="13:13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23">
    <mergeCell ref="K55:L55"/>
    <mergeCell ref="K56:L56"/>
    <mergeCell ref="K58:L58"/>
    <mergeCell ref="B38:C38"/>
    <mergeCell ref="B39:C39"/>
    <mergeCell ref="B40:C40"/>
    <mergeCell ref="B49:D49"/>
    <mergeCell ref="E49:G49"/>
    <mergeCell ref="H49:J49"/>
    <mergeCell ref="K49:M49"/>
    <mergeCell ref="E50:G50"/>
    <mergeCell ref="H50:J50"/>
    <mergeCell ref="K50:M50"/>
    <mergeCell ref="H38:I38"/>
    <mergeCell ref="H39:I39"/>
    <mergeCell ref="H40:I40"/>
    <mergeCell ref="B56:C56"/>
    <mergeCell ref="B58:C58"/>
    <mergeCell ref="B50:D50"/>
    <mergeCell ref="B51:C51"/>
    <mergeCell ref="B17:C17"/>
    <mergeCell ref="B18:C18"/>
    <mergeCell ref="B19:C19"/>
    <mergeCell ref="B21:E21"/>
    <mergeCell ref="H22:H24"/>
    <mergeCell ref="K51:L51"/>
    <mergeCell ref="K52:L52"/>
    <mergeCell ref="K53:L53"/>
    <mergeCell ref="K54:L54"/>
    <mergeCell ref="H35:I35"/>
    <mergeCell ref="H36:I36"/>
    <mergeCell ref="H37:I37"/>
    <mergeCell ref="B22:B24"/>
    <mergeCell ref="B35:C35"/>
    <mergeCell ref="B36:C36"/>
    <mergeCell ref="B37:C37"/>
    <mergeCell ref="B2:F2"/>
    <mergeCell ref="H2:L2"/>
    <mergeCell ref="B3:F3"/>
    <mergeCell ref="H3:L3"/>
    <mergeCell ref="B12:D12"/>
    <mergeCell ref="H12:J12"/>
    <mergeCell ref="H14:I14"/>
    <mergeCell ref="B14:C14"/>
    <mergeCell ref="B15:C15"/>
    <mergeCell ref="H15:I15"/>
    <mergeCell ref="H16:I16"/>
    <mergeCell ref="H17:I17"/>
    <mergeCell ref="H18:I18"/>
    <mergeCell ref="H19:I19"/>
    <mergeCell ref="H21:M21"/>
    <mergeCell ref="M22:M24"/>
    <mergeCell ref="B16:C16"/>
    <mergeCell ref="K68:L68"/>
    <mergeCell ref="K69:L69"/>
    <mergeCell ref="B66:C66"/>
    <mergeCell ref="H66:I66"/>
    <mergeCell ref="H54:I54"/>
    <mergeCell ref="H55:I55"/>
    <mergeCell ref="H56:I56"/>
    <mergeCell ref="H58:I58"/>
    <mergeCell ref="H59:I59"/>
    <mergeCell ref="H60:I60"/>
    <mergeCell ref="E56:F56"/>
    <mergeCell ref="E58:F58"/>
    <mergeCell ref="E59:F59"/>
    <mergeCell ref="E60:F60"/>
    <mergeCell ref="E63:G63"/>
    <mergeCell ref="H63:J63"/>
    <mergeCell ref="B63:D63"/>
    <mergeCell ref="K70:L70"/>
    <mergeCell ref="K72:L72"/>
    <mergeCell ref="K73:L73"/>
    <mergeCell ref="K74:L74"/>
    <mergeCell ref="K59:L59"/>
    <mergeCell ref="K60:L60"/>
    <mergeCell ref="K63:M63"/>
    <mergeCell ref="K64:M64"/>
    <mergeCell ref="K65:L65"/>
    <mergeCell ref="K66:L66"/>
    <mergeCell ref="K67:L67"/>
    <mergeCell ref="B72:C72"/>
    <mergeCell ref="B73:C73"/>
    <mergeCell ref="B74:C74"/>
    <mergeCell ref="H67:I67"/>
    <mergeCell ref="H68:I68"/>
    <mergeCell ref="H69:I69"/>
    <mergeCell ref="H70:I70"/>
    <mergeCell ref="H72:I72"/>
    <mergeCell ref="H73:I73"/>
    <mergeCell ref="H74:I74"/>
    <mergeCell ref="E73:F73"/>
    <mergeCell ref="E74:F74"/>
    <mergeCell ref="E67:F67"/>
    <mergeCell ref="E68:F68"/>
    <mergeCell ref="E69:F69"/>
    <mergeCell ref="E70:F70"/>
    <mergeCell ref="E72:F72"/>
    <mergeCell ref="B67:C67"/>
    <mergeCell ref="B68:C68"/>
    <mergeCell ref="B69:C69"/>
    <mergeCell ref="B70:C70"/>
    <mergeCell ref="B64:D64"/>
    <mergeCell ref="E64:G64"/>
    <mergeCell ref="H64:J64"/>
    <mergeCell ref="E66:F66"/>
    <mergeCell ref="B65:C65"/>
    <mergeCell ref="H65:I65"/>
    <mergeCell ref="E65:F65"/>
    <mergeCell ref="E51:F51"/>
    <mergeCell ref="H51:I51"/>
    <mergeCell ref="B52:C52"/>
    <mergeCell ref="H52:I52"/>
    <mergeCell ref="H53:I53"/>
    <mergeCell ref="E52:F52"/>
    <mergeCell ref="E53:F53"/>
    <mergeCell ref="E54:F54"/>
    <mergeCell ref="E55:F55"/>
    <mergeCell ref="B53:C53"/>
    <mergeCell ref="B54:C54"/>
    <mergeCell ref="B55:C55"/>
    <mergeCell ref="B59:C59"/>
    <mergeCell ref="B60:C60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000"/>
  <sheetViews>
    <sheetView topLeftCell="A37" workbookViewId="0">
      <pane xSplit="2" topLeftCell="P1" activePane="topRight" state="frozen"/>
      <selection pane="topRight" activeCell="H7" sqref="H7"/>
    </sheetView>
  </sheetViews>
  <sheetFormatPr defaultColWidth="14.42578125" defaultRowHeight="15" customHeight="1"/>
  <cols>
    <col min="1" max="1" width="20.5703125" customWidth="1"/>
    <col min="2" max="2" width="14.85546875" customWidth="1"/>
    <col min="3" max="3" width="10.7109375" customWidth="1"/>
    <col min="4" max="7" width="8" customWidth="1"/>
    <col min="8" max="8" width="12" customWidth="1"/>
    <col min="9" max="26" width="8" customWidth="1"/>
  </cols>
  <sheetData>
    <row r="1" spans="1:26" ht="22.5" customHeight="1">
      <c r="A1" s="566" t="s">
        <v>154</v>
      </c>
      <c r="B1" s="543"/>
      <c r="C1" s="543"/>
      <c r="D1" s="543"/>
      <c r="E1" s="543"/>
      <c r="F1" s="543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</row>
    <row r="2" spans="1:26" ht="12.75" customHeight="1">
      <c r="A2" s="171" t="s">
        <v>155</v>
      </c>
      <c r="B2" s="171"/>
      <c r="C2" s="10"/>
    </row>
    <row r="3" spans="1:26" ht="12.75" customHeight="1">
      <c r="A3" s="23" t="s">
        <v>156</v>
      </c>
      <c r="B3" s="23">
        <f>'DATA BASE'!D17/'DATA BASE'!D18</f>
        <v>1.0905432595573441</v>
      </c>
      <c r="C3" s="10"/>
    </row>
    <row r="4" spans="1:26" ht="15.75" customHeight="1">
      <c r="A4" s="23" t="s">
        <v>157</v>
      </c>
      <c r="B4" s="23">
        <f>IF('Input data'!F17&gt;0.0176,'Input data'!F17*0.7,'Input data'!F17)</f>
        <v>1.2599999999999998E-2</v>
      </c>
      <c r="C4" s="10"/>
      <c r="G4" s="1"/>
    </row>
    <row r="5" spans="1:26" ht="20.25" customHeight="1">
      <c r="A5" s="172" t="s">
        <v>158</v>
      </c>
      <c r="B5" s="172"/>
      <c r="C5" s="173" t="s">
        <v>115</v>
      </c>
      <c r="D5" s="567" t="s">
        <v>159</v>
      </c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4"/>
      <c r="W5" s="174"/>
      <c r="X5" s="174"/>
      <c r="Y5" s="174"/>
      <c r="Z5" s="174"/>
    </row>
    <row r="6" spans="1:26" ht="20.25" customHeight="1">
      <c r="A6" s="175" t="s">
        <v>160</v>
      </c>
      <c r="B6" s="176" t="s">
        <v>161</v>
      </c>
      <c r="C6" s="177">
        <f>'Input data'!$F$12</f>
        <v>7</v>
      </c>
      <c r="D6" s="568"/>
      <c r="E6" s="178"/>
      <c r="F6" s="178"/>
      <c r="G6" s="38" t="s">
        <v>20</v>
      </c>
      <c r="H6" s="39">
        <f>C38</f>
        <v>3.6897517687803059</v>
      </c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178"/>
      <c r="U6" s="178"/>
      <c r="V6" s="178"/>
      <c r="W6" s="178"/>
      <c r="X6" s="178"/>
      <c r="Y6" s="178"/>
      <c r="Z6" s="178"/>
    </row>
    <row r="7" spans="1:26" ht="20.25" customHeight="1">
      <c r="A7" s="175" t="s">
        <v>162</v>
      </c>
      <c r="B7" s="175" t="s">
        <v>163</v>
      </c>
      <c r="C7" s="177">
        <f>'Input data'!F14/3600</f>
        <v>2.8366250419799045E-2</v>
      </c>
      <c r="D7" s="568"/>
      <c r="E7" s="178"/>
      <c r="F7" s="178"/>
      <c r="G7" s="38" t="s">
        <v>25</v>
      </c>
      <c r="H7" s="39">
        <f>C80</f>
        <v>38.447363406646744</v>
      </c>
      <c r="I7" s="178"/>
      <c r="J7" s="178"/>
      <c r="K7" s="178"/>
      <c r="L7" s="178"/>
      <c r="M7" s="178"/>
      <c r="N7" s="178"/>
      <c r="O7" s="178"/>
      <c r="P7" s="178"/>
      <c r="Q7" s="178"/>
      <c r="R7" s="178"/>
      <c r="S7" s="178"/>
      <c r="T7" s="178"/>
      <c r="U7" s="178"/>
      <c r="V7" s="178"/>
      <c r="W7" s="178"/>
      <c r="X7" s="178"/>
      <c r="Y7" s="178"/>
      <c r="Z7" s="178"/>
    </row>
    <row r="8" spans="1:26" ht="20.25" customHeight="1">
      <c r="A8" s="179" t="s">
        <v>164</v>
      </c>
      <c r="B8" s="180" t="s">
        <v>165</v>
      </c>
      <c r="C8" s="181">
        <f>(('Input data'!$D$7*0.2388)/(C7*'DATA BASE'!$D$9*'DATA BASE'!$D$8))+'CALCULATIONS &amp; OUTPUT'!C6</f>
        <v>11.992789692765115</v>
      </c>
      <c r="D8" s="568"/>
      <c r="E8" s="178"/>
      <c r="F8" s="178"/>
      <c r="G8" s="38" t="s">
        <v>26</v>
      </c>
      <c r="H8" s="39">
        <f>C10</f>
        <v>1.1802550728051528</v>
      </c>
      <c r="I8" s="178"/>
      <c r="J8" s="178"/>
      <c r="K8" s="178"/>
      <c r="L8" s="178"/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</row>
    <row r="9" spans="1:26" ht="20.25" customHeight="1">
      <c r="A9" s="175" t="s">
        <v>164</v>
      </c>
      <c r="B9" s="176" t="s">
        <v>166</v>
      </c>
      <c r="C9" s="177">
        <f>32+((9/5)*C8)</f>
        <v>53.587021446977204</v>
      </c>
      <c r="D9" s="568"/>
      <c r="E9" s="178"/>
      <c r="F9" s="178"/>
      <c r="G9" s="38" t="s">
        <v>29</v>
      </c>
      <c r="H9" s="39">
        <f>C33</f>
        <v>0.10622888588353389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8"/>
      <c r="W9" s="178"/>
      <c r="X9" s="178"/>
      <c r="Y9" s="178"/>
      <c r="Z9" s="178"/>
    </row>
    <row r="10" spans="1:26" ht="19.5" customHeight="1">
      <c r="A10" s="175" t="s">
        <v>167</v>
      </c>
      <c r="B10" s="175" t="s">
        <v>27</v>
      </c>
      <c r="C10" s="182">
        <f>(C7)/(('DATA BASE'!$D$19)*('DATA BASE'!$C$26/('Input data'!$F$16)))</f>
        <v>1.1802550728051528</v>
      </c>
      <c r="D10" s="568"/>
      <c r="E10" s="178"/>
      <c r="F10" s="178"/>
      <c r="G10" s="38" t="s">
        <v>34</v>
      </c>
      <c r="H10" s="39">
        <f>C52</f>
        <v>1.1690013359559936</v>
      </c>
      <c r="I10" s="178"/>
      <c r="J10" s="178"/>
      <c r="K10" s="178"/>
      <c r="L10" s="178"/>
      <c r="M10" s="178"/>
      <c r="N10" s="178"/>
      <c r="O10" s="178"/>
      <c r="P10" s="178"/>
      <c r="Q10" s="178"/>
      <c r="R10" s="178"/>
      <c r="S10" s="178"/>
      <c r="T10" s="178"/>
      <c r="U10" s="178"/>
      <c r="V10" s="178"/>
      <c r="W10" s="178"/>
      <c r="X10" s="178"/>
      <c r="Y10" s="178"/>
      <c r="Z10" s="178"/>
    </row>
    <row r="11" spans="1:26" ht="18" customHeight="1">
      <c r="A11" s="175" t="s">
        <v>167</v>
      </c>
      <c r="B11" s="175" t="s">
        <v>168</v>
      </c>
      <c r="C11" s="182">
        <f>C10*3.28084</f>
        <v>3.8722280530620576</v>
      </c>
      <c r="D11" s="568"/>
      <c r="E11" s="178"/>
      <c r="F11" s="178"/>
      <c r="G11" s="38" t="s">
        <v>36</v>
      </c>
      <c r="H11" s="39">
        <f>C75</f>
        <v>0.12991730915759106</v>
      </c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</row>
    <row r="12" spans="1:26" ht="18" customHeight="1">
      <c r="A12" s="175" t="s">
        <v>169</v>
      </c>
      <c r="B12" s="175"/>
      <c r="C12" s="183">
        <f>'DATA BASE'!$D$9*'CALCULATIONS &amp; OUTPUT'!C10*'DATA BASE'!$D$15*10^(-3)/'DATA BASE'!$D$7</f>
        <v>14093.719776364493</v>
      </c>
      <c r="D12" s="568"/>
      <c r="E12" s="178"/>
      <c r="F12" s="178"/>
      <c r="G12" s="38" t="s">
        <v>39</v>
      </c>
      <c r="H12" s="39">
        <f>C98</f>
        <v>5.8709172710947968</v>
      </c>
      <c r="I12" s="178"/>
      <c r="J12" s="178"/>
      <c r="K12" s="178"/>
      <c r="L12" s="178"/>
      <c r="M12" s="178"/>
      <c r="N12" s="178"/>
      <c r="O12" s="178"/>
      <c r="P12" s="178"/>
      <c r="Q12" s="178"/>
      <c r="R12" s="178"/>
      <c r="S12" s="178"/>
      <c r="T12" s="178"/>
      <c r="U12" s="178"/>
      <c r="V12" s="178"/>
      <c r="W12" s="178"/>
      <c r="X12" s="178"/>
      <c r="Y12" s="178"/>
      <c r="Z12" s="178"/>
    </row>
    <row r="13" spans="1:26" ht="18.75" customHeight="1">
      <c r="A13" s="175" t="s">
        <v>170</v>
      </c>
      <c r="B13" s="175"/>
      <c r="C13" s="183">
        <f>'DATA BASE'!$D$7*'DATA BASE'!$D$8/'DATA BASE'!$D$6</f>
        <v>9.5039694709897624</v>
      </c>
      <c r="D13" s="56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</row>
    <row r="14" spans="1:26" ht="18.75" customHeight="1">
      <c r="A14" s="184" t="s">
        <v>124</v>
      </c>
      <c r="B14" s="184"/>
      <c r="C14" s="185">
        <f>'DATA BASE'!D42</f>
        <v>6.8000000000000005E-2</v>
      </c>
      <c r="D14" s="568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8"/>
    </row>
    <row r="15" spans="1:26" ht="24.75" customHeight="1">
      <c r="A15" s="184" t="s">
        <v>171</v>
      </c>
      <c r="B15" s="184" t="s">
        <v>172</v>
      </c>
      <c r="C15" s="185">
        <f>('DATA BASE'!$D$6/('DATA BASE'!$D$15*10^(-3))*C14*('CALCULATIONS &amp; OUTPUT'!C12^0.8)*('CALCULATIONS &amp; OUTPUT'!C13^(1/3)))</f>
        <v>2.6569894523951976</v>
      </c>
      <c r="D15" s="568"/>
      <c r="E15" s="178"/>
      <c r="F15" s="178"/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/>
      <c r="T15" s="178"/>
      <c r="U15" s="178"/>
      <c r="V15" s="178"/>
      <c r="W15" s="178"/>
      <c r="X15" s="178"/>
      <c r="Y15" s="178"/>
      <c r="Z15" s="178"/>
    </row>
    <row r="16" spans="1:26" ht="21" customHeight="1">
      <c r="A16" s="186"/>
      <c r="B16" s="175" t="s">
        <v>173</v>
      </c>
      <c r="C16" s="187">
        <f>C15*0.204816*3600</f>
        <v>1959.0982260543892</v>
      </c>
      <c r="D16" s="568"/>
      <c r="E16" s="178"/>
      <c r="F16" s="178"/>
      <c r="G16" s="178"/>
      <c r="H16" s="178"/>
      <c r="I16" s="178"/>
      <c r="J16" s="178"/>
      <c r="K16" s="178"/>
      <c r="L16" s="178"/>
      <c r="M16" s="178"/>
      <c r="N16" s="178"/>
      <c r="O16" s="178"/>
      <c r="P16" s="178"/>
      <c r="Q16" s="178"/>
      <c r="R16" s="178"/>
      <c r="S16" s="178"/>
      <c r="T16" s="178"/>
      <c r="U16" s="178"/>
      <c r="V16" s="178"/>
      <c r="W16" s="178"/>
      <c r="X16" s="178"/>
      <c r="Y16" s="178"/>
      <c r="Z16" s="178"/>
    </row>
    <row r="17" spans="1:26" ht="18" customHeight="1">
      <c r="A17" s="188" t="s">
        <v>174</v>
      </c>
      <c r="B17" s="189" t="s">
        <v>175</v>
      </c>
      <c r="C17" s="185">
        <f>(1/C15)*$B$3</f>
        <v>0.41044320238992726</v>
      </c>
      <c r="D17" s="568"/>
      <c r="E17" s="178"/>
      <c r="F17" s="178"/>
      <c r="G17" s="178"/>
      <c r="H17" s="178"/>
      <c r="I17" s="178"/>
      <c r="J17" s="178"/>
      <c r="K17" s="178"/>
      <c r="L17" s="178"/>
      <c r="M17" s="178"/>
      <c r="N17" s="178"/>
      <c r="O17" s="178"/>
      <c r="P17" s="178"/>
      <c r="Q17" s="178"/>
      <c r="R17" s="178"/>
      <c r="S17" s="178"/>
      <c r="T17" s="178"/>
      <c r="U17" s="178"/>
      <c r="V17" s="178"/>
      <c r="W17" s="178"/>
      <c r="X17" s="178"/>
      <c r="Y17" s="178"/>
      <c r="Z17" s="178"/>
    </row>
    <row r="18" spans="1:26" ht="19.5" customHeight="1">
      <c r="A18" s="188"/>
      <c r="B18" s="184" t="s">
        <v>176</v>
      </c>
      <c r="C18" s="183">
        <f>C17/(3600*0.204816)</f>
        <v>5.5665573326238525E-4</v>
      </c>
      <c r="D18" s="568"/>
      <c r="E18" s="178"/>
      <c r="F18" s="178"/>
      <c r="G18" s="178"/>
      <c r="H18" s="178"/>
      <c r="I18" s="178"/>
      <c r="J18" s="178"/>
      <c r="K18" s="178"/>
      <c r="L18" s="178"/>
      <c r="M18" s="178"/>
      <c r="N18" s="178"/>
      <c r="O18" s="178"/>
      <c r="P18" s="178"/>
      <c r="Q18" s="178"/>
      <c r="R18" s="178"/>
      <c r="S18" s="178"/>
      <c r="T18" s="178"/>
      <c r="U18" s="178"/>
      <c r="V18" s="178"/>
      <c r="W18" s="178"/>
      <c r="X18" s="178"/>
      <c r="Y18" s="178"/>
      <c r="Z18" s="178"/>
    </row>
    <row r="19" spans="1:26" ht="19.5" customHeight="1">
      <c r="A19" s="188" t="s">
        <v>177</v>
      </c>
      <c r="B19" s="189" t="s">
        <v>178</v>
      </c>
      <c r="C19" s="183">
        <v>7.3300000000000004E-2</v>
      </c>
      <c r="D19" s="568"/>
      <c r="E19" s="178"/>
      <c r="F19" s="178"/>
      <c r="G19" s="178"/>
      <c r="H19" s="178"/>
      <c r="I19" s="178"/>
      <c r="J19" s="178"/>
      <c r="K19" s="178"/>
      <c r="L19" s="178"/>
      <c r="M19" s="178"/>
      <c r="N19" s="178"/>
      <c r="O19" s="178"/>
      <c r="P19" s="178"/>
      <c r="Q19" s="178"/>
      <c r="R19" s="178"/>
      <c r="S19" s="178"/>
      <c r="T19" s="178"/>
      <c r="U19" s="178"/>
      <c r="V19" s="178"/>
      <c r="W19" s="178"/>
      <c r="X19" s="178"/>
      <c r="Y19" s="178"/>
      <c r="Z19" s="178"/>
    </row>
    <row r="20" spans="1:26" ht="14.25" customHeight="1">
      <c r="A20" s="188" t="s">
        <v>179</v>
      </c>
      <c r="B20" s="190" t="s">
        <v>180</v>
      </c>
      <c r="C20" s="191">
        <f>'DATA BASE'!$D$16*10^(-3)/'DATA BASE'!$F$6</f>
        <v>0.13194805194805195</v>
      </c>
      <c r="D20" s="568"/>
    </row>
    <row r="21" spans="1:26" ht="24" customHeight="1">
      <c r="A21" s="188" t="s">
        <v>181</v>
      </c>
      <c r="B21" s="175" t="s">
        <v>182</v>
      </c>
      <c r="C21" s="183">
        <f>$B$4*$B$3*4.19</f>
        <v>5.7574140845070419E-2</v>
      </c>
      <c r="D21" s="568"/>
      <c r="E21" s="178"/>
      <c r="F21" s="178"/>
      <c r="G21" s="178"/>
      <c r="H21" s="178"/>
      <c r="I21" s="178"/>
      <c r="J21" s="178"/>
      <c r="K21" s="178"/>
      <c r="L21" s="178"/>
      <c r="M21" s="178"/>
      <c r="N21" s="178"/>
      <c r="O21" s="178"/>
      <c r="P21" s="178"/>
      <c r="Q21" s="178"/>
      <c r="R21" s="178"/>
      <c r="S21" s="178"/>
      <c r="T21" s="178"/>
      <c r="U21" s="178"/>
      <c r="V21" s="178"/>
      <c r="W21" s="178"/>
      <c r="X21" s="178"/>
      <c r="Y21" s="178"/>
      <c r="Z21" s="178"/>
    </row>
    <row r="22" spans="1:26" ht="24" customHeight="1">
      <c r="A22" s="188" t="s">
        <v>183</v>
      </c>
      <c r="B22" s="175"/>
      <c r="C22" s="183">
        <v>0.25</v>
      </c>
      <c r="D22" s="568"/>
      <c r="E22" s="178"/>
      <c r="F22" s="178"/>
      <c r="G22" s="178"/>
      <c r="H22" s="178"/>
      <c r="I22" s="178"/>
      <c r="J22" s="178"/>
      <c r="K22" s="178"/>
      <c r="L22" s="178"/>
      <c r="M22" s="178"/>
      <c r="N22" s="178"/>
      <c r="O22" s="178"/>
      <c r="P22" s="178"/>
      <c r="Q22" s="178"/>
      <c r="R22" s="178"/>
      <c r="S22" s="178"/>
      <c r="T22" s="178"/>
      <c r="U22" s="178"/>
      <c r="V22" s="178"/>
      <c r="W22" s="178"/>
      <c r="X22" s="178"/>
      <c r="Y22" s="178"/>
      <c r="Z22" s="178"/>
    </row>
    <row r="23" spans="1:26" ht="14.25" customHeight="1">
      <c r="A23" s="188" t="s">
        <v>184</v>
      </c>
      <c r="B23" s="175" t="s">
        <v>185</v>
      </c>
      <c r="C23" s="191">
        <f>C17+C19+C20+C21+C22</f>
        <v>0.92326539518304962</v>
      </c>
      <c r="D23" s="568"/>
    </row>
    <row r="24" spans="1:26" ht="14.25" customHeight="1">
      <c r="A24" s="188" t="s">
        <v>186</v>
      </c>
      <c r="B24" s="175" t="s">
        <v>187</v>
      </c>
      <c r="C24" s="191">
        <f>1/C23</f>
        <v>1.0831121855289905</v>
      </c>
      <c r="D24" s="568"/>
    </row>
    <row r="25" spans="1:26" ht="14.25" customHeight="1">
      <c r="A25" s="188"/>
      <c r="B25" s="175" t="s">
        <v>188</v>
      </c>
      <c r="C25" s="191">
        <f>C24*3600*0.204816</f>
        <v>798.61933940870063</v>
      </c>
      <c r="D25" s="568"/>
    </row>
    <row r="26" spans="1:26" ht="14.25" customHeight="1">
      <c r="A26" s="188" t="s">
        <v>125</v>
      </c>
      <c r="B26" s="175"/>
      <c r="C26" s="191">
        <f>'DATA BASE'!D43</f>
        <v>0.81</v>
      </c>
      <c r="D26" s="568"/>
    </row>
    <row r="27" spans="1:26" ht="12.75" customHeight="1">
      <c r="A27" s="188" t="s">
        <v>25</v>
      </c>
      <c r="B27" s="175"/>
      <c r="C27" s="183">
        <f>'DATA BASE'!D44</f>
        <v>0.26400000000000001</v>
      </c>
      <c r="D27" s="568"/>
    </row>
    <row r="28" spans="1:26" ht="39" customHeight="1">
      <c r="A28" s="192" t="s">
        <v>189</v>
      </c>
      <c r="B28" s="190"/>
      <c r="C28" s="191">
        <f>C26*C12^(-C27)</f>
        <v>6.5034267342632388E-2</v>
      </c>
      <c r="D28" s="568"/>
      <c r="K28" s="81">
        <v>7.5</v>
      </c>
      <c r="L28" s="81">
        <v>7.55</v>
      </c>
    </row>
    <row r="29" spans="1:26" ht="12.75" customHeight="1">
      <c r="A29" s="188" t="s">
        <v>190</v>
      </c>
      <c r="B29" s="190" t="s">
        <v>191</v>
      </c>
      <c r="C29" s="191">
        <f>'Input data'!$F$16*C28*'DATA BASE'!$F$26*0.3048*'CALCULATIONS &amp; OUTPUT'!C10*'CALCULATIONS &amp; OUTPUT'!C10/(2*9.81*'DATA BASE'!$D$15*10^(-3))</f>
        <v>1.0655208259247146</v>
      </c>
      <c r="D29" s="568"/>
      <c r="K29" s="81">
        <v>40</v>
      </c>
      <c r="L29" s="81">
        <v>39.479999999999997</v>
      </c>
    </row>
    <row r="30" spans="1:26" ht="12.75" customHeight="1">
      <c r="A30" s="188" t="s">
        <v>192</v>
      </c>
      <c r="B30" s="190" t="s">
        <v>191</v>
      </c>
      <c r="C30" s="191">
        <f>0.25*C10*C10/(2*9.81)</f>
        <v>1.7749771112159741E-2</v>
      </c>
      <c r="D30" s="568"/>
    </row>
    <row r="31" spans="1:26" ht="12.75" customHeight="1">
      <c r="A31" s="193" t="s">
        <v>193</v>
      </c>
      <c r="B31" s="194" t="s">
        <v>191</v>
      </c>
      <c r="C31" s="195">
        <f>C29+C30</f>
        <v>1.0832705970368743</v>
      </c>
      <c r="D31" s="568"/>
      <c r="K31" s="81">
        <v>7.55</v>
      </c>
      <c r="L31" s="81">
        <v>7.55</v>
      </c>
    </row>
    <row r="32" spans="1:26" ht="12.75" customHeight="1">
      <c r="A32" s="188" t="s">
        <v>193</v>
      </c>
      <c r="B32" s="190" t="s">
        <v>194</v>
      </c>
      <c r="C32" s="191">
        <f>C31*3.2808</f>
        <v>3.5539941747585777</v>
      </c>
      <c r="D32" s="568"/>
      <c r="K32" s="81">
        <v>39.479999999999997</v>
      </c>
      <c r="L32" s="81">
        <v>39.49</v>
      </c>
    </row>
    <row r="33" spans="1:26" ht="12.75" customHeight="1">
      <c r="A33" s="188"/>
      <c r="B33" s="190"/>
      <c r="C33" s="191">
        <f>C32*0.02989</f>
        <v>0.10622888588353389</v>
      </c>
      <c r="D33" s="568"/>
    </row>
    <row r="34" spans="1:26" ht="12.75" customHeight="1">
      <c r="A34" s="190" t="s">
        <v>195</v>
      </c>
      <c r="B34" s="190" t="s">
        <v>196</v>
      </c>
      <c r="C34" s="191">
        <f>'DATA BASE'!$D$17*'DATA BASE'!$F$26*0.3048*'DATA BASE'!$C$26</f>
        <v>24.185514240000003</v>
      </c>
      <c r="D34" s="568"/>
    </row>
    <row r="35" spans="1:26" ht="14.25" customHeight="1">
      <c r="A35" s="190" t="s">
        <v>197</v>
      </c>
      <c r="B35" s="175" t="s">
        <v>198</v>
      </c>
      <c r="C35" s="191">
        <f>'Input data'!$D$7*0.2389/('CALCULATIONS &amp; OUTPUT'!C24*'CALCULATIONS &amp; OUTPUT'!C34)</f>
        <v>5.4293160298338288</v>
      </c>
      <c r="D35" s="568"/>
    </row>
    <row r="36" spans="1:26" ht="14.25" customHeight="1">
      <c r="A36" s="190" t="s">
        <v>199</v>
      </c>
      <c r="B36" s="175" t="s">
        <v>200</v>
      </c>
      <c r="C36" s="196">
        <f>C8-C6</f>
        <v>4.9927896927651148</v>
      </c>
      <c r="D36" s="568"/>
    </row>
    <row r="37" spans="1:26" ht="14.25" customHeight="1">
      <c r="A37" s="190" t="s">
        <v>20</v>
      </c>
      <c r="B37" s="175" t="s">
        <v>201</v>
      </c>
      <c r="C37" s="191">
        <f>C36/((EXP(C36/C35))-1)</f>
        <v>3.3102482312196941</v>
      </c>
      <c r="D37" s="568"/>
    </row>
    <row r="38" spans="1:26" ht="14.25" customHeight="1">
      <c r="A38" s="179" t="s">
        <v>202</v>
      </c>
      <c r="B38" s="180" t="s">
        <v>203</v>
      </c>
      <c r="C38" s="197">
        <f>C6-C37</f>
        <v>3.6897517687803059</v>
      </c>
      <c r="D38" s="568"/>
    </row>
    <row r="39" spans="1:26" ht="14.25" customHeight="1">
      <c r="A39" s="190" t="s">
        <v>202</v>
      </c>
      <c r="B39" s="176" t="s">
        <v>204</v>
      </c>
      <c r="C39" s="191">
        <f>32+(1.8*C38)</f>
        <v>38.641553183804547</v>
      </c>
      <c r="D39" s="569"/>
    </row>
    <row r="40" spans="1:26" ht="13.5" customHeight="1">
      <c r="A40" s="198" t="s">
        <v>205</v>
      </c>
      <c r="B40" s="198"/>
      <c r="C40" s="199">
        <f>C6-C38</f>
        <v>3.3102482312196941</v>
      </c>
    </row>
    <row r="41" spans="1:26" ht="21" customHeight="1">
      <c r="A41" s="566" t="s">
        <v>206</v>
      </c>
      <c r="B41" s="543"/>
      <c r="C41" s="543"/>
      <c r="D41" s="543"/>
      <c r="E41" s="543"/>
      <c r="F41" s="543"/>
      <c r="G41" s="170"/>
      <c r="H41" s="170"/>
      <c r="I41" s="170"/>
      <c r="J41" s="170"/>
      <c r="K41" s="170"/>
      <c r="L41" s="170"/>
      <c r="M41" s="170"/>
      <c r="N41" s="170"/>
      <c r="O41" s="170"/>
      <c r="P41" s="170"/>
      <c r="Q41" s="170"/>
      <c r="R41" s="170"/>
      <c r="S41" s="170"/>
      <c r="T41" s="170"/>
      <c r="U41" s="170"/>
      <c r="V41" s="170"/>
      <c r="W41" s="170"/>
      <c r="X41" s="170"/>
      <c r="Y41" s="170"/>
      <c r="Z41" s="170"/>
    </row>
    <row r="42" spans="1:26" ht="15.75" customHeight="1">
      <c r="A42" s="200"/>
      <c r="B42" s="200"/>
      <c r="C42" s="201"/>
    </row>
    <row r="43" spans="1:26" ht="15.75" customHeight="1">
      <c r="A43" s="202" t="s">
        <v>155</v>
      </c>
      <c r="B43" s="202"/>
      <c r="C43" s="201"/>
    </row>
    <row r="44" spans="1:26" ht="15.75" customHeight="1">
      <c r="A44" s="190" t="s">
        <v>156</v>
      </c>
      <c r="B44" s="190">
        <f>'DATA BASE'!J17/'DATA BASE'!J18</f>
        <v>1.0905432595573441</v>
      </c>
      <c r="C44" s="201"/>
    </row>
    <row r="45" spans="1:26" ht="12" customHeight="1">
      <c r="A45" s="190" t="s">
        <v>157</v>
      </c>
      <c r="B45" s="190">
        <f>IF('Input data'!J17&gt;0.044,'Input data'!J17*0.7,'Input data'!J17)</f>
        <v>4.3999999999999997E-2</v>
      </c>
      <c r="C45" s="10"/>
    </row>
    <row r="46" spans="1:26" ht="12.75" customHeight="1">
      <c r="A46" s="198"/>
      <c r="B46" s="198"/>
      <c r="C46" s="10"/>
    </row>
    <row r="47" spans="1:26" ht="20.25" customHeight="1">
      <c r="A47" s="172" t="s">
        <v>207</v>
      </c>
      <c r="B47" s="172"/>
      <c r="C47" s="173" t="s">
        <v>116</v>
      </c>
      <c r="D47" s="570" t="s">
        <v>208</v>
      </c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4"/>
      <c r="P47" s="174"/>
      <c r="Q47" s="174"/>
      <c r="R47" s="174"/>
      <c r="S47" s="174"/>
      <c r="T47" s="174"/>
      <c r="U47" s="174"/>
      <c r="V47" s="174"/>
      <c r="W47" s="174"/>
      <c r="X47" s="174"/>
      <c r="Y47" s="174"/>
      <c r="Z47" s="174"/>
    </row>
    <row r="48" spans="1:26" ht="20.25" customHeight="1">
      <c r="A48" s="175" t="s">
        <v>209</v>
      </c>
      <c r="B48" s="176" t="s">
        <v>210</v>
      </c>
      <c r="C48" s="177">
        <f>'Input data'!$J$12</f>
        <v>30</v>
      </c>
      <c r="D48" s="568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8"/>
      <c r="R48" s="178"/>
      <c r="S48" s="178"/>
      <c r="T48" s="178"/>
      <c r="U48" s="178"/>
      <c r="V48" s="178"/>
      <c r="W48" s="178"/>
      <c r="X48" s="178"/>
      <c r="Y48" s="178"/>
      <c r="Z48" s="178"/>
    </row>
    <row r="49" spans="1:26" ht="20.25" customHeight="1">
      <c r="A49" s="175" t="s">
        <v>162</v>
      </c>
      <c r="B49" s="175" t="s">
        <v>211</v>
      </c>
      <c r="C49" s="177">
        <f>'Input data'!$J$14/3600</f>
        <v>3.4543989477499613E-2</v>
      </c>
      <c r="D49" s="56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8"/>
      <c r="V49" s="178"/>
      <c r="W49" s="178"/>
      <c r="X49" s="178"/>
      <c r="Y49" s="178"/>
      <c r="Z49" s="178"/>
    </row>
    <row r="50" spans="1:26" ht="20.25" customHeight="1">
      <c r="A50" s="203" t="s">
        <v>212</v>
      </c>
      <c r="B50" s="204" t="s">
        <v>213</v>
      </c>
      <c r="C50" s="205">
        <f>(((('Input data'!$D$7)+'Input data'!$F$24)*0.2388)/(C49*'DATA BASE'!$J$9*'DATA BASE'!$J$8))+'CALCULATIONS &amp; OUTPUT'!C48</f>
        <v>34.992789692765115</v>
      </c>
      <c r="D50" s="56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8"/>
      <c r="V50" s="178"/>
      <c r="W50" s="178"/>
      <c r="X50" s="178"/>
      <c r="Y50" s="178"/>
      <c r="Z50" s="178"/>
    </row>
    <row r="51" spans="1:26" ht="20.25" customHeight="1">
      <c r="A51" s="175" t="s">
        <v>214</v>
      </c>
      <c r="B51" s="175" t="s">
        <v>215</v>
      </c>
      <c r="C51" s="183">
        <f>32+((9/5)*C50)</f>
        <v>94.987021446977209</v>
      </c>
      <c r="D51" s="568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</row>
    <row r="52" spans="1:26" ht="19.5" customHeight="1">
      <c r="A52" s="175" t="s">
        <v>167</v>
      </c>
      <c r="B52" s="175" t="s">
        <v>27</v>
      </c>
      <c r="C52" s="183">
        <f>(C49)/(('DATA BASE'!$J$19)*('DATA BASE'!$I$26/('Input data'!$J$16)))</f>
        <v>1.1690013359559936</v>
      </c>
      <c r="D52" s="568"/>
      <c r="E52" s="178"/>
      <c r="F52" s="178"/>
      <c r="G52" s="178"/>
      <c r="H52" s="178"/>
      <c r="I52" s="178"/>
      <c r="J52" s="178"/>
      <c r="K52" s="178"/>
      <c r="L52" s="178"/>
      <c r="M52" s="178"/>
      <c r="N52" s="178"/>
      <c r="O52" s="178"/>
      <c r="P52" s="178"/>
      <c r="Q52" s="178"/>
      <c r="R52" s="178"/>
      <c r="S52" s="178"/>
      <c r="T52" s="178"/>
      <c r="U52" s="178"/>
      <c r="V52" s="178"/>
      <c r="W52" s="178"/>
      <c r="X52" s="178"/>
      <c r="Y52" s="178"/>
      <c r="Z52" s="178"/>
    </row>
    <row r="53" spans="1:26" ht="18" customHeight="1">
      <c r="A53" s="175" t="s">
        <v>169</v>
      </c>
      <c r="B53" s="175"/>
      <c r="C53" s="183">
        <f>'DATA BASE'!$D$9*C52*'DATA BASE'!$J$15*10^(-3)/'DATA BASE'!$J$7</f>
        <v>24133.554704163886</v>
      </c>
      <c r="D53" s="568"/>
      <c r="E53" s="178"/>
      <c r="F53" s="178"/>
      <c r="G53" s="178"/>
      <c r="H53" s="178"/>
      <c r="I53" s="178"/>
      <c r="J53" s="178"/>
      <c r="K53" s="178"/>
      <c r="L53" s="178"/>
      <c r="M53" s="178"/>
      <c r="N53" s="178"/>
      <c r="O53" s="178"/>
      <c r="P53" s="178"/>
      <c r="Q53" s="178"/>
      <c r="R53" s="178"/>
      <c r="S53" s="178"/>
      <c r="T53" s="178"/>
      <c r="U53" s="178"/>
      <c r="V53" s="178"/>
      <c r="W53" s="178"/>
      <c r="X53" s="178"/>
      <c r="Y53" s="178"/>
      <c r="Z53" s="178"/>
    </row>
    <row r="54" spans="1:26" ht="18.75" customHeight="1">
      <c r="A54" s="175" t="s">
        <v>170</v>
      </c>
      <c r="B54" s="175"/>
      <c r="C54" s="183">
        <f>'DATA BASE'!$J$7*'DATA BASE'!$J$8/'DATA BASE'!$J$6</f>
        <v>5.2179716951980728</v>
      </c>
      <c r="D54" s="568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178"/>
      <c r="X54" s="178"/>
      <c r="Y54" s="178"/>
      <c r="Z54" s="178"/>
    </row>
    <row r="55" spans="1:26" ht="18.75" customHeight="1">
      <c r="A55" s="184" t="s">
        <v>216</v>
      </c>
      <c r="B55" s="175"/>
      <c r="C55" s="185">
        <f>'DATA BASE'!J42</f>
        <v>6.8000000000000005E-2</v>
      </c>
      <c r="D55" s="568"/>
      <c r="E55" s="178"/>
      <c r="F55" s="178"/>
      <c r="G55" s="178"/>
      <c r="H55" s="178"/>
      <c r="I55" s="178"/>
      <c r="J55" s="178"/>
      <c r="K55" s="178"/>
      <c r="L55" s="178"/>
      <c r="M55" s="178"/>
      <c r="N55" s="178"/>
      <c r="O55" s="178"/>
      <c r="P55" s="178"/>
      <c r="Q55" s="178"/>
      <c r="R55" s="178"/>
      <c r="S55" s="178"/>
      <c r="T55" s="178"/>
      <c r="U55" s="178"/>
      <c r="V55" s="178"/>
      <c r="W55" s="178"/>
      <c r="X55" s="178"/>
      <c r="Y55" s="178"/>
      <c r="Z55" s="178"/>
    </row>
    <row r="56" spans="1:26" ht="24.75" customHeight="1">
      <c r="A56" s="184" t="s">
        <v>171</v>
      </c>
      <c r="B56" s="175" t="s">
        <v>217</v>
      </c>
      <c r="C56" s="185">
        <f>('DATA BASE'!$J$6/('DATA BASE'!$J$15*10^(-3)))*(C55)*((C53)^0.8)*((C54)^(1/3))</f>
        <v>3.5103999092076759</v>
      </c>
      <c r="D56" s="568"/>
      <c r="E56" s="178"/>
      <c r="F56" s="178"/>
      <c r="G56" s="178"/>
      <c r="H56" s="178"/>
      <c r="I56" s="178"/>
      <c r="J56" s="178"/>
      <c r="K56" s="178"/>
      <c r="L56" s="178"/>
      <c r="M56" s="178"/>
      <c r="N56" s="178"/>
      <c r="O56" s="178"/>
      <c r="P56" s="178"/>
      <c r="Q56" s="178"/>
      <c r="R56" s="178"/>
      <c r="S56" s="178"/>
      <c r="T56" s="178"/>
      <c r="U56" s="178"/>
      <c r="V56" s="178"/>
      <c r="W56" s="178"/>
      <c r="X56" s="178"/>
      <c r="Y56" s="178"/>
      <c r="Z56" s="178"/>
    </row>
    <row r="57" spans="1:26" ht="21" customHeight="1">
      <c r="A57" s="186"/>
      <c r="B57" s="175" t="s">
        <v>218</v>
      </c>
      <c r="C57" s="187">
        <f>C56*0.204816*3600</f>
        <v>2588.3498440954054</v>
      </c>
      <c r="D57" s="568"/>
      <c r="E57" s="178"/>
      <c r="F57" s="178"/>
      <c r="G57" s="178"/>
      <c r="H57" s="178"/>
      <c r="I57" s="178"/>
      <c r="J57" s="178"/>
      <c r="K57" s="178"/>
      <c r="L57" s="178"/>
      <c r="M57" s="178"/>
      <c r="N57" s="178"/>
      <c r="O57" s="178"/>
      <c r="P57" s="178"/>
      <c r="Q57" s="178"/>
      <c r="R57" s="178"/>
      <c r="S57" s="178"/>
      <c r="T57" s="178"/>
      <c r="U57" s="178"/>
      <c r="V57" s="178"/>
      <c r="W57" s="178"/>
      <c r="X57" s="178"/>
      <c r="Y57" s="178"/>
      <c r="Z57" s="178"/>
    </row>
    <row r="58" spans="1:26" ht="18" customHeight="1">
      <c r="A58" s="184" t="s">
        <v>174</v>
      </c>
      <c r="B58" s="175" t="s">
        <v>219</v>
      </c>
      <c r="C58" s="185">
        <f>(1/C56)*$B$44</f>
        <v>0.31066069045207101</v>
      </c>
      <c r="D58" s="568"/>
      <c r="E58" s="178"/>
      <c r="F58" s="178"/>
      <c r="G58" s="178"/>
      <c r="H58" s="178"/>
      <c r="I58" s="178"/>
      <c r="J58" s="178"/>
      <c r="K58" s="178"/>
      <c r="L58" s="178"/>
      <c r="M58" s="178"/>
      <c r="N58" s="178"/>
      <c r="O58" s="178"/>
      <c r="P58" s="178"/>
      <c r="Q58" s="178"/>
      <c r="R58" s="178"/>
      <c r="S58" s="178"/>
      <c r="T58" s="178"/>
      <c r="U58" s="178"/>
      <c r="V58" s="178"/>
      <c r="W58" s="178"/>
      <c r="X58" s="178"/>
      <c r="Y58" s="178"/>
      <c r="Z58" s="178"/>
    </row>
    <row r="59" spans="1:26" ht="19.5" customHeight="1">
      <c r="A59" s="184"/>
      <c r="B59" s="175" t="s">
        <v>220</v>
      </c>
      <c r="C59" s="183">
        <f>C58/(3600*0.204816)</f>
        <v>4.2132761227973596E-4</v>
      </c>
      <c r="D59" s="568"/>
      <c r="E59" s="178"/>
      <c r="F59" s="178"/>
      <c r="G59" s="178"/>
      <c r="H59" s="178"/>
      <c r="I59" s="178"/>
      <c r="J59" s="178"/>
      <c r="K59" s="178"/>
      <c r="L59" s="178"/>
      <c r="M59" s="178"/>
      <c r="N59" s="178"/>
      <c r="O59" s="178"/>
      <c r="P59" s="178"/>
      <c r="Q59" s="178"/>
      <c r="R59" s="178"/>
      <c r="S59" s="178"/>
      <c r="T59" s="178"/>
      <c r="U59" s="178"/>
      <c r="V59" s="178"/>
      <c r="W59" s="178"/>
      <c r="X59" s="178"/>
      <c r="Y59" s="178"/>
      <c r="Z59" s="178"/>
    </row>
    <row r="60" spans="1:26" ht="19.5" customHeight="1">
      <c r="A60" s="184" t="s">
        <v>177</v>
      </c>
      <c r="B60" s="189" t="s">
        <v>221</v>
      </c>
      <c r="C60" s="183">
        <v>9.2999999999999999E-2</v>
      </c>
      <c r="D60" s="568"/>
      <c r="E60" s="178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/>
      <c r="R60" s="178"/>
      <c r="S60" s="178"/>
      <c r="T60" s="178"/>
      <c r="U60" s="178"/>
      <c r="V60" s="178"/>
      <c r="W60" s="178"/>
      <c r="X60" s="178"/>
      <c r="Y60" s="178"/>
      <c r="Z60" s="178"/>
    </row>
    <row r="61" spans="1:26" ht="14.25" customHeight="1">
      <c r="A61" s="184" t="s">
        <v>179</v>
      </c>
      <c r="B61" s="190" t="s">
        <v>222</v>
      </c>
      <c r="C61" s="191">
        <f>'Input data'!$J$19*0.001/'DATA BASE'!$L$6</f>
        <v>0.10760667903525047</v>
      </c>
      <c r="D61" s="568"/>
    </row>
    <row r="62" spans="1:26" ht="24" customHeight="1">
      <c r="A62" s="184" t="s">
        <v>181</v>
      </c>
      <c r="B62" s="175" t="s">
        <v>223</v>
      </c>
      <c r="C62" s="183">
        <f>$B$45*$B$44*4.19</f>
        <v>0.20105255533199196</v>
      </c>
      <c r="D62" s="568"/>
      <c r="E62" s="178"/>
      <c r="F62" s="178"/>
      <c r="G62" s="178"/>
      <c r="H62" s="178"/>
      <c r="I62" s="178"/>
      <c r="J62" s="178"/>
      <c r="K62" s="178"/>
      <c r="L62" s="178"/>
      <c r="M62" s="178"/>
      <c r="N62" s="178"/>
      <c r="O62" s="178"/>
      <c r="P62" s="178"/>
      <c r="Q62" s="178"/>
      <c r="R62" s="178"/>
      <c r="S62" s="178"/>
      <c r="T62" s="178"/>
      <c r="U62" s="178"/>
      <c r="V62" s="178"/>
      <c r="W62" s="178"/>
      <c r="X62" s="178"/>
      <c r="Y62" s="178"/>
      <c r="Z62" s="178"/>
    </row>
    <row r="63" spans="1:26" ht="24" customHeight="1">
      <c r="A63" s="184" t="s">
        <v>183</v>
      </c>
      <c r="B63" s="175"/>
      <c r="C63" s="183">
        <v>0.25</v>
      </c>
      <c r="D63" s="568"/>
      <c r="E63" s="178"/>
      <c r="F63" s="178"/>
      <c r="G63" s="178"/>
      <c r="H63" s="178"/>
      <c r="I63" s="178"/>
      <c r="J63" s="178"/>
      <c r="K63" s="178"/>
      <c r="L63" s="178"/>
      <c r="M63" s="178"/>
      <c r="N63" s="178"/>
      <c r="O63" s="178"/>
      <c r="P63" s="178"/>
      <c r="Q63" s="178"/>
      <c r="R63" s="178"/>
      <c r="S63" s="178"/>
      <c r="T63" s="178"/>
      <c r="U63" s="178"/>
      <c r="V63" s="178"/>
      <c r="W63" s="178"/>
      <c r="X63" s="178"/>
      <c r="Y63" s="178"/>
      <c r="Z63" s="178"/>
    </row>
    <row r="64" spans="1:26" ht="14.25" customHeight="1">
      <c r="A64" s="184" t="s">
        <v>184</v>
      </c>
      <c r="B64" s="175" t="s">
        <v>224</v>
      </c>
      <c r="C64" s="191">
        <f>C62+C61+C60+C58+C63</f>
        <v>0.96231992481931339</v>
      </c>
      <c r="D64" s="568"/>
    </row>
    <row r="65" spans="1:26" ht="14.25" customHeight="1">
      <c r="A65" s="184" t="s">
        <v>186</v>
      </c>
      <c r="B65" s="175" t="s">
        <v>225</v>
      </c>
      <c r="C65" s="191">
        <f>1/C64</f>
        <v>1.0391554556950087</v>
      </c>
      <c r="D65" s="568"/>
    </row>
    <row r="66" spans="1:26" ht="14.25" customHeight="1">
      <c r="A66" s="188"/>
      <c r="B66" s="175" t="s">
        <v>226</v>
      </c>
      <c r="C66" s="191">
        <f>C65*3600*0.204816</f>
        <v>766.20838972906404</v>
      </c>
      <c r="D66" s="568"/>
    </row>
    <row r="67" spans="1:26" ht="12.75" customHeight="1">
      <c r="A67" s="188"/>
      <c r="B67" s="190"/>
      <c r="C67" s="191"/>
      <c r="D67" s="568"/>
    </row>
    <row r="68" spans="1:26" ht="12.75" customHeight="1">
      <c r="A68" s="188" t="s">
        <v>227</v>
      </c>
      <c r="B68" s="190"/>
      <c r="C68" s="191">
        <f>'DATA BASE'!J43</f>
        <v>0.81</v>
      </c>
      <c r="D68" s="568"/>
    </row>
    <row r="69" spans="1:26" ht="12.75" customHeight="1">
      <c r="A69" s="188" t="s">
        <v>228</v>
      </c>
      <c r="B69" s="190"/>
      <c r="C69" s="191">
        <f>'DATA BASE'!J44</f>
        <v>0.26400000000000001</v>
      </c>
      <c r="D69" s="568"/>
    </row>
    <row r="70" spans="1:26" ht="16.5" customHeight="1">
      <c r="A70" s="192" t="s">
        <v>229</v>
      </c>
      <c r="B70" s="190"/>
      <c r="C70" s="191">
        <f>C68*(C53)^(-C69)</f>
        <v>5.6425185687421102E-2</v>
      </c>
      <c r="D70" s="568"/>
    </row>
    <row r="71" spans="1:26" ht="16.5" customHeight="1">
      <c r="A71" s="188" t="s">
        <v>190</v>
      </c>
      <c r="B71" s="190" t="s">
        <v>191</v>
      </c>
      <c r="C71" s="191">
        <f>('Input data'!$J$16*C70*'DATA BASE'!$L$26*C52*C52*0.3048)/(2*9.81*'DATA BASE'!$J$15*10^(-3))</f>
        <v>0.90692411739778023</v>
      </c>
      <c r="D71" s="568"/>
    </row>
    <row r="72" spans="1:26" ht="12.75" customHeight="1">
      <c r="A72" s="188" t="s">
        <v>192</v>
      </c>
      <c r="B72" s="190" t="s">
        <v>191</v>
      </c>
      <c r="C72" s="191">
        <f>4*0.75*C52*C52/9.81</f>
        <v>0.41790951787978531</v>
      </c>
      <c r="D72" s="568"/>
    </row>
    <row r="73" spans="1:26" ht="12.75" customHeight="1">
      <c r="A73" s="203" t="s">
        <v>193</v>
      </c>
      <c r="B73" s="203" t="s">
        <v>191</v>
      </c>
      <c r="C73" s="205">
        <f>C72+C71</f>
        <v>1.3248336352775656</v>
      </c>
      <c r="D73" s="568"/>
    </row>
    <row r="74" spans="1:26" ht="14.25" customHeight="1">
      <c r="A74" s="188" t="s">
        <v>193</v>
      </c>
      <c r="B74" s="190" t="s">
        <v>230</v>
      </c>
      <c r="C74" s="191">
        <f>C73*3.2808</f>
        <v>4.3465141906186373</v>
      </c>
      <c r="D74" s="568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</row>
    <row r="75" spans="1:26" ht="12.75" customHeight="1">
      <c r="A75" s="198"/>
      <c r="B75" s="198"/>
      <c r="C75" s="208">
        <f>C74*0.02989</f>
        <v>0.12991730915759106</v>
      </c>
      <c r="D75" s="568"/>
    </row>
    <row r="76" spans="1:26" ht="12.75" customHeight="1">
      <c r="A76" s="190" t="s">
        <v>195</v>
      </c>
      <c r="B76" s="190" t="s">
        <v>196</v>
      </c>
      <c r="C76" s="191">
        <f>'DATA BASE'!$J$17*'DATA BASE'!$L$26*0.3048*'DATA BASE'!$I$26</f>
        <v>29.736288000000002</v>
      </c>
      <c r="D76" s="568"/>
    </row>
    <row r="77" spans="1:26" ht="14.25" customHeight="1">
      <c r="A77" s="190" t="s">
        <v>197</v>
      </c>
      <c r="B77" s="175" t="s">
        <v>231</v>
      </c>
      <c r="C77" s="191">
        <f>('Input data'!$D$7+'Input data'!$F$24)*0.2389/('CALCULATIONS &amp; OUTPUT'!C65*'CALCULATIONS &amp; OUTPUT'!C76)</f>
        <v>5.5838059433523277</v>
      </c>
      <c r="D77" s="568"/>
    </row>
    <row r="78" spans="1:26" ht="14.25" customHeight="1">
      <c r="A78" s="190" t="s">
        <v>199</v>
      </c>
      <c r="B78" s="175" t="s">
        <v>232</v>
      </c>
      <c r="C78" s="191">
        <f>C50-C48</f>
        <v>4.9927896927651148</v>
      </c>
      <c r="D78" s="568"/>
    </row>
    <row r="79" spans="1:26" ht="14.25" customHeight="1">
      <c r="A79" s="190" t="s">
        <v>20</v>
      </c>
      <c r="B79" s="175" t="s">
        <v>233</v>
      </c>
      <c r="C79" s="191">
        <f>C78/((EXP(C78/C77))-1)</f>
        <v>3.4545737138816315</v>
      </c>
      <c r="D79" s="568"/>
    </row>
    <row r="80" spans="1:26" ht="14.25" customHeight="1">
      <c r="A80" s="203" t="s">
        <v>202</v>
      </c>
      <c r="B80" s="203" t="s">
        <v>234</v>
      </c>
      <c r="C80" s="205">
        <f>C50+C79</f>
        <v>38.447363406646744</v>
      </c>
      <c r="D80" s="568"/>
    </row>
    <row r="81" spans="1:26" ht="14.25" customHeight="1">
      <c r="A81" s="190" t="s">
        <v>202</v>
      </c>
      <c r="B81" s="175" t="s">
        <v>235</v>
      </c>
      <c r="C81" s="191">
        <f>32+(1.8*C80)</f>
        <v>101.20525413196414</v>
      </c>
      <c r="D81" s="568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</row>
    <row r="82" spans="1:26" ht="12.75" customHeight="1">
      <c r="A82" s="190"/>
      <c r="B82" s="190"/>
      <c r="C82" s="191">
        <f>C80-C50</f>
        <v>3.4545737138816293</v>
      </c>
      <c r="D82" s="568"/>
    </row>
    <row r="83" spans="1:26" ht="38.25" customHeight="1">
      <c r="A83" s="209" t="s">
        <v>236</v>
      </c>
      <c r="B83" s="210" t="s">
        <v>237</v>
      </c>
      <c r="C83" s="183">
        <v>1.5</v>
      </c>
      <c r="D83" s="568"/>
    </row>
    <row r="84" spans="1:26" ht="25.5" customHeight="1">
      <c r="A84" s="210" t="s">
        <v>238</v>
      </c>
      <c r="B84" s="210" t="s">
        <v>239</v>
      </c>
      <c r="C84" s="183">
        <f>(C64-C60)+C83</f>
        <v>2.3693199248193135</v>
      </c>
      <c r="D84" s="568"/>
    </row>
    <row r="85" spans="1:26" ht="25.5" customHeight="1">
      <c r="A85" s="210" t="s">
        <v>240</v>
      </c>
      <c r="B85" s="210" t="s">
        <v>241</v>
      </c>
      <c r="C85" s="183">
        <f>1/C84</f>
        <v>0.42206203962778938</v>
      </c>
      <c r="D85" s="568"/>
    </row>
    <row r="86" spans="1:26" ht="25.5" customHeight="1">
      <c r="A86" s="210" t="s">
        <v>242</v>
      </c>
      <c r="B86" s="211" t="s">
        <v>243</v>
      </c>
      <c r="C86" s="183">
        <f>(C49/('DATA BASE'!$I$26/2))</f>
        <v>4.6058652636666149E-4</v>
      </c>
      <c r="D86" s="568"/>
    </row>
    <row r="87" spans="1:26" ht="25.5" customHeight="1">
      <c r="A87" s="210" t="s">
        <v>244</v>
      </c>
      <c r="B87" s="211" t="s">
        <v>243</v>
      </c>
      <c r="C87" s="183">
        <f>C86*'DATA BASE'!$M$26</f>
        <v>1.4278182317366507E-2</v>
      </c>
      <c r="D87" s="568"/>
    </row>
    <row r="88" spans="1:26" ht="25.5" customHeight="1">
      <c r="A88" s="210" t="s">
        <v>245</v>
      </c>
      <c r="B88" s="211" t="s">
        <v>246</v>
      </c>
      <c r="C88" s="183">
        <f>(C87*'DATA BASE'!$J$9)</f>
        <v>14.278182317366507</v>
      </c>
      <c r="D88" s="568"/>
    </row>
    <row r="89" spans="1:26" ht="12.75" customHeight="1">
      <c r="A89" s="211" t="s">
        <v>195</v>
      </c>
      <c r="B89" s="211" t="s">
        <v>196</v>
      </c>
      <c r="C89" s="183">
        <f>'DATA BASE'!$J$17*'DATA BASE'!$L$26*0.3048*'DATA BASE'!$M$26</f>
        <v>6.1454995200000004</v>
      </c>
      <c r="D89" s="568"/>
    </row>
    <row r="90" spans="1:26" ht="25.5" customHeight="1">
      <c r="A90" s="210" t="s">
        <v>247</v>
      </c>
      <c r="B90" s="211" t="s">
        <v>248</v>
      </c>
      <c r="C90" s="183">
        <f>C88*'DATA BASE'!$D$8*4.187</f>
        <v>60.024883799826121</v>
      </c>
      <c r="D90" s="568"/>
    </row>
    <row r="91" spans="1:26" ht="25.5" customHeight="1">
      <c r="A91" s="210" t="s">
        <v>249</v>
      </c>
      <c r="B91" s="211" t="s">
        <v>250</v>
      </c>
      <c r="C91" s="183">
        <f>'Input data'!$F$25*'Input data'!$F$26</f>
        <v>8.4065340000000006</v>
      </c>
      <c r="D91" s="568"/>
    </row>
    <row r="92" spans="1:26" ht="12.75" customHeight="1">
      <c r="A92" s="210" t="s">
        <v>251</v>
      </c>
      <c r="B92" s="211"/>
      <c r="C92" s="183">
        <f>C91/C90</f>
        <v>0.14005081672518543</v>
      </c>
      <c r="D92" s="568"/>
    </row>
    <row r="93" spans="1:26" ht="12.75" customHeight="1">
      <c r="A93" s="210" t="s">
        <v>252</v>
      </c>
      <c r="B93" s="211"/>
      <c r="C93" s="183">
        <f>(C85*4.187*C89)/C91</f>
        <v>1.2918719526209621</v>
      </c>
      <c r="D93" s="568"/>
    </row>
    <row r="94" spans="1:26" ht="12.75" customHeight="1">
      <c r="A94" s="210" t="s">
        <v>253</v>
      </c>
      <c r="B94" s="211"/>
      <c r="C94" s="183">
        <f>(1-EXP(((C93^0.22)/C92)*((EXP((-C92)*(C93^0.78)))-1)))</f>
        <v>0.69499996489736771</v>
      </c>
      <c r="D94" s="568"/>
    </row>
    <row r="95" spans="1:26" ht="12.75" customHeight="1">
      <c r="A95" s="211" t="s">
        <v>254</v>
      </c>
      <c r="B95" s="211" t="s">
        <v>255</v>
      </c>
      <c r="C95" s="183">
        <f>C91*(C80-C48)</f>
        <v>71.013047688331682</v>
      </c>
      <c r="D95" s="568"/>
    </row>
    <row r="96" spans="1:26" ht="12.75" customHeight="1">
      <c r="A96" s="211" t="s">
        <v>256</v>
      </c>
      <c r="B96" s="211" t="s">
        <v>255</v>
      </c>
      <c r="C96" s="183">
        <f>C95*C94</f>
        <v>49.354065650645616</v>
      </c>
      <c r="D96" s="568"/>
    </row>
    <row r="97" spans="1:4" ht="14.25" customHeight="1">
      <c r="A97" s="211" t="s">
        <v>257</v>
      </c>
      <c r="B97" s="211" t="s">
        <v>258</v>
      </c>
      <c r="C97" s="183">
        <f>C80-(C96/C91)</f>
        <v>32.576446135551947</v>
      </c>
      <c r="D97" s="568"/>
    </row>
    <row r="98" spans="1:4" ht="14.25" customHeight="1">
      <c r="A98" s="212" t="s">
        <v>259</v>
      </c>
      <c r="B98" s="212" t="s">
        <v>260</v>
      </c>
      <c r="C98" s="213">
        <f>C80-C97</f>
        <v>5.8709172710947968</v>
      </c>
      <c r="D98" s="568"/>
    </row>
    <row r="99" spans="1:4" ht="14.25" customHeight="1">
      <c r="A99" s="211" t="s">
        <v>261</v>
      </c>
      <c r="B99" s="211" t="s">
        <v>262</v>
      </c>
      <c r="C99" s="183">
        <f>C98*9/5</f>
        <v>10.567651087970635</v>
      </c>
      <c r="D99" s="569"/>
    </row>
    <row r="100" spans="1:4" ht="12.75" customHeight="1">
      <c r="A100" s="10"/>
      <c r="B100" s="10"/>
      <c r="C100" s="10"/>
    </row>
    <row r="101" spans="1:4" ht="12.75" customHeight="1">
      <c r="A101" s="10"/>
      <c r="B101" s="10"/>
      <c r="C101" s="10"/>
    </row>
    <row r="102" spans="1:4" ht="12.75" customHeight="1">
      <c r="A102" s="10"/>
      <c r="B102" s="10"/>
      <c r="C102" s="10"/>
    </row>
    <row r="103" spans="1:4" ht="12.75" customHeight="1">
      <c r="A103" s="10"/>
      <c r="B103" s="10"/>
      <c r="C103" s="10"/>
    </row>
    <row r="104" spans="1:4" ht="12.75" customHeight="1">
      <c r="A104" s="10"/>
      <c r="B104" s="10"/>
      <c r="C104" s="10"/>
    </row>
    <row r="105" spans="1:4" ht="12.75" customHeight="1">
      <c r="A105" s="10"/>
      <c r="B105" s="10"/>
      <c r="C105" s="10"/>
    </row>
    <row r="106" spans="1:4" ht="12.75" customHeight="1">
      <c r="A106" s="10"/>
      <c r="B106" s="10"/>
      <c r="C106" s="10"/>
    </row>
    <row r="107" spans="1:4" ht="12.75" customHeight="1">
      <c r="A107" s="10"/>
      <c r="B107" s="10"/>
      <c r="C107" s="10"/>
    </row>
    <row r="108" spans="1:4" ht="11.25" customHeight="1">
      <c r="A108" s="10"/>
      <c r="B108" s="10"/>
      <c r="C108" s="10"/>
    </row>
    <row r="109" spans="1:4" ht="12.75" customHeight="1">
      <c r="A109" s="10"/>
      <c r="B109" s="10"/>
      <c r="C109" s="10"/>
    </row>
    <row r="110" spans="1:4" ht="12.75" customHeight="1">
      <c r="A110" s="10"/>
      <c r="B110" s="10"/>
      <c r="C110" s="10"/>
    </row>
    <row r="111" spans="1:4" ht="15" customHeight="1">
      <c r="A111" s="10"/>
      <c r="B111" s="10"/>
      <c r="C111" s="10"/>
    </row>
    <row r="112" spans="1:4" ht="12.75" customHeight="1">
      <c r="A112" s="10"/>
      <c r="B112" s="10"/>
      <c r="C112" s="10"/>
    </row>
    <row r="113" spans="1:3" ht="12.75" customHeight="1">
      <c r="A113" s="10"/>
      <c r="B113" s="10"/>
      <c r="C113" s="10"/>
    </row>
    <row r="114" spans="1:3" ht="12.75" customHeight="1">
      <c r="A114" s="10"/>
      <c r="B114" s="10"/>
      <c r="C114" s="10"/>
    </row>
    <row r="115" spans="1:3" ht="12.75" customHeight="1">
      <c r="A115" s="10" t="s">
        <v>263</v>
      </c>
      <c r="B115" s="10"/>
      <c r="C115" s="10"/>
    </row>
    <row r="116" spans="1:3" ht="12.75" customHeight="1">
      <c r="A116" s="10"/>
      <c r="B116" s="10"/>
      <c r="C116" s="10"/>
    </row>
    <row r="117" spans="1:3" ht="12.75" customHeight="1">
      <c r="A117" s="10"/>
      <c r="B117" s="10"/>
      <c r="C117" s="10"/>
    </row>
    <row r="118" spans="1:3" ht="12.75" customHeight="1">
      <c r="A118" s="10"/>
      <c r="B118" s="10"/>
      <c r="C118" s="10"/>
    </row>
    <row r="119" spans="1:3" ht="12.75" customHeight="1">
      <c r="A119" s="10"/>
      <c r="B119" s="10"/>
      <c r="C119" s="10"/>
    </row>
    <row r="120" spans="1:3" ht="12.75" customHeight="1">
      <c r="A120" s="10"/>
      <c r="B120" s="10"/>
      <c r="C120" s="10"/>
    </row>
    <row r="121" spans="1:3" ht="12.75" customHeight="1">
      <c r="A121" s="10"/>
      <c r="B121" s="10"/>
      <c r="C121" s="10"/>
    </row>
    <row r="122" spans="1:3" ht="12.75" customHeight="1">
      <c r="A122" s="10"/>
      <c r="B122" s="10"/>
      <c r="C122" s="10"/>
    </row>
    <row r="123" spans="1:3" ht="12.75" customHeight="1">
      <c r="A123" s="10"/>
      <c r="B123" s="10"/>
      <c r="C123" s="10"/>
    </row>
    <row r="124" spans="1:3" ht="12.75" customHeight="1">
      <c r="A124" s="10"/>
      <c r="B124" s="10"/>
      <c r="C124" s="10"/>
    </row>
    <row r="125" spans="1:3" ht="12.75" customHeight="1">
      <c r="A125" s="10"/>
      <c r="B125" s="10"/>
      <c r="C125" s="10"/>
    </row>
    <row r="126" spans="1:3" ht="12.75" customHeight="1">
      <c r="A126" s="10"/>
      <c r="B126" s="10"/>
      <c r="C126" s="10"/>
    </row>
    <row r="127" spans="1:3" ht="12.75" customHeight="1">
      <c r="A127" s="10"/>
      <c r="B127" s="10"/>
      <c r="C127" s="10"/>
    </row>
    <row r="128" spans="1:3" ht="12.75" customHeight="1">
      <c r="A128" s="10"/>
      <c r="B128" s="10"/>
      <c r="C128" s="10"/>
    </row>
    <row r="129" spans="1:3" ht="12.75" customHeight="1">
      <c r="A129" s="10"/>
      <c r="B129" s="10"/>
      <c r="C129" s="10"/>
    </row>
    <row r="130" spans="1:3" ht="12.75" customHeight="1">
      <c r="A130" s="10"/>
      <c r="B130" s="10"/>
      <c r="C130" s="10"/>
    </row>
    <row r="131" spans="1:3" ht="12.75" customHeight="1">
      <c r="A131" s="10"/>
      <c r="B131" s="10"/>
      <c r="C131" s="10"/>
    </row>
    <row r="132" spans="1:3" ht="12.75" customHeight="1">
      <c r="A132" s="10"/>
      <c r="B132" s="10"/>
      <c r="C132" s="10"/>
    </row>
    <row r="133" spans="1:3" ht="12.75" customHeight="1">
      <c r="A133" s="10"/>
      <c r="B133" s="10"/>
      <c r="C133" s="10"/>
    </row>
    <row r="134" spans="1:3" ht="12.75" customHeight="1">
      <c r="A134" s="10"/>
      <c r="B134" s="10"/>
      <c r="C134" s="10"/>
    </row>
    <row r="135" spans="1:3" ht="12.75" customHeight="1">
      <c r="A135" s="10"/>
      <c r="B135" s="10"/>
      <c r="C135" s="10"/>
    </row>
    <row r="136" spans="1:3" ht="12.75" customHeight="1">
      <c r="A136" s="10"/>
      <c r="B136" s="10"/>
      <c r="C136" s="10"/>
    </row>
    <row r="137" spans="1:3" ht="12.75" customHeight="1">
      <c r="A137" s="10"/>
      <c r="B137" s="10"/>
      <c r="C137" s="10"/>
    </row>
    <row r="138" spans="1:3" ht="12.75" customHeight="1">
      <c r="A138" s="10"/>
      <c r="B138" s="10"/>
      <c r="C138" s="10"/>
    </row>
    <row r="139" spans="1:3" ht="12.75" customHeight="1">
      <c r="A139" s="10"/>
      <c r="B139" s="10"/>
      <c r="C139" s="10"/>
    </row>
    <row r="140" spans="1:3" ht="12.75" customHeight="1">
      <c r="A140" s="10"/>
      <c r="B140" s="10"/>
      <c r="C140" s="10"/>
    </row>
    <row r="141" spans="1:3" ht="12.75" customHeight="1">
      <c r="A141" s="10"/>
      <c r="B141" s="10"/>
      <c r="C141" s="10"/>
    </row>
    <row r="142" spans="1:3" ht="12.75" customHeight="1">
      <c r="A142" s="10"/>
      <c r="B142" s="10"/>
      <c r="C142" s="10"/>
    </row>
    <row r="143" spans="1:3" ht="12.75" customHeight="1">
      <c r="A143" s="10"/>
      <c r="B143" s="10"/>
      <c r="C143" s="10"/>
    </row>
    <row r="144" spans="1:3" ht="12.75" customHeight="1">
      <c r="A144" s="10"/>
      <c r="B144" s="10"/>
      <c r="C144" s="10"/>
    </row>
    <row r="145" spans="1:3" ht="12.75" customHeight="1">
      <c r="A145" s="10"/>
      <c r="B145" s="10"/>
      <c r="C145" s="10"/>
    </row>
    <row r="146" spans="1:3" ht="12.75" customHeight="1">
      <c r="A146" s="10"/>
      <c r="B146" s="10"/>
      <c r="C146" s="10"/>
    </row>
    <row r="147" spans="1:3" ht="12.75" customHeight="1">
      <c r="A147" s="10"/>
      <c r="B147" s="10"/>
      <c r="C147" s="10"/>
    </row>
    <row r="148" spans="1:3" ht="12.75" customHeight="1">
      <c r="A148" s="10"/>
      <c r="B148" s="10"/>
      <c r="C148" s="10"/>
    </row>
    <row r="149" spans="1:3" ht="12.75" customHeight="1">
      <c r="A149" s="10"/>
      <c r="B149" s="10"/>
      <c r="C149" s="10"/>
    </row>
    <row r="150" spans="1:3" ht="12.75" customHeight="1">
      <c r="A150" s="10"/>
      <c r="B150" s="10"/>
      <c r="C150" s="10"/>
    </row>
    <row r="151" spans="1:3" ht="12.75" customHeight="1">
      <c r="A151" s="10"/>
      <c r="B151" s="10"/>
      <c r="C151" s="10"/>
    </row>
    <row r="152" spans="1:3" ht="12.75" customHeight="1">
      <c r="A152" s="10"/>
      <c r="B152" s="10"/>
      <c r="C152" s="10"/>
    </row>
    <row r="153" spans="1:3" ht="12.75" customHeight="1">
      <c r="A153" s="10"/>
      <c r="B153" s="10"/>
      <c r="C153" s="10"/>
    </row>
    <row r="154" spans="1:3" ht="12.75" customHeight="1">
      <c r="A154" s="10"/>
      <c r="B154" s="10"/>
      <c r="C154" s="10"/>
    </row>
    <row r="155" spans="1:3" ht="12.75" customHeight="1">
      <c r="A155" s="10"/>
      <c r="B155" s="10"/>
      <c r="C155" s="10"/>
    </row>
    <row r="156" spans="1:3" ht="12.75" customHeight="1">
      <c r="A156" s="10"/>
      <c r="B156" s="10"/>
      <c r="C156" s="10"/>
    </row>
    <row r="157" spans="1:3" ht="12.75" customHeight="1">
      <c r="A157" s="10"/>
      <c r="B157" s="10"/>
      <c r="C157" s="10"/>
    </row>
    <row r="158" spans="1:3" ht="12.75" customHeight="1">
      <c r="A158" s="10"/>
      <c r="B158" s="10"/>
      <c r="C158" s="10"/>
    </row>
    <row r="159" spans="1:3" ht="12.75" customHeight="1">
      <c r="A159" s="10"/>
      <c r="B159" s="10"/>
      <c r="C159" s="10"/>
    </row>
    <row r="160" spans="1:3" ht="12.75" customHeight="1">
      <c r="A160" s="10"/>
      <c r="B160" s="10"/>
      <c r="C160" s="10"/>
    </row>
    <row r="161" spans="1:3" ht="12.75" customHeight="1">
      <c r="A161" s="10"/>
      <c r="B161" s="10"/>
      <c r="C161" s="10"/>
    </row>
    <row r="162" spans="1:3" ht="12.75" customHeight="1">
      <c r="A162" s="10"/>
      <c r="B162" s="10"/>
      <c r="C162" s="10"/>
    </row>
    <row r="163" spans="1:3" ht="12.75" customHeight="1">
      <c r="A163" s="10"/>
      <c r="B163" s="10"/>
      <c r="C163" s="10"/>
    </row>
    <row r="164" spans="1:3" ht="12.75" customHeight="1">
      <c r="A164" s="10"/>
      <c r="B164" s="10"/>
      <c r="C164" s="10"/>
    </row>
    <row r="165" spans="1:3" ht="12.75" customHeight="1">
      <c r="A165" s="10"/>
      <c r="B165" s="10"/>
      <c r="C165" s="10"/>
    </row>
    <row r="166" spans="1:3" ht="12.75" customHeight="1">
      <c r="A166" s="10"/>
      <c r="B166" s="10"/>
      <c r="C166" s="10"/>
    </row>
    <row r="167" spans="1:3" ht="12.75" customHeight="1">
      <c r="A167" s="10"/>
      <c r="B167" s="10"/>
      <c r="C167" s="10"/>
    </row>
    <row r="168" spans="1:3" ht="12.75" customHeight="1">
      <c r="A168" s="10"/>
      <c r="B168" s="10"/>
      <c r="C168" s="10"/>
    </row>
    <row r="169" spans="1:3" ht="12.75" customHeight="1">
      <c r="A169" s="10"/>
      <c r="B169" s="10"/>
      <c r="C169" s="10"/>
    </row>
    <row r="170" spans="1:3" ht="12.75" customHeight="1">
      <c r="A170" s="10"/>
      <c r="B170" s="10"/>
      <c r="C170" s="10"/>
    </row>
    <row r="171" spans="1:3" ht="12.75" customHeight="1">
      <c r="A171" s="10"/>
      <c r="B171" s="10"/>
      <c r="C171" s="10"/>
    </row>
    <row r="172" spans="1:3" ht="12.75" customHeight="1">
      <c r="A172" s="10"/>
      <c r="B172" s="10"/>
      <c r="C172" s="10"/>
    </row>
    <row r="173" spans="1:3" ht="12.75" customHeight="1">
      <c r="A173" s="10"/>
      <c r="B173" s="10"/>
      <c r="C173" s="10"/>
    </row>
    <row r="174" spans="1:3" ht="12.75" customHeight="1">
      <c r="A174" s="10"/>
      <c r="B174" s="10"/>
      <c r="C174" s="10"/>
    </row>
    <row r="175" spans="1:3" ht="12.75" customHeight="1">
      <c r="A175" s="10"/>
      <c r="B175" s="10"/>
      <c r="C175" s="10"/>
    </row>
    <row r="176" spans="1:3" ht="12.75" customHeight="1">
      <c r="A176" s="10"/>
      <c r="B176" s="10"/>
      <c r="C176" s="10"/>
    </row>
    <row r="177" spans="1:3" ht="12.75" customHeight="1">
      <c r="A177" s="10"/>
      <c r="B177" s="10"/>
      <c r="C177" s="10"/>
    </row>
    <row r="178" spans="1:3" ht="12.75" customHeight="1">
      <c r="A178" s="10"/>
      <c r="B178" s="10"/>
      <c r="C178" s="10"/>
    </row>
    <row r="179" spans="1:3" ht="12.75" customHeight="1">
      <c r="A179" s="10"/>
      <c r="B179" s="10"/>
      <c r="C179" s="10"/>
    </row>
    <row r="180" spans="1:3" ht="12.75" customHeight="1">
      <c r="A180" s="10"/>
      <c r="B180" s="10"/>
      <c r="C180" s="10"/>
    </row>
    <row r="181" spans="1:3" ht="12.75" customHeight="1">
      <c r="A181" s="10"/>
      <c r="B181" s="10"/>
      <c r="C181" s="10"/>
    </row>
    <row r="182" spans="1:3" ht="12.75" customHeight="1">
      <c r="A182" s="10"/>
      <c r="B182" s="10"/>
      <c r="C182" s="10"/>
    </row>
    <row r="183" spans="1:3" ht="12.75" customHeight="1">
      <c r="A183" s="10"/>
      <c r="B183" s="10"/>
      <c r="C183" s="10"/>
    </row>
    <row r="184" spans="1:3" ht="12.75" customHeight="1">
      <c r="A184" s="10"/>
      <c r="B184" s="10"/>
      <c r="C184" s="10"/>
    </row>
    <row r="185" spans="1:3" ht="12.75" customHeight="1">
      <c r="A185" s="10"/>
      <c r="B185" s="10"/>
      <c r="C185" s="10"/>
    </row>
    <row r="186" spans="1:3" ht="12.75" customHeight="1">
      <c r="A186" s="10"/>
      <c r="B186" s="10"/>
      <c r="C186" s="10"/>
    </row>
    <row r="187" spans="1:3" ht="12.75" customHeight="1">
      <c r="A187" s="10"/>
      <c r="B187" s="10"/>
      <c r="C187" s="10"/>
    </row>
    <row r="188" spans="1:3" ht="12.75" customHeight="1">
      <c r="A188" s="10"/>
      <c r="B188" s="10"/>
      <c r="C188" s="10"/>
    </row>
    <row r="189" spans="1:3" ht="12.75" customHeight="1">
      <c r="A189" s="10"/>
      <c r="B189" s="10"/>
      <c r="C189" s="10"/>
    </row>
    <row r="190" spans="1:3" ht="12.75" customHeight="1">
      <c r="A190" s="10"/>
      <c r="B190" s="10"/>
      <c r="C190" s="10"/>
    </row>
    <row r="191" spans="1:3" ht="12.75" customHeight="1">
      <c r="A191" s="10"/>
      <c r="B191" s="10"/>
      <c r="C191" s="10"/>
    </row>
    <row r="192" spans="1:3" ht="12.75" customHeight="1">
      <c r="A192" s="10"/>
      <c r="B192" s="10"/>
      <c r="C192" s="10"/>
    </row>
    <row r="193" spans="1:3" ht="12.75" customHeight="1">
      <c r="A193" s="10"/>
      <c r="B193" s="10"/>
      <c r="C193" s="10"/>
    </row>
    <row r="194" spans="1:3" ht="12.75" customHeight="1">
      <c r="A194" s="10"/>
      <c r="B194" s="10"/>
      <c r="C194" s="10"/>
    </row>
    <row r="195" spans="1:3" ht="12.75" customHeight="1">
      <c r="A195" s="10"/>
      <c r="B195" s="10"/>
      <c r="C195" s="10"/>
    </row>
    <row r="196" spans="1:3" ht="12.75" customHeight="1">
      <c r="A196" s="10"/>
      <c r="B196" s="10"/>
      <c r="C196" s="10"/>
    </row>
    <row r="197" spans="1:3" ht="12.75" customHeight="1">
      <c r="A197" s="10"/>
      <c r="B197" s="10"/>
      <c r="C197" s="10"/>
    </row>
    <row r="198" spans="1:3" ht="12.75" customHeight="1">
      <c r="A198" s="10"/>
      <c r="B198" s="10"/>
      <c r="C198" s="10"/>
    </row>
    <row r="199" spans="1:3" ht="12.75" customHeight="1">
      <c r="A199" s="10"/>
      <c r="B199" s="10"/>
      <c r="C199" s="10"/>
    </row>
    <row r="200" spans="1:3" ht="12.75" customHeight="1">
      <c r="A200" s="10"/>
      <c r="B200" s="10"/>
      <c r="C200" s="10"/>
    </row>
    <row r="201" spans="1:3" ht="12.75" customHeight="1">
      <c r="A201" s="10"/>
      <c r="B201" s="10"/>
      <c r="C201" s="10"/>
    </row>
    <row r="202" spans="1:3" ht="12.75" customHeight="1">
      <c r="A202" s="10"/>
      <c r="B202" s="10"/>
      <c r="C202" s="10"/>
    </row>
    <row r="203" spans="1:3" ht="12.75" customHeight="1">
      <c r="A203" s="10"/>
      <c r="B203" s="10"/>
      <c r="C203" s="10"/>
    </row>
    <row r="204" spans="1:3" ht="12.75" customHeight="1">
      <c r="A204" s="10"/>
      <c r="B204" s="10"/>
      <c r="C204" s="10"/>
    </row>
    <row r="205" spans="1:3" ht="12.75" customHeight="1">
      <c r="A205" s="10"/>
      <c r="B205" s="10"/>
      <c r="C205" s="10"/>
    </row>
    <row r="206" spans="1:3" ht="12.75" customHeight="1">
      <c r="A206" s="10"/>
      <c r="B206" s="10"/>
      <c r="C206" s="10"/>
    </row>
    <row r="207" spans="1:3" ht="12.75" customHeight="1">
      <c r="A207" s="10"/>
      <c r="B207" s="10"/>
      <c r="C207" s="10"/>
    </row>
    <row r="208" spans="1:3" ht="12.75" customHeight="1">
      <c r="A208" s="10"/>
      <c r="B208" s="10"/>
      <c r="C208" s="10"/>
    </row>
    <row r="209" spans="1:3" ht="12.75" customHeight="1">
      <c r="A209" s="10"/>
      <c r="B209" s="10"/>
      <c r="C209" s="10"/>
    </row>
    <row r="210" spans="1:3" ht="12.75" customHeight="1">
      <c r="A210" s="10"/>
      <c r="B210" s="10"/>
      <c r="C210" s="10"/>
    </row>
    <row r="211" spans="1:3" ht="12.75" customHeight="1">
      <c r="A211" s="10"/>
      <c r="B211" s="10"/>
      <c r="C211" s="10"/>
    </row>
    <row r="212" spans="1:3" ht="12.75" customHeight="1">
      <c r="A212" s="10"/>
      <c r="B212" s="10"/>
      <c r="C212" s="10"/>
    </row>
    <row r="213" spans="1:3" ht="12.75" customHeight="1">
      <c r="A213" s="10"/>
      <c r="B213" s="10"/>
      <c r="C213" s="10"/>
    </row>
    <row r="214" spans="1:3" ht="12.75" customHeight="1">
      <c r="A214" s="10"/>
      <c r="B214" s="10"/>
      <c r="C214" s="10"/>
    </row>
    <row r="215" spans="1:3" ht="12.75" customHeight="1">
      <c r="A215" s="10"/>
      <c r="B215" s="10"/>
      <c r="C215" s="10"/>
    </row>
    <row r="216" spans="1:3" ht="12.75" customHeight="1">
      <c r="A216" s="10"/>
      <c r="B216" s="10"/>
      <c r="C216" s="10"/>
    </row>
    <row r="217" spans="1:3" ht="12.75" customHeight="1">
      <c r="A217" s="10"/>
      <c r="B217" s="10"/>
      <c r="C217" s="10"/>
    </row>
    <row r="218" spans="1:3" ht="12.75" customHeight="1">
      <c r="A218" s="10"/>
      <c r="B218" s="10"/>
      <c r="C218" s="10"/>
    </row>
    <row r="219" spans="1:3" ht="12.75" customHeight="1">
      <c r="A219" s="10"/>
      <c r="B219" s="10"/>
      <c r="C219" s="10"/>
    </row>
    <row r="220" spans="1:3" ht="12.75" customHeight="1">
      <c r="A220" s="10"/>
      <c r="B220" s="10"/>
      <c r="C220" s="10"/>
    </row>
    <row r="221" spans="1:3" ht="12.75" customHeight="1">
      <c r="A221" s="10"/>
      <c r="B221" s="10"/>
      <c r="C221" s="10"/>
    </row>
    <row r="222" spans="1:3" ht="12.75" customHeight="1">
      <c r="A222" s="10"/>
      <c r="B222" s="10"/>
      <c r="C222" s="10"/>
    </row>
    <row r="223" spans="1:3" ht="12.75" customHeight="1">
      <c r="A223" s="10"/>
      <c r="B223" s="10"/>
      <c r="C223" s="10"/>
    </row>
    <row r="224" spans="1:3" ht="12.75" customHeight="1">
      <c r="A224" s="10"/>
      <c r="B224" s="10"/>
      <c r="C224" s="10"/>
    </row>
    <row r="225" spans="1:3" ht="12.75" customHeight="1">
      <c r="A225" s="10"/>
      <c r="B225" s="10"/>
      <c r="C225" s="10"/>
    </row>
    <row r="226" spans="1:3" ht="12.75" customHeight="1">
      <c r="A226" s="10"/>
      <c r="B226" s="10"/>
      <c r="C226" s="10"/>
    </row>
    <row r="227" spans="1:3" ht="12.75" customHeight="1">
      <c r="A227" s="10"/>
      <c r="B227" s="10"/>
      <c r="C227" s="10"/>
    </row>
    <row r="228" spans="1:3" ht="12.75" customHeight="1">
      <c r="A228" s="10"/>
      <c r="B228" s="10"/>
      <c r="C228" s="10"/>
    </row>
    <row r="229" spans="1:3" ht="12.75" customHeight="1">
      <c r="A229" s="10"/>
      <c r="B229" s="10"/>
      <c r="C229" s="10"/>
    </row>
    <row r="230" spans="1:3" ht="12.75" customHeight="1">
      <c r="A230" s="10"/>
      <c r="B230" s="10"/>
      <c r="C230" s="10"/>
    </row>
    <row r="231" spans="1:3" ht="12.75" customHeight="1">
      <c r="A231" s="10"/>
      <c r="B231" s="10"/>
      <c r="C231" s="10"/>
    </row>
    <row r="232" spans="1:3" ht="12.75" customHeight="1">
      <c r="A232" s="10"/>
      <c r="B232" s="10"/>
      <c r="C232" s="10"/>
    </row>
    <row r="233" spans="1:3" ht="12.75" customHeight="1">
      <c r="A233" s="10"/>
      <c r="B233" s="10"/>
      <c r="C233" s="10"/>
    </row>
    <row r="234" spans="1:3" ht="12.75" customHeight="1">
      <c r="A234" s="10"/>
      <c r="B234" s="10"/>
      <c r="C234" s="10"/>
    </row>
    <row r="235" spans="1:3" ht="12.75" customHeight="1">
      <c r="A235" s="10"/>
      <c r="B235" s="10"/>
      <c r="C235" s="10"/>
    </row>
    <row r="236" spans="1:3" ht="12.75" customHeight="1">
      <c r="A236" s="10"/>
      <c r="B236" s="10"/>
      <c r="C236" s="10"/>
    </row>
    <row r="237" spans="1:3" ht="12.75" customHeight="1">
      <c r="A237" s="10"/>
      <c r="B237" s="10"/>
      <c r="C237" s="10"/>
    </row>
    <row r="238" spans="1:3" ht="12.75" customHeight="1">
      <c r="A238" s="10"/>
      <c r="B238" s="10"/>
      <c r="C238" s="10"/>
    </row>
    <row r="239" spans="1:3" ht="12.75" customHeight="1">
      <c r="A239" s="10"/>
      <c r="B239" s="10"/>
      <c r="C239" s="10"/>
    </row>
    <row r="240" spans="1:3" ht="12.75" customHeight="1">
      <c r="A240" s="10"/>
      <c r="B240" s="10"/>
      <c r="C240" s="10"/>
    </row>
    <row r="241" spans="1:3" ht="12.75" customHeight="1">
      <c r="A241" s="10"/>
      <c r="B241" s="10"/>
      <c r="C241" s="10"/>
    </row>
    <row r="242" spans="1:3" ht="12.75" customHeight="1">
      <c r="A242" s="10"/>
      <c r="B242" s="10"/>
      <c r="C242" s="10"/>
    </row>
    <row r="243" spans="1:3" ht="12.75" customHeight="1">
      <c r="A243" s="10"/>
      <c r="B243" s="10"/>
      <c r="C243" s="10"/>
    </row>
    <row r="244" spans="1:3" ht="12.75" customHeight="1">
      <c r="A244" s="10"/>
      <c r="B244" s="10"/>
      <c r="C244" s="10"/>
    </row>
    <row r="245" spans="1:3" ht="12.75" customHeight="1">
      <c r="A245" s="10"/>
      <c r="B245" s="10"/>
      <c r="C245" s="10"/>
    </row>
    <row r="246" spans="1:3" ht="12.75" customHeight="1">
      <c r="A246" s="10"/>
      <c r="B246" s="10"/>
      <c r="C246" s="10"/>
    </row>
    <row r="247" spans="1:3" ht="12.75" customHeight="1">
      <c r="A247" s="10"/>
      <c r="B247" s="10"/>
      <c r="C247" s="10"/>
    </row>
    <row r="248" spans="1:3" ht="12.75" customHeight="1">
      <c r="A248" s="10"/>
      <c r="B248" s="10"/>
      <c r="C248" s="10"/>
    </row>
    <row r="249" spans="1:3" ht="12.75" customHeight="1">
      <c r="A249" s="10"/>
      <c r="B249" s="10"/>
      <c r="C249" s="10"/>
    </row>
    <row r="250" spans="1:3" ht="12.75" customHeight="1">
      <c r="A250" s="10"/>
      <c r="B250" s="10"/>
      <c r="C250" s="10"/>
    </row>
    <row r="251" spans="1:3" ht="12.75" customHeight="1">
      <c r="A251" s="10"/>
      <c r="B251" s="10"/>
      <c r="C251" s="10"/>
    </row>
    <row r="252" spans="1:3" ht="12.75" customHeight="1">
      <c r="A252" s="10"/>
      <c r="B252" s="10"/>
      <c r="C252" s="10"/>
    </row>
    <row r="253" spans="1:3" ht="12.75" customHeight="1">
      <c r="A253" s="10"/>
      <c r="B253" s="10"/>
      <c r="C253" s="10"/>
    </row>
    <row r="254" spans="1:3" ht="12.75" customHeight="1">
      <c r="A254" s="10"/>
      <c r="B254" s="10"/>
      <c r="C254" s="10"/>
    </row>
    <row r="255" spans="1:3" ht="12.75" customHeight="1">
      <c r="A255" s="10"/>
      <c r="B255" s="10"/>
      <c r="C255" s="10"/>
    </row>
    <row r="256" spans="1:3" ht="12.75" customHeight="1">
      <c r="A256" s="10"/>
      <c r="B256" s="10"/>
      <c r="C256" s="10"/>
    </row>
    <row r="257" spans="1:3" ht="12.75" customHeight="1">
      <c r="A257" s="10"/>
      <c r="B257" s="10"/>
      <c r="C257" s="10"/>
    </row>
    <row r="258" spans="1:3" ht="12.75" customHeight="1">
      <c r="A258" s="10"/>
      <c r="B258" s="10"/>
      <c r="C258" s="10"/>
    </row>
    <row r="259" spans="1:3" ht="12.75" customHeight="1">
      <c r="A259" s="10"/>
      <c r="B259" s="10"/>
      <c r="C259" s="10"/>
    </row>
    <row r="260" spans="1:3" ht="12.75" customHeight="1">
      <c r="A260" s="10"/>
      <c r="B260" s="10"/>
      <c r="C260" s="10"/>
    </row>
    <row r="261" spans="1:3" ht="12.75" customHeight="1">
      <c r="A261" s="10"/>
      <c r="B261" s="10"/>
      <c r="C261" s="10"/>
    </row>
    <row r="262" spans="1:3" ht="12.75" customHeight="1">
      <c r="A262" s="10"/>
      <c r="B262" s="10"/>
      <c r="C262" s="10"/>
    </row>
    <row r="263" spans="1:3" ht="12.75" customHeight="1">
      <c r="A263" s="10"/>
      <c r="B263" s="10"/>
      <c r="C263" s="10"/>
    </row>
    <row r="264" spans="1:3" ht="12.75" customHeight="1">
      <c r="A264" s="10"/>
      <c r="B264" s="10"/>
      <c r="C264" s="10"/>
    </row>
    <row r="265" spans="1:3" ht="12.75" customHeight="1">
      <c r="A265" s="10"/>
      <c r="B265" s="10"/>
      <c r="C265" s="10"/>
    </row>
    <row r="266" spans="1:3" ht="12.75" customHeight="1">
      <c r="A266" s="10"/>
      <c r="B266" s="10"/>
      <c r="C266" s="10"/>
    </row>
    <row r="267" spans="1:3" ht="12.75" customHeight="1">
      <c r="A267" s="10"/>
      <c r="B267" s="10"/>
      <c r="C267" s="10"/>
    </row>
    <row r="268" spans="1:3" ht="12.75" customHeight="1">
      <c r="A268" s="10"/>
      <c r="B268" s="10"/>
      <c r="C268" s="10"/>
    </row>
    <row r="269" spans="1:3" ht="12.75" customHeight="1">
      <c r="A269" s="10"/>
      <c r="B269" s="10"/>
      <c r="C269" s="10"/>
    </row>
    <row r="270" spans="1:3" ht="12.75" customHeight="1">
      <c r="A270" s="10"/>
      <c r="B270" s="10"/>
      <c r="C270" s="10"/>
    </row>
    <row r="271" spans="1:3" ht="12.75" customHeight="1">
      <c r="A271" s="10"/>
      <c r="B271" s="10"/>
      <c r="C271" s="10"/>
    </row>
    <row r="272" spans="1:3" ht="12.75" customHeight="1">
      <c r="A272" s="10"/>
      <c r="B272" s="10"/>
      <c r="C272" s="10"/>
    </row>
    <row r="273" spans="1:3" ht="12.75" customHeight="1">
      <c r="A273" s="10"/>
      <c r="B273" s="10"/>
      <c r="C273" s="10"/>
    </row>
    <row r="274" spans="1:3" ht="12.75" customHeight="1">
      <c r="A274" s="10"/>
      <c r="B274" s="10"/>
      <c r="C274" s="10"/>
    </row>
    <row r="275" spans="1:3" ht="12.75" customHeight="1">
      <c r="A275" s="10"/>
      <c r="B275" s="10"/>
      <c r="C275" s="10"/>
    </row>
    <row r="276" spans="1:3" ht="12.75" customHeight="1">
      <c r="A276" s="10"/>
      <c r="B276" s="10"/>
      <c r="C276" s="10"/>
    </row>
    <row r="277" spans="1:3" ht="12.75" customHeight="1">
      <c r="A277" s="10"/>
      <c r="B277" s="10"/>
      <c r="C277" s="10"/>
    </row>
    <row r="278" spans="1:3" ht="12.75" customHeight="1">
      <c r="A278" s="10"/>
      <c r="B278" s="10"/>
      <c r="C278" s="10"/>
    </row>
    <row r="279" spans="1:3" ht="12.75" customHeight="1">
      <c r="A279" s="10"/>
      <c r="B279" s="10"/>
      <c r="C279" s="10"/>
    </row>
    <row r="280" spans="1:3" ht="12.75" customHeight="1">
      <c r="A280" s="10"/>
      <c r="B280" s="10"/>
      <c r="C280" s="10"/>
    </row>
    <row r="281" spans="1:3" ht="12.75" customHeight="1">
      <c r="A281" s="10"/>
      <c r="B281" s="10"/>
      <c r="C281" s="10"/>
    </row>
    <row r="282" spans="1:3" ht="12.75" customHeight="1">
      <c r="A282" s="10"/>
      <c r="B282" s="10"/>
      <c r="C282" s="10"/>
    </row>
    <row r="283" spans="1:3" ht="12.75" customHeight="1">
      <c r="A283" s="10"/>
      <c r="B283" s="10"/>
      <c r="C283" s="10"/>
    </row>
    <row r="284" spans="1:3" ht="12.75" customHeight="1">
      <c r="A284" s="10"/>
      <c r="B284" s="10"/>
      <c r="C284" s="10"/>
    </row>
    <row r="285" spans="1:3" ht="12.75" customHeight="1">
      <c r="A285" s="10"/>
      <c r="B285" s="10"/>
      <c r="C285" s="10"/>
    </row>
    <row r="286" spans="1:3" ht="12.75" customHeight="1">
      <c r="A286" s="10"/>
      <c r="B286" s="10"/>
      <c r="C286" s="10"/>
    </row>
    <row r="287" spans="1:3" ht="12.75" customHeight="1">
      <c r="A287" s="10"/>
      <c r="B287" s="10"/>
      <c r="C287" s="10"/>
    </row>
    <row r="288" spans="1:3" ht="12.75" customHeight="1">
      <c r="A288" s="10"/>
      <c r="B288" s="10"/>
      <c r="C288" s="10"/>
    </row>
    <row r="289" spans="1:3" ht="12.75" customHeight="1">
      <c r="A289" s="10"/>
      <c r="B289" s="10"/>
      <c r="C289" s="10"/>
    </row>
    <row r="290" spans="1:3" ht="12.75" customHeight="1">
      <c r="A290" s="10"/>
      <c r="B290" s="10"/>
      <c r="C290" s="10"/>
    </row>
    <row r="291" spans="1:3" ht="12.75" customHeight="1">
      <c r="A291" s="10"/>
      <c r="B291" s="10"/>
      <c r="C291" s="10"/>
    </row>
    <row r="292" spans="1:3" ht="12.75" customHeight="1">
      <c r="A292" s="10"/>
      <c r="B292" s="10"/>
      <c r="C292" s="10"/>
    </row>
    <row r="293" spans="1:3" ht="12.75" customHeight="1">
      <c r="A293" s="10"/>
      <c r="B293" s="10"/>
      <c r="C293" s="10"/>
    </row>
    <row r="294" spans="1:3" ht="12.75" customHeight="1">
      <c r="A294" s="10"/>
      <c r="B294" s="10"/>
      <c r="C294" s="10"/>
    </row>
    <row r="295" spans="1:3" ht="12.75" customHeight="1">
      <c r="A295" s="10"/>
      <c r="B295" s="10"/>
      <c r="C295" s="10"/>
    </row>
    <row r="296" spans="1:3" ht="12.75" customHeight="1">
      <c r="A296" s="10"/>
      <c r="B296" s="10"/>
      <c r="C296" s="10"/>
    </row>
    <row r="297" spans="1:3" ht="12.75" customHeight="1">
      <c r="A297" s="10"/>
      <c r="B297" s="10"/>
      <c r="C297" s="10"/>
    </row>
    <row r="298" spans="1:3" ht="12.75" customHeight="1">
      <c r="A298" s="10"/>
      <c r="B298" s="10"/>
      <c r="C298" s="10"/>
    </row>
    <row r="299" spans="1:3" ht="12.75" customHeight="1">
      <c r="A299" s="10"/>
      <c r="B299" s="10"/>
      <c r="C299" s="10"/>
    </row>
    <row r="300" spans="1:3" ht="12.75" customHeight="1">
      <c r="A300" s="10"/>
      <c r="B300" s="10"/>
      <c r="C300" s="10"/>
    </row>
    <row r="301" spans="1:3" ht="12.75" customHeight="1">
      <c r="A301" s="10"/>
      <c r="B301" s="10"/>
      <c r="C301" s="10"/>
    </row>
    <row r="302" spans="1:3" ht="12.75" customHeight="1">
      <c r="A302" s="10"/>
      <c r="B302" s="10"/>
      <c r="C302" s="10"/>
    </row>
    <row r="303" spans="1:3" ht="12.75" customHeight="1">
      <c r="A303" s="10"/>
      <c r="B303" s="10"/>
      <c r="C303" s="10"/>
    </row>
    <row r="304" spans="1:3" ht="12.75" customHeight="1">
      <c r="A304" s="10"/>
      <c r="B304" s="10"/>
      <c r="C304" s="10"/>
    </row>
    <row r="305" spans="1:3" ht="12.75" customHeight="1">
      <c r="A305" s="10"/>
      <c r="B305" s="10"/>
      <c r="C305" s="10"/>
    </row>
    <row r="306" spans="1:3" ht="12.75" customHeight="1">
      <c r="A306" s="10"/>
      <c r="B306" s="10"/>
      <c r="C306" s="10"/>
    </row>
    <row r="307" spans="1:3" ht="12.75" customHeight="1">
      <c r="A307" s="10"/>
      <c r="B307" s="10"/>
      <c r="C307" s="10"/>
    </row>
    <row r="308" spans="1:3" ht="12.75" customHeight="1">
      <c r="A308" s="10"/>
      <c r="B308" s="10"/>
      <c r="C308" s="10"/>
    </row>
    <row r="309" spans="1:3" ht="12.75" customHeight="1">
      <c r="A309" s="10"/>
      <c r="B309" s="10"/>
      <c r="C309" s="10"/>
    </row>
    <row r="310" spans="1:3" ht="12.75" customHeight="1">
      <c r="A310" s="10"/>
      <c r="B310" s="10"/>
      <c r="C310" s="10"/>
    </row>
    <row r="311" spans="1:3" ht="12.75" customHeight="1">
      <c r="A311" s="10"/>
      <c r="B311" s="10"/>
      <c r="C311" s="10"/>
    </row>
    <row r="312" spans="1:3" ht="12.75" customHeight="1">
      <c r="A312" s="10"/>
      <c r="B312" s="10"/>
      <c r="C312" s="10"/>
    </row>
    <row r="313" spans="1:3" ht="12.75" customHeight="1">
      <c r="A313" s="10"/>
      <c r="B313" s="10"/>
      <c r="C313" s="10"/>
    </row>
    <row r="314" spans="1:3" ht="12.75" customHeight="1">
      <c r="A314" s="10"/>
      <c r="B314" s="10"/>
      <c r="C314" s="10"/>
    </row>
    <row r="315" spans="1:3" ht="12.75" customHeight="1">
      <c r="A315" s="10"/>
      <c r="B315" s="10"/>
      <c r="C315" s="10"/>
    </row>
    <row r="316" spans="1:3" ht="15.75" customHeight="1"/>
    <row r="317" spans="1:3" ht="15.75" customHeight="1"/>
    <row r="318" spans="1:3" ht="15.75" customHeight="1"/>
    <row r="319" spans="1:3" ht="15.75" customHeight="1"/>
    <row r="320" spans="1:3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F1"/>
    <mergeCell ref="D5:D39"/>
    <mergeCell ref="A41:F41"/>
    <mergeCell ref="D47:D99"/>
  </mergeCells>
  <pageMargins left="0.7" right="0.7" top="0.75" bottom="0.75" header="0" footer="0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X1002"/>
  <sheetViews>
    <sheetView workbookViewId="0"/>
  </sheetViews>
  <sheetFormatPr defaultColWidth="14.42578125" defaultRowHeight="15" customHeight="1"/>
  <cols>
    <col min="1" max="6" width="14.42578125" customWidth="1"/>
  </cols>
  <sheetData>
    <row r="1" spans="1:24" ht="15" customHeight="1">
      <c r="A1" s="214"/>
      <c r="B1" s="214"/>
      <c r="C1" s="215" t="s">
        <v>264</v>
      </c>
      <c r="D1" s="214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</row>
    <row r="2" spans="1:24" ht="15" customHeight="1">
      <c r="A2" s="216">
        <f>'Input data'!N12</f>
        <v>38.447363406646744</v>
      </c>
      <c r="B2" s="217">
        <f>ROUNDDOWN(A2,1)</f>
        <v>38.4</v>
      </c>
      <c r="C2" s="214">
        <f>VLOOKUP(B2,B5:K956,9,FALSE)</f>
        <v>1.4892000000000001</v>
      </c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4"/>
      <c r="T2" s="214"/>
      <c r="U2" s="214"/>
      <c r="V2" s="214"/>
      <c r="W2" s="214"/>
      <c r="X2" s="214"/>
    </row>
    <row r="3" spans="1:24" ht="15" customHeight="1">
      <c r="A3" s="214"/>
      <c r="B3" s="214"/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</row>
    <row r="4" spans="1:24" ht="15" customHeight="1">
      <c r="A4" s="214"/>
      <c r="B4" s="83"/>
      <c r="C4" s="83"/>
      <c r="D4" s="83"/>
      <c r="E4" s="83"/>
      <c r="F4" s="83"/>
      <c r="G4" s="83"/>
      <c r="H4" s="83"/>
      <c r="I4" s="83"/>
      <c r="J4" s="83"/>
      <c r="K4" s="83"/>
      <c r="L4" s="214"/>
      <c r="M4" s="214"/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</row>
    <row r="5" spans="1:24" ht="15" customHeight="1">
      <c r="A5" s="83"/>
      <c r="B5" s="215" t="s">
        <v>265</v>
      </c>
      <c r="C5" s="215" t="s">
        <v>266</v>
      </c>
      <c r="D5" s="215" t="s">
        <v>267</v>
      </c>
      <c r="E5" s="215" t="s">
        <v>268</v>
      </c>
      <c r="F5" s="215" t="s">
        <v>269</v>
      </c>
      <c r="G5" s="215" t="s">
        <v>270</v>
      </c>
      <c r="H5" s="215" t="s">
        <v>271</v>
      </c>
      <c r="I5" s="215" t="s">
        <v>272</v>
      </c>
      <c r="J5" s="215" t="s">
        <v>264</v>
      </c>
      <c r="K5" s="215" t="s">
        <v>273</v>
      </c>
      <c r="L5" s="214"/>
      <c r="M5" s="214"/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</row>
    <row r="6" spans="1:24" ht="15" customHeight="1">
      <c r="A6" s="83"/>
      <c r="B6" s="218" t="s">
        <v>274</v>
      </c>
      <c r="C6" s="218" t="s">
        <v>30</v>
      </c>
      <c r="D6" s="218" t="s">
        <v>275</v>
      </c>
      <c r="E6" s="218" t="s">
        <v>275</v>
      </c>
      <c r="F6" s="218" t="s">
        <v>276</v>
      </c>
      <c r="G6" s="218" t="s">
        <v>276</v>
      </c>
      <c r="H6" s="218" t="s">
        <v>277</v>
      </c>
      <c r="I6" s="218" t="s">
        <v>277</v>
      </c>
      <c r="J6" s="218" t="s">
        <v>277</v>
      </c>
      <c r="K6" s="218" t="s">
        <v>277</v>
      </c>
      <c r="L6" s="214"/>
      <c r="M6" s="214"/>
      <c r="N6" s="214"/>
      <c r="O6" s="214"/>
      <c r="P6" s="214"/>
      <c r="Q6" s="214"/>
      <c r="R6" s="214"/>
      <c r="S6" s="214"/>
      <c r="T6" s="214"/>
      <c r="U6" s="214"/>
      <c r="V6" s="214"/>
      <c r="W6" s="214"/>
      <c r="X6" s="214"/>
    </row>
    <row r="7" spans="1:24" ht="15" customHeight="1">
      <c r="A7" s="83"/>
      <c r="B7" s="218">
        <v>-25</v>
      </c>
      <c r="C7" s="218">
        <v>1.06</v>
      </c>
      <c r="D7" s="218">
        <v>6.9999999999999999E-4</v>
      </c>
      <c r="E7" s="218">
        <v>0.18160000000000001</v>
      </c>
      <c r="F7" s="218">
        <v>167.19</v>
      </c>
      <c r="G7" s="218">
        <v>383.45</v>
      </c>
      <c r="H7" s="218">
        <v>0.87460000000000004</v>
      </c>
      <c r="I7" s="218">
        <v>1.7461</v>
      </c>
      <c r="J7" s="218">
        <v>1.2827</v>
      </c>
      <c r="K7" s="218">
        <v>0.79790000000000005</v>
      </c>
      <c r="L7" s="214"/>
      <c r="M7" s="214"/>
      <c r="N7" s="214"/>
      <c r="O7" s="214"/>
      <c r="P7" s="214"/>
      <c r="Q7" s="214"/>
      <c r="R7" s="214"/>
      <c r="S7" s="214"/>
      <c r="T7" s="214"/>
      <c r="U7" s="214"/>
      <c r="V7" s="214"/>
      <c r="W7" s="214"/>
      <c r="X7" s="214"/>
    </row>
    <row r="8" spans="1:24" ht="15" customHeight="1">
      <c r="A8" s="83"/>
      <c r="B8" s="218">
        <v>-24.9</v>
      </c>
      <c r="C8" s="218">
        <v>1.07</v>
      </c>
      <c r="D8" s="218">
        <v>6.9999999999999999E-4</v>
      </c>
      <c r="E8" s="218">
        <v>0.18079999999999999</v>
      </c>
      <c r="F8" s="218">
        <v>167.32</v>
      </c>
      <c r="G8" s="218">
        <v>383.51</v>
      </c>
      <c r="H8" s="218">
        <v>0.87509999999999999</v>
      </c>
      <c r="I8" s="218">
        <v>1.746</v>
      </c>
      <c r="J8" s="218">
        <v>1.2828999999999999</v>
      </c>
      <c r="K8" s="218">
        <v>0.79830000000000001</v>
      </c>
      <c r="L8" s="214"/>
      <c r="M8" s="214"/>
      <c r="N8" s="214"/>
      <c r="O8" s="214"/>
      <c r="P8" s="214"/>
      <c r="Q8" s="214"/>
      <c r="R8" s="214"/>
      <c r="S8" s="214"/>
      <c r="T8" s="214"/>
      <c r="U8" s="214"/>
      <c r="V8" s="214"/>
      <c r="W8" s="214"/>
      <c r="X8" s="214"/>
    </row>
    <row r="9" spans="1:24" ht="15" customHeight="1">
      <c r="A9" s="83"/>
      <c r="B9" s="218">
        <v>-24.8</v>
      </c>
      <c r="C9" s="218">
        <v>1.07</v>
      </c>
      <c r="D9" s="218">
        <v>6.9999999999999999E-4</v>
      </c>
      <c r="E9" s="218">
        <v>0.18010000000000001</v>
      </c>
      <c r="F9" s="218">
        <v>167.45</v>
      </c>
      <c r="G9" s="218">
        <v>383.57</v>
      </c>
      <c r="H9" s="218">
        <v>0.87560000000000004</v>
      </c>
      <c r="I9" s="218">
        <v>1.7459</v>
      </c>
      <c r="J9" s="218">
        <v>1.2830999999999999</v>
      </c>
      <c r="K9" s="218">
        <v>0.79859999999999998</v>
      </c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</row>
    <row r="10" spans="1:24" ht="15" customHeight="1">
      <c r="A10" s="83"/>
      <c r="B10" s="218">
        <v>-24.7</v>
      </c>
      <c r="C10" s="218">
        <v>1.08</v>
      </c>
      <c r="D10" s="218">
        <v>6.9999999999999999E-4</v>
      </c>
      <c r="E10" s="218">
        <v>0.17929999999999999</v>
      </c>
      <c r="F10" s="218">
        <v>167.57</v>
      </c>
      <c r="G10" s="218">
        <v>383.64</v>
      </c>
      <c r="H10" s="218">
        <v>0.87609999999999999</v>
      </c>
      <c r="I10" s="218">
        <v>1.7458</v>
      </c>
      <c r="J10" s="218">
        <v>1.2833000000000001</v>
      </c>
      <c r="K10" s="218">
        <v>0.79900000000000004</v>
      </c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</row>
    <row r="11" spans="1:24" ht="15" customHeight="1">
      <c r="A11" s="83"/>
      <c r="B11" s="218">
        <v>-24.6</v>
      </c>
      <c r="C11" s="218">
        <v>1.08</v>
      </c>
      <c r="D11" s="218">
        <v>6.9999999999999999E-4</v>
      </c>
      <c r="E11" s="218">
        <v>0.17860000000000001</v>
      </c>
      <c r="F11" s="218">
        <v>167.7</v>
      </c>
      <c r="G11" s="218">
        <v>383.7</v>
      </c>
      <c r="H11" s="218">
        <v>0.87670000000000003</v>
      </c>
      <c r="I11" s="218">
        <v>1.7457</v>
      </c>
      <c r="J11" s="218">
        <v>1.2835000000000001</v>
      </c>
      <c r="K11" s="218">
        <v>0.79930000000000001</v>
      </c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</row>
    <row r="12" spans="1:24" ht="15" customHeight="1">
      <c r="A12" s="83"/>
      <c r="B12" s="218">
        <v>-24.5</v>
      </c>
      <c r="C12" s="218">
        <v>1.0900000000000001</v>
      </c>
      <c r="D12" s="218">
        <v>6.9999999999999999E-4</v>
      </c>
      <c r="E12" s="218">
        <v>0.17780000000000001</v>
      </c>
      <c r="F12" s="218">
        <v>167.83</v>
      </c>
      <c r="G12" s="218">
        <v>383.76</v>
      </c>
      <c r="H12" s="218">
        <v>0.87719999999999998</v>
      </c>
      <c r="I12" s="218">
        <v>1.7456</v>
      </c>
      <c r="J12" s="218">
        <v>1.2837000000000001</v>
      </c>
      <c r="K12" s="218">
        <v>0.79969999999999997</v>
      </c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</row>
    <row r="13" spans="1:24" ht="15" customHeight="1">
      <c r="A13" s="83"/>
      <c r="B13" s="218">
        <v>-24.4</v>
      </c>
      <c r="C13" s="218">
        <v>1.0900000000000001</v>
      </c>
      <c r="D13" s="218">
        <v>6.9999999999999999E-4</v>
      </c>
      <c r="E13" s="218">
        <v>0.17699999999999999</v>
      </c>
      <c r="F13" s="218">
        <v>167.96</v>
      </c>
      <c r="G13" s="218">
        <v>383.82</v>
      </c>
      <c r="H13" s="218">
        <v>0.87770000000000004</v>
      </c>
      <c r="I13" s="218">
        <v>1.7455000000000001</v>
      </c>
      <c r="J13" s="218">
        <v>1.2839</v>
      </c>
      <c r="K13" s="218">
        <v>0.8</v>
      </c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</row>
    <row r="14" spans="1:24" ht="15" customHeight="1">
      <c r="A14" s="83"/>
      <c r="B14" s="218">
        <v>-24.3</v>
      </c>
      <c r="C14" s="218">
        <v>1.1000000000000001</v>
      </c>
      <c r="D14" s="218">
        <v>6.9999999999999999E-4</v>
      </c>
      <c r="E14" s="218">
        <v>0.17630000000000001</v>
      </c>
      <c r="F14" s="218">
        <v>168.09</v>
      </c>
      <c r="G14" s="218">
        <v>383.89</v>
      </c>
      <c r="H14" s="218">
        <v>0.87819999999999998</v>
      </c>
      <c r="I14" s="218">
        <v>1.7454000000000001</v>
      </c>
      <c r="J14" s="218">
        <v>1.2841</v>
      </c>
      <c r="K14" s="218">
        <v>0.8004</v>
      </c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</row>
    <row r="15" spans="1:24" ht="15" customHeight="1">
      <c r="A15" s="83"/>
      <c r="B15" s="218">
        <v>-24.2</v>
      </c>
      <c r="C15" s="218">
        <v>1.1000000000000001</v>
      </c>
      <c r="D15" s="218">
        <v>6.9999999999999999E-4</v>
      </c>
      <c r="E15" s="218">
        <v>0.17549999999999999</v>
      </c>
      <c r="F15" s="218">
        <v>168.22</v>
      </c>
      <c r="G15" s="218">
        <v>383.95</v>
      </c>
      <c r="H15" s="218">
        <v>0.87870000000000004</v>
      </c>
      <c r="I15" s="218">
        <v>1.7453000000000001</v>
      </c>
      <c r="J15" s="218">
        <v>1.2843</v>
      </c>
      <c r="K15" s="218">
        <v>0.80069999999999997</v>
      </c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</row>
    <row r="16" spans="1:24" ht="15" customHeight="1">
      <c r="A16" s="83"/>
      <c r="B16" s="218">
        <v>-24.1</v>
      </c>
      <c r="C16" s="218">
        <v>1.1100000000000001</v>
      </c>
      <c r="D16" s="218">
        <v>6.9999999999999999E-4</v>
      </c>
      <c r="E16" s="218">
        <v>0.17480000000000001</v>
      </c>
      <c r="F16" s="218">
        <v>168.34</v>
      </c>
      <c r="G16" s="218">
        <v>384.01</v>
      </c>
      <c r="H16" s="218">
        <v>0.87919999999999998</v>
      </c>
      <c r="I16" s="218">
        <v>1.7452000000000001</v>
      </c>
      <c r="J16" s="218">
        <v>1.2845</v>
      </c>
      <c r="K16" s="218">
        <v>0.80110000000000003</v>
      </c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</row>
    <row r="17" spans="1:24" ht="15" customHeight="1">
      <c r="A17" s="83"/>
      <c r="B17" s="218">
        <v>-24</v>
      </c>
      <c r="C17" s="218">
        <v>1.1100000000000001</v>
      </c>
      <c r="D17" s="218">
        <v>6.9999999999999999E-4</v>
      </c>
      <c r="E17" s="218">
        <v>0.1741</v>
      </c>
      <c r="F17" s="218">
        <v>168.47</v>
      </c>
      <c r="G17" s="218">
        <v>384.07</v>
      </c>
      <c r="H17" s="218">
        <v>0.87980000000000003</v>
      </c>
      <c r="I17" s="218">
        <v>1.7451000000000001</v>
      </c>
      <c r="J17" s="218">
        <v>1.2847</v>
      </c>
      <c r="K17" s="218">
        <v>0.8014</v>
      </c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</row>
    <row r="18" spans="1:24" ht="15" customHeight="1">
      <c r="A18" s="83"/>
      <c r="B18" s="218">
        <v>-23.9</v>
      </c>
      <c r="C18" s="218">
        <v>1.1200000000000001</v>
      </c>
      <c r="D18" s="218">
        <v>6.9999999999999999E-4</v>
      </c>
      <c r="E18" s="218">
        <v>0.17330000000000001</v>
      </c>
      <c r="F18" s="218">
        <v>168.6</v>
      </c>
      <c r="G18" s="218">
        <v>384.13</v>
      </c>
      <c r="H18" s="218">
        <v>0.88029999999999997</v>
      </c>
      <c r="I18" s="218">
        <v>1.7450000000000001</v>
      </c>
      <c r="J18" s="218">
        <v>1.2848999999999999</v>
      </c>
      <c r="K18" s="218">
        <v>0.80179999999999996</v>
      </c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</row>
    <row r="19" spans="1:24" ht="15" customHeight="1">
      <c r="A19" s="83"/>
      <c r="B19" s="218">
        <v>-23.8</v>
      </c>
      <c r="C19" s="218">
        <v>1.1200000000000001</v>
      </c>
      <c r="D19" s="218">
        <v>6.9999999999999999E-4</v>
      </c>
      <c r="E19" s="218">
        <v>0.1726</v>
      </c>
      <c r="F19" s="218">
        <v>168.73</v>
      </c>
      <c r="G19" s="218">
        <v>384.2</v>
      </c>
      <c r="H19" s="218">
        <v>0.88080000000000003</v>
      </c>
      <c r="I19" s="218">
        <v>1.7448999999999999</v>
      </c>
      <c r="J19" s="218">
        <v>1.2850999999999999</v>
      </c>
      <c r="K19" s="218">
        <v>0.80210000000000004</v>
      </c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</row>
    <row r="20" spans="1:24" ht="15" customHeight="1">
      <c r="A20" s="83"/>
      <c r="B20" s="218">
        <v>-23.7</v>
      </c>
      <c r="C20" s="218">
        <v>1.1299999999999999</v>
      </c>
      <c r="D20" s="218">
        <v>6.9999999999999999E-4</v>
      </c>
      <c r="E20" s="218">
        <v>0.1719</v>
      </c>
      <c r="F20" s="218">
        <v>168.86</v>
      </c>
      <c r="G20" s="218">
        <v>384.26</v>
      </c>
      <c r="H20" s="218">
        <v>0.88129999999999997</v>
      </c>
      <c r="I20" s="218">
        <v>1.7447999999999999</v>
      </c>
      <c r="J20" s="218">
        <v>1.2853000000000001</v>
      </c>
      <c r="K20" s="218">
        <v>0.80249999999999999</v>
      </c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</row>
    <row r="21" spans="1:24" ht="15" customHeight="1">
      <c r="A21" s="83"/>
      <c r="B21" s="218">
        <v>-23.6</v>
      </c>
      <c r="C21" s="218">
        <v>1.1299999999999999</v>
      </c>
      <c r="D21" s="218">
        <v>6.9999999999999999E-4</v>
      </c>
      <c r="E21" s="218">
        <v>0.1711</v>
      </c>
      <c r="F21" s="218">
        <v>168.99</v>
      </c>
      <c r="G21" s="218">
        <v>384.32</v>
      </c>
      <c r="H21" s="218">
        <v>0.88180000000000003</v>
      </c>
      <c r="I21" s="218">
        <v>1.7446999999999999</v>
      </c>
      <c r="J21" s="218">
        <v>1.2855000000000001</v>
      </c>
      <c r="K21" s="218">
        <v>0.80279999999999996</v>
      </c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</row>
    <row r="22" spans="1:24" ht="15" customHeight="1">
      <c r="A22" s="83"/>
      <c r="B22" s="218">
        <v>-23.5</v>
      </c>
      <c r="C22" s="218">
        <v>1.1399999999999999</v>
      </c>
      <c r="D22" s="218">
        <v>6.9999999999999999E-4</v>
      </c>
      <c r="E22" s="218">
        <v>0.1704</v>
      </c>
      <c r="F22" s="218">
        <v>169.12</v>
      </c>
      <c r="G22" s="218">
        <v>384.38</v>
      </c>
      <c r="H22" s="218">
        <v>0.88229999999999997</v>
      </c>
      <c r="I22" s="218">
        <v>1.7445999999999999</v>
      </c>
      <c r="J22" s="218">
        <v>1.2857000000000001</v>
      </c>
      <c r="K22" s="218">
        <v>0.80320000000000003</v>
      </c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</row>
    <row r="23" spans="1:24" ht="15" customHeight="1">
      <c r="A23" s="83"/>
      <c r="B23" s="218">
        <v>-23.4</v>
      </c>
      <c r="C23" s="218">
        <v>1.1399999999999999</v>
      </c>
      <c r="D23" s="218">
        <v>6.9999999999999999E-4</v>
      </c>
      <c r="E23" s="218">
        <v>0.16969999999999999</v>
      </c>
      <c r="F23" s="218">
        <v>169.25</v>
      </c>
      <c r="G23" s="218">
        <v>384.45</v>
      </c>
      <c r="H23" s="218">
        <v>0.88280000000000003</v>
      </c>
      <c r="I23" s="218">
        <v>1.7444999999999999</v>
      </c>
      <c r="J23" s="218">
        <v>1.286</v>
      </c>
      <c r="K23" s="218">
        <v>0.80349999999999999</v>
      </c>
      <c r="L23" s="214"/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</row>
    <row r="24" spans="1:24" ht="15.75" customHeight="1">
      <c r="A24" s="83"/>
      <c r="B24" s="218">
        <v>-23.3</v>
      </c>
      <c r="C24" s="218">
        <v>1.1499999999999999</v>
      </c>
      <c r="D24" s="218">
        <v>6.9999999999999999E-4</v>
      </c>
      <c r="E24" s="218">
        <v>0.16900000000000001</v>
      </c>
      <c r="F24" s="218">
        <v>169.37</v>
      </c>
      <c r="G24" s="218">
        <v>384.51</v>
      </c>
      <c r="H24" s="218">
        <v>0.88339999999999996</v>
      </c>
      <c r="I24" s="218">
        <v>1.7444</v>
      </c>
      <c r="J24" s="218">
        <v>1.2862</v>
      </c>
      <c r="K24" s="218">
        <v>0.80389999999999995</v>
      </c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</row>
    <row r="25" spans="1:24" ht="15.75" customHeight="1">
      <c r="A25" s="83"/>
      <c r="B25" s="218">
        <v>-23.2</v>
      </c>
      <c r="C25" s="218">
        <v>1.1499999999999999</v>
      </c>
      <c r="D25" s="218">
        <v>6.9999999999999999E-4</v>
      </c>
      <c r="E25" s="218">
        <v>0.16830000000000001</v>
      </c>
      <c r="F25" s="218">
        <v>169.5</v>
      </c>
      <c r="G25" s="218">
        <v>384.57</v>
      </c>
      <c r="H25" s="218">
        <v>0.88390000000000002</v>
      </c>
      <c r="I25" s="218">
        <v>1.7443</v>
      </c>
      <c r="J25" s="218">
        <v>1.2864</v>
      </c>
      <c r="K25" s="218">
        <v>0.80430000000000001</v>
      </c>
      <c r="L25" s="214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</row>
    <row r="26" spans="1:24" ht="15.75" customHeight="1">
      <c r="A26" s="83"/>
      <c r="B26" s="218">
        <v>-23.1</v>
      </c>
      <c r="C26" s="218">
        <v>1.1599999999999999</v>
      </c>
      <c r="D26" s="218">
        <v>6.9999999999999999E-4</v>
      </c>
      <c r="E26" s="218">
        <v>0.1676</v>
      </c>
      <c r="F26" s="218">
        <v>169.63</v>
      </c>
      <c r="G26" s="218">
        <v>384.63</v>
      </c>
      <c r="H26" s="218">
        <v>0.88439999999999996</v>
      </c>
      <c r="I26" s="218">
        <v>1.7442</v>
      </c>
      <c r="J26" s="218">
        <v>1.2866</v>
      </c>
      <c r="K26" s="218">
        <v>0.80459999999999998</v>
      </c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</row>
    <row r="27" spans="1:24" ht="15.75" customHeight="1">
      <c r="A27" s="83"/>
      <c r="B27" s="218">
        <v>-23</v>
      </c>
      <c r="C27" s="218">
        <v>1.1599999999999999</v>
      </c>
      <c r="D27" s="218">
        <v>6.9999999999999999E-4</v>
      </c>
      <c r="E27" s="218">
        <v>0.16689999999999999</v>
      </c>
      <c r="F27" s="218">
        <v>169.76</v>
      </c>
      <c r="G27" s="218">
        <v>384.69</v>
      </c>
      <c r="H27" s="218">
        <v>0.88490000000000002</v>
      </c>
      <c r="I27" s="218">
        <v>1.7441</v>
      </c>
      <c r="J27" s="218">
        <v>1.2867999999999999</v>
      </c>
      <c r="K27" s="218">
        <v>0.80500000000000005</v>
      </c>
      <c r="L27" s="214"/>
      <c r="M27" s="214"/>
      <c r="N27" s="214"/>
      <c r="O27" s="214"/>
      <c r="P27" s="214"/>
      <c r="Q27" s="214"/>
      <c r="R27" s="214"/>
      <c r="S27" s="214"/>
      <c r="T27" s="214"/>
      <c r="U27" s="214"/>
      <c r="V27" s="214"/>
      <c r="W27" s="214"/>
      <c r="X27" s="214"/>
    </row>
    <row r="28" spans="1:24" ht="15.75" customHeight="1">
      <c r="A28" s="83"/>
      <c r="B28" s="218">
        <v>-22.9</v>
      </c>
      <c r="C28" s="218">
        <v>1.17</v>
      </c>
      <c r="D28" s="218">
        <v>6.9999999999999999E-4</v>
      </c>
      <c r="E28" s="218">
        <v>0.16619999999999999</v>
      </c>
      <c r="F28" s="218">
        <v>169.89</v>
      </c>
      <c r="G28" s="218">
        <v>384.76</v>
      </c>
      <c r="H28" s="218">
        <v>0.88539999999999996</v>
      </c>
      <c r="I28" s="218">
        <v>1.744</v>
      </c>
      <c r="J28" s="218">
        <v>1.2869999999999999</v>
      </c>
      <c r="K28" s="218">
        <v>0.80530000000000002</v>
      </c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</row>
    <row r="29" spans="1:24" ht="15.75" customHeight="1">
      <c r="A29" s="83"/>
      <c r="B29" s="218">
        <v>-22.8</v>
      </c>
      <c r="C29" s="218">
        <v>1.17</v>
      </c>
      <c r="D29" s="218">
        <v>6.9999999999999999E-4</v>
      </c>
      <c r="E29" s="218">
        <v>0.16550000000000001</v>
      </c>
      <c r="F29" s="218">
        <v>170.02</v>
      </c>
      <c r="G29" s="218">
        <v>384.82</v>
      </c>
      <c r="H29" s="218">
        <v>0.88590000000000002</v>
      </c>
      <c r="I29" s="218">
        <v>1.7439</v>
      </c>
      <c r="J29" s="218">
        <v>1.2871999999999999</v>
      </c>
      <c r="K29" s="218">
        <v>0.80569999999999997</v>
      </c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</row>
    <row r="30" spans="1:24" ht="15.75" customHeight="1">
      <c r="A30" s="83"/>
      <c r="B30" s="218">
        <v>-22.7</v>
      </c>
      <c r="C30" s="218">
        <v>1.18</v>
      </c>
      <c r="D30" s="218">
        <v>6.9999999999999999E-4</v>
      </c>
      <c r="E30" s="218">
        <v>0.1648</v>
      </c>
      <c r="F30" s="218">
        <v>170.15</v>
      </c>
      <c r="G30" s="218">
        <v>384.88</v>
      </c>
      <c r="H30" s="218">
        <v>0.88639999999999997</v>
      </c>
      <c r="I30" s="218">
        <v>1.7438</v>
      </c>
      <c r="J30" s="218">
        <v>1.2874000000000001</v>
      </c>
      <c r="K30" s="218">
        <v>0.80600000000000005</v>
      </c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</row>
    <row r="31" spans="1:24" ht="15.75" customHeight="1">
      <c r="A31" s="83"/>
      <c r="B31" s="218">
        <v>-22.6</v>
      </c>
      <c r="C31" s="218">
        <v>1.18</v>
      </c>
      <c r="D31" s="218">
        <v>6.9999999999999999E-4</v>
      </c>
      <c r="E31" s="218">
        <v>0.1641</v>
      </c>
      <c r="F31" s="218">
        <v>170.28</v>
      </c>
      <c r="G31" s="218">
        <v>384.94</v>
      </c>
      <c r="H31" s="218">
        <v>0.88690000000000002</v>
      </c>
      <c r="I31" s="218">
        <v>1.7437</v>
      </c>
      <c r="J31" s="218">
        <v>1.2876000000000001</v>
      </c>
      <c r="K31" s="218">
        <v>0.80640000000000001</v>
      </c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</row>
    <row r="32" spans="1:24" ht="15.75" customHeight="1">
      <c r="A32" s="83"/>
      <c r="B32" s="218">
        <v>-22.5</v>
      </c>
      <c r="C32" s="218">
        <v>1.19</v>
      </c>
      <c r="D32" s="218">
        <v>6.9999999999999999E-4</v>
      </c>
      <c r="E32" s="218">
        <v>0.16339999999999999</v>
      </c>
      <c r="F32" s="218">
        <v>170.41</v>
      </c>
      <c r="G32" s="218">
        <v>385.01</v>
      </c>
      <c r="H32" s="218">
        <v>0.88749999999999996</v>
      </c>
      <c r="I32" s="218">
        <v>1.7436</v>
      </c>
      <c r="J32" s="218">
        <v>1.2878000000000001</v>
      </c>
      <c r="K32" s="218">
        <v>0.80669999999999997</v>
      </c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</row>
    <row r="33" spans="1:24" ht="15.75" customHeight="1">
      <c r="A33" s="83"/>
      <c r="B33" s="218">
        <v>-22.4</v>
      </c>
      <c r="C33" s="218">
        <v>1.2</v>
      </c>
      <c r="D33" s="218">
        <v>6.9999999999999999E-4</v>
      </c>
      <c r="E33" s="218">
        <v>0.16270000000000001</v>
      </c>
      <c r="F33" s="218">
        <v>170.53</v>
      </c>
      <c r="G33" s="218">
        <v>385.07</v>
      </c>
      <c r="H33" s="218">
        <v>0.88800000000000001</v>
      </c>
      <c r="I33" s="218">
        <v>1.7435</v>
      </c>
      <c r="J33" s="218">
        <v>1.288</v>
      </c>
      <c r="K33" s="218">
        <v>0.80710000000000004</v>
      </c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</row>
    <row r="34" spans="1:24" ht="15.75" customHeight="1">
      <c r="A34" s="83"/>
      <c r="B34" s="218">
        <v>-22.3</v>
      </c>
      <c r="C34" s="218">
        <v>1.2</v>
      </c>
      <c r="D34" s="218">
        <v>6.9999999999999999E-4</v>
      </c>
      <c r="E34" s="218">
        <v>0.16209999999999999</v>
      </c>
      <c r="F34" s="218">
        <v>170.66</v>
      </c>
      <c r="G34" s="218">
        <v>385.13</v>
      </c>
      <c r="H34" s="218">
        <v>0.88849999999999996</v>
      </c>
      <c r="I34" s="218">
        <v>1.7434000000000001</v>
      </c>
      <c r="J34" s="218">
        <v>1.2882</v>
      </c>
      <c r="K34" s="218">
        <v>0.8075</v>
      </c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/>
    </row>
    <row r="35" spans="1:24" ht="15.75" customHeight="1">
      <c r="A35" s="83"/>
      <c r="B35" s="218">
        <v>-22.2</v>
      </c>
      <c r="C35" s="218">
        <v>1.21</v>
      </c>
      <c r="D35" s="218">
        <v>6.9999999999999999E-4</v>
      </c>
      <c r="E35" s="218">
        <v>0.16139999999999999</v>
      </c>
      <c r="F35" s="218">
        <v>170.79</v>
      </c>
      <c r="G35" s="218">
        <v>385.19</v>
      </c>
      <c r="H35" s="218">
        <v>0.88900000000000001</v>
      </c>
      <c r="I35" s="218">
        <v>1.7434000000000001</v>
      </c>
      <c r="J35" s="218">
        <v>1.2884</v>
      </c>
      <c r="K35" s="218">
        <v>0.80779999999999996</v>
      </c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</row>
    <row r="36" spans="1:24" ht="15.75" customHeight="1">
      <c r="A36" s="83"/>
      <c r="B36" s="218">
        <v>-22.1</v>
      </c>
      <c r="C36" s="218">
        <v>1.21</v>
      </c>
      <c r="D36" s="218">
        <v>6.9999999999999999E-4</v>
      </c>
      <c r="E36" s="218">
        <v>0.16070000000000001</v>
      </c>
      <c r="F36" s="218">
        <v>170.92</v>
      </c>
      <c r="G36" s="218">
        <v>385.25</v>
      </c>
      <c r="H36" s="218">
        <v>0.88949999999999996</v>
      </c>
      <c r="I36" s="218">
        <v>1.7433000000000001</v>
      </c>
      <c r="J36" s="218">
        <v>1.2886</v>
      </c>
      <c r="K36" s="218">
        <v>0.80820000000000003</v>
      </c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</row>
    <row r="37" spans="1:24" ht="15.75" customHeight="1">
      <c r="A37" s="83"/>
      <c r="B37" s="218">
        <v>-22</v>
      </c>
      <c r="C37" s="218">
        <v>1.22</v>
      </c>
      <c r="D37" s="218">
        <v>6.9999999999999999E-4</v>
      </c>
      <c r="E37" s="218">
        <v>0.16009999999999999</v>
      </c>
      <c r="F37" s="218">
        <v>171.05</v>
      </c>
      <c r="G37" s="218">
        <v>385.32</v>
      </c>
      <c r="H37" s="218">
        <v>0.89</v>
      </c>
      <c r="I37" s="218">
        <v>1.7432000000000001</v>
      </c>
      <c r="J37" s="218">
        <v>1.2887999999999999</v>
      </c>
      <c r="K37" s="218">
        <v>0.8085</v>
      </c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</row>
    <row r="38" spans="1:24" ht="15.75" customHeight="1">
      <c r="A38" s="83"/>
      <c r="B38" s="218">
        <v>-21.9</v>
      </c>
      <c r="C38" s="218">
        <v>1.22</v>
      </c>
      <c r="D38" s="218">
        <v>6.9999999999999999E-4</v>
      </c>
      <c r="E38" s="218">
        <v>0.15939999999999999</v>
      </c>
      <c r="F38" s="218">
        <v>171.18</v>
      </c>
      <c r="G38" s="218">
        <v>385.38</v>
      </c>
      <c r="H38" s="218">
        <v>0.89049999999999996</v>
      </c>
      <c r="I38" s="218">
        <v>1.7431000000000001</v>
      </c>
      <c r="J38" s="218">
        <v>1.2889999999999999</v>
      </c>
      <c r="K38" s="218">
        <v>0.80889999999999995</v>
      </c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</row>
    <row r="39" spans="1:24" ht="15.75" customHeight="1">
      <c r="A39" s="83"/>
      <c r="B39" s="218">
        <v>-21.8</v>
      </c>
      <c r="C39" s="218">
        <v>1.23</v>
      </c>
      <c r="D39" s="218">
        <v>6.9999999999999999E-4</v>
      </c>
      <c r="E39" s="218">
        <v>0.15870000000000001</v>
      </c>
      <c r="F39" s="218">
        <v>171.31</v>
      </c>
      <c r="G39" s="218">
        <v>385.44</v>
      </c>
      <c r="H39" s="218">
        <v>0.89100000000000001</v>
      </c>
      <c r="I39" s="218">
        <v>1.7430000000000001</v>
      </c>
      <c r="J39" s="218">
        <v>1.2892999999999999</v>
      </c>
      <c r="K39" s="218">
        <v>0.80930000000000002</v>
      </c>
      <c r="L39" s="214"/>
      <c r="M39" s="214"/>
      <c r="N39" s="214"/>
      <c r="O39" s="214"/>
      <c r="P39" s="214"/>
      <c r="Q39" s="214"/>
      <c r="R39" s="214"/>
      <c r="S39" s="214"/>
      <c r="T39" s="214"/>
      <c r="U39" s="214"/>
      <c r="V39" s="214"/>
      <c r="W39" s="214"/>
      <c r="X39" s="214"/>
    </row>
    <row r="40" spans="1:24" ht="15.75" customHeight="1">
      <c r="A40" s="83"/>
      <c r="B40" s="218">
        <v>-21.7</v>
      </c>
      <c r="C40" s="218">
        <v>1.23</v>
      </c>
      <c r="D40" s="218">
        <v>6.9999999999999999E-4</v>
      </c>
      <c r="E40" s="218">
        <v>0.15809999999999999</v>
      </c>
      <c r="F40" s="218">
        <v>171.44</v>
      </c>
      <c r="G40" s="218">
        <v>385.5</v>
      </c>
      <c r="H40" s="218">
        <v>0.89159999999999995</v>
      </c>
      <c r="I40" s="218">
        <v>1.7428999999999999</v>
      </c>
      <c r="J40" s="218">
        <v>1.2895000000000001</v>
      </c>
      <c r="K40" s="218">
        <v>0.80959999999999999</v>
      </c>
      <c r="L40" s="214"/>
      <c r="M40" s="214"/>
      <c r="N40" s="214"/>
      <c r="O40" s="214"/>
      <c r="P40" s="214"/>
      <c r="Q40" s="214"/>
      <c r="R40" s="214"/>
      <c r="S40" s="214"/>
      <c r="T40" s="214"/>
      <c r="U40" s="214"/>
      <c r="V40" s="214"/>
      <c r="W40" s="214"/>
      <c r="X40" s="214"/>
    </row>
    <row r="41" spans="1:24" ht="15.75" customHeight="1">
      <c r="A41" s="83"/>
      <c r="B41" s="218">
        <v>-21.6</v>
      </c>
      <c r="C41" s="218">
        <v>1.24</v>
      </c>
      <c r="D41" s="218">
        <v>6.9999999999999999E-4</v>
      </c>
      <c r="E41" s="218">
        <v>0.15740000000000001</v>
      </c>
      <c r="F41" s="218">
        <v>171.57</v>
      </c>
      <c r="G41" s="218">
        <v>385.56</v>
      </c>
      <c r="H41" s="218">
        <v>0.8921</v>
      </c>
      <c r="I41" s="218">
        <v>1.7427999999999999</v>
      </c>
      <c r="J41" s="218">
        <v>1.2897000000000001</v>
      </c>
      <c r="K41" s="218">
        <v>0.81</v>
      </c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/>
      <c r="X41" s="214"/>
    </row>
    <row r="42" spans="1:24" ht="15.75" customHeight="1">
      <c r="A42" s="83"/>
      <c r="B42" s="218">
        <v>-21.5</v>
      </c>
      <c r="C42" s="218">
        <v>1.24</v>
      </c>
      <c r="D42" s="218">
        <v>6.9999999999999999E-4</v>
      </c>
      <c r="E42" s="218">
        <v>0.15679999999999999</v>
      </c>
      <c r="F42" s="218">
        <v>171.7</v>
      </c>
      <c r="G42" s="218">
        <v>385.63</v>
      </c>
      <c r="H42" s="218">
        <v>0.89259999999999995</v>
      </c>
      <c r="I42" s="218">
        <v>1.7426999999999999</v>
      </c>
      <c r="J42" s="218">
        <v>1.2899</v>
      </c>
      <c r="K42" s="218">
        <v>0.81030000000000002</v>
      </c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214"/>
      <c r="W42" s="214"/>
      <c r="X42" s="214"/>
    </row>
    <row r="43" spans="1:24" ht="15.75" customHeight="1">
      <c r="A43" s="83"/>
      <c r="B43" s="218">
        <v>-21.4</v>
      </c>
      <c r="C43" s="218">
        <v>1.25</v>
      </c>
      <c r="D43" s="218">
        <v>6.9999999999999999E-4</v>
      </c>
      <c r="E43" s="218">
        <v>0.15609999999999999</v>
      </c>
      <c r="F43" s="218">
        <v>171.83</v>
      </c>
      <c r="G43" s="218">
        <v>385.69</v>
      </c>
      <c r="H43" s="218">
        <v>0.8931</v>
      </c>
      <c r="I43" s="218">
        <v>1.7425999999999999</v>
      </c>
      <c r="J43" s="218">
        <v>1.2901</v>
      </c>
      <c r="K43" s="218">
        <v>0.81069999999999998</v>
      </c>
      <c r="L43" s="214"/>
      <c r="M43" s="214"/>
      <c r="N43" s="214"/>
      <c r="O43" s="214"/>
      <c r="P43" s="214"/>
      <c r="Q43" s="214"/>
      <c r="R43" s="214"/>
      <c r="S43" s="214"/>
      <c r="T43" s="214"/>
      <c r="U43" s="214"/>
      <c r="V43" s="214"/>
      <c r="W43" s="214"/>
      <c r="X43" s="214"/>
    </row>
    <row r="44" spans="1:24" ht="15.75" customHeight="1">
      <c r="A44" s="83"/>
      <c r="B44" s="218">
        <v>-21.3</v>
      </c>
      <c r="C44" s="218">
        <v>1.25</v>
      </c>
      <c r="D44" s="218">
        <v>6.9999999999999999E-4</v>
      </c>
      <c r="E44" s="218">
        <v>0.1555</v>
      </c>
      <c r="F44" s="218">
        <v>171.95</v>
      </c>
      <c r="G44" s="218">
        <v>385.75</v>
      </c>
      <c r="H44" s="218">
        <v>0.89359999999999995</v>
      </c>
      <c r="I44" s="218">
        <v>1.7424999999999999</v>
      </c>
      <c r="J44" s="218">
        <v>1.2903</v>
      </c>
      <c r="K44" s="218">
        <v>0.81110000000000004</v>
      </c>
      <c r="L44" s="214"/>
      <c r="M44" s="214"/>
      <c r="N44" s="214"/>
      <c r="O44" s="214"/>
      <c r="P44" s="214"/>
      <c r="Q44" s="214"/>
      <c r="R44" s="214"/>
      <c r="S44" s="214"/>
      <c r="T44" s="214"/>
      <c r="U44" s="214"/>
      <c r="V44" s="214"/>
      <c r="W44" s="214"/>
      <c r="X44" s="214"/>
    </row>
    <row r="45" spans="1:24" ht="15.75" customHeight="1">
      <c r="A45" s="83"/>
      <c r="B45" s="218">
        <v>-21.2</v>
      </c>
      <c r="C45" s="218">
        <v>1.26</v>
      </c>
      <c r="D45" s="218">
        <v>6.9999999999999999E-4</v>
      </c>
      <c r="E45" s="218">
        <v>0.15479999999999999</v>
      </c>
      <c r="F45" s="218">
        <v>172.08</v>
      </c>
      <c r="G45" s="218">
        <v>385.81</v>
      </c>
      <c r="H45" s="218">
        <v>0.89410000000000001</v>
      </c>
      <c r="I45" s="218">
        <v>1.7423999999999999</v>
      </c>
      <c r="J45" s="218">
        <v>1.2905</v>
      </c>
      <c r="K45" s="218">
        <v>0.81140000000000001</v>
      </c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</row>
    <row r="46" spans="1:24" ht="15.75" customHeight="1">
      <c r="A46" s="83"/>
      <c r="B46" s="218">
        <v>-21.1</v>
      </c>
      <c r="C46" s="218">
        <v>1.27</v>
      </c>
      <c r="D46" s="218">
        <v>6.9999999999999999E-4</v>
      </c>
      <c r="E46" s="218">
        <v>0.1542</v>
      </c>
      <c r="F46" s="218">
        <v>172.21</v>
      </c>
      <c r="G46" s="218">
        <v>385.87</v>
      </c>
      <c r="H46" s="218">
        <v>0.89459999999999995</v>
      </c>
      <c r="I46" s="218">
        <v>1.7423</v>
      </c>
      <c r="J46" s="218">
        <v>1.2907</v>
      </c>
      <c r="K46" s="218">
        <v>0.81179999999999997</v>
      </c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</row>
    <row r="47" spans="1:24" ht="15.75" customHeight="1">
      <c r="A47" s="83"/>
      <c r="B47" s="218">
        <v>-21</v>
      </c>
      <c r="C47" s="218">
        <v>1.27</v>
      </c>
      <c r="D47" s="218">
        <v>6.9999999999999999E-4</v>
      </c>
      <c r="E47" s="218">
        <v>0.15359999999999999</v>
      </c>
      <c r="F47" s="218">
        <v>172.34</v>
      </c>
      <c r="G47" s="218">
        <v>385.94</v>
      </c>
      <c r="H47" s="218">
        <v>0.89510000000000001</v>
      </c>
      <c r="I47" s="218">
        <v>1.7422</v>
      </c>
      <c r="J47" s="218">
        <v>1.2908999999999999</v>
      </c>
      <c r="K47" s="218">
        <v>0.81220000000000003</v>
      </c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</row>
    <row r="48" spans="1:24" ht="15.75" customHeight="1">
      <c r="A48" s="83"/>
      <c r="B48" s="218">
        <v>-20.9</v>
      </c>
      <c r="C48" s="218">
        <v>1.28</v>
      </c>
      <c r="D48" s="218">
        <v>6.9999999999999999E-4</v>
      </c>
      <c r="E48" s="218">
        <v>0.15290000000000001</v>
      </c>
      <c r="F48" s="218">
        <v>172.47</v>
      </c>
      <c r="G48" s="218">
        <v>386</v>
      </c>
      <c r="H48" s="218">
        <v>0.89570000000000005</v>
      </c>
      <c r="I48" s="218">
        <v>1.7421</v>
      </c>
      <c r="J48" s="218">
        <v>1.2910999999999999</v>
      </c>
      <c r="K48" s="218">
        <v>0.8125</v>
      </c>
      <c r="L48" s="214"/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</row>
    <row r="49" spans="1:24" ht="15.75" customHeight="1">
      <c r="A49" s="83"/>
      <c r="B49" s="218">
        <v>-20.8</v>
      </c>
      <c r="C49" s="218">
        <v>1.28</v>
      </c>
      <c r="D49" s="218">
        <v>6.9999999999999999E-4</v>
      </c>
      <c r="E49" s="218">
        <v>0.15229999999999999</v>
      </c>
      <c r="F49" s="218">
        <v>172.6</v>
      </c>
      <c r="G49" s="218">
        <v>386.06</v>
      </c>
      <c r="H49" s="218">
        <v>0.8962</v>
      </c>
      <c r="I49" s="218">
        <v>1.742</v>
      </c>
      <c r="J49" s="218">
        <v>1.2914000000000001</v>
      </c>
      <c r="K49" s="218">
        <v>0.81289999999999996</v>
      </c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</row>
    <row r="50" spans="1:24" ht="15.75" customHeight="1">
      <c r="A50" s="83"/>
      <c r="B50" s="218">
        <v>-20.7</v>
      </c>
      <c r="C50" s="218">
        <v>1.29</v>
      </c>
      <c r="D50" s="218">
        <v>6.9999999999999999E-4</v>
      </c>
      <c r="E50" s="218">
        <v>0.1517</v>
      </c>
      <c r="F50" s="218">
        <v>172.73</v>
      </c>
      <c r="G50" s="218">
        <v>386.12</v>
      </c>
      <c r="H50" s="218">
        <v>0.89670000000000005</v>
      </c>
      <c r="I50" s="218">
        <v>1.742</v>
      </c>
      <c r="J50" s="218">
        <v>1.2916000000000001</v>
      </c>
      <c r="K50" s="218">
        <v>0.81320000000000003</v>
      </c>
      <c r="L50" s="214"/>
      <c r="M50" s="214"/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</row>
    <row r="51" spans="1:24" ht="15.75" customHeight="1">
      <c r="A51" s="83"/>
      <c r="B51" s="218">
        <v>-20.6</v>
      </c>
      <c r="C51" s="218">
        <v>1.29</v>
      </c>
      <c r="D51" s="218">
        <v>6.9999999999999999E-4</v>
      </c>
      <c r="E51" s="218">
        <v>0.15110000000000001</v>
      </c>
      <c r="F51" s="218">
        <v>172.86</v>
      </c>
      <c r="G51" s="218">
        <v>386.18</v>
      </c>
      <c r="H51" s="218">
        <v>0.8972</v>
      </c>
      <c r="I51" s="218">
        <v>1.7419</v>
      </c>
      <c r="J51" s="218">
        <v>1.2918000000000001</v>
      </c>
      <c r="K51" s="218">
        <v>0.81359999999999999</v>
      </c>
      <c r="L51" s="214"/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</row>
    <row r="52" spans="1:24" ht="15.75" customHeight="1">
      <c r="A52" s="83"/>
      <c r="B52" s="218">
        <v>-20.5</v>
      </c>
      <c r="C52" s="218">
        <v>1.3</v>
      </c>
      <c r="D52" s="218">
        <v>6.9999999999999999E-4</v>
      </c>
      <c r="E52" s="218">
        <v>0.15040000000000001</v>
      </c>
      <c r="F52" s="218">
        <v>172.99</v>
      </c>
      <c r="G52" s="218">
        <v>386.25</v>
      </c>
      <c r="H52" s="218">
        <v>0.89770000000000005</v>
      </c>
      <c r="I52" s="218">
        <v>1.7418</v>
      </c>
      <c r="J52" s="218">
        <v>1.292</v>
      </c>
      <c r="K52" s="218">
        <v>0.81399999999999995</v>
      </c>
      <c r="L52" s="214"/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</row>
    <row r="53" spans="1:24" ht="15.75" customHeight="1">
      <c r="A53" s="83"/>
      <c r="B53" s="218">
        <v>-20.399999999999999</v>
      </c>
      <c r="C53" s="218">
        <v>1.3</v>
      </c>
      <c r="D53" s="218">
        <v>6.9999999999999999E-4</v>
      </c>
      <c r="E53" s="218">
        <v>0.14979999999999999</v>
      </c>
      <c r="F53" s="218">
        <v>173.12</v>
      </c>
      <c r="G53" s="218">
        <v>386.31</v>
      </c>
      <c r="H53" s="218">
        <v>0.8982</v>
      </c>
      <c r="I53" s="218">
        <v>1.7417</v>
      </c>
      <c r="J53" s="218">
        <v>1.2922</v>
      </c>
      <c r="K53" s="218">
        <v>0.81430000000000002</v>
      </c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</row>
    <row r="54" spans="1:24" ht="15.75" customHeight="1">
      <c r="A54" s="83"/>
      <c r="B54" s="218">
        <v>-20.3</v>
      </c>
      <c r="C54" s="218">
        <v>1.31</v>
      </c>
      <c r="D54" s="218">
        <v>6.9999999999999999E-4</v>
      </c>
      <c r="E54" s="218">
        <v>0.1492</v>
      </c>
      <c r="F54" s="218">
        <v>173.25</v>
      </c>
      <c r="G54" s="218">
        <v>386.37</v>
      </c>
      <c r="H54" s="218">
        <v>0.89870000000000005</v>
      </c>
      <c r="I54" s="218">
        <v>1.7416</v>
      </c>
      <c r="J54" s="218">
        <v>1.2924</v>
      </c>
      <c r="K54" s="218">
        <v>0.81469999999999998</v>
      </c>
      <c r="L54" s="214"/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</row>
    <row r="55" spans="1:24" ht="15.75" customHeight="1">
      <c r="A55" s="83"/>
      <c r="B55" s="218">
        <v>-20.2</v>
      </c>
      <c r="C55" s="218">
        <v>1.32</v>
      </c>
      <c r="D55" s="218">
        <v>6.9999999999999999E-4</v>
      </c>
      <c r="E55" s="218">
        <v>0.14860000000000001</v>
      </c>
      <c r="F55" s="218">
        <v>173.38</v>
      </c>
      <c r="G55" s="218">
        <v>386.43</v>
      </c>
      <c r="H55" s="218">
        <v>0.8992</v>
      </c>
      <c r="I55" s="218">
        <v>1.7415</v>
      </c>
      <c r="J55" s="218">
        <v>1.2926</v>
      </c>
      <c r="K55" s="218">
        <v>0.81510000000000005</v>
      </c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</row>
    <row r="56" spans="1:24" ht="15.75" customHeight="1">
      <c r="A56" s="83"/>
      <c r="B56" s="218">
        <v>-20.100000000000001</v>
      </c>
      <c r="C56" s="218">
        <v>1.32</v>
      </c>
      <c r="D56" s="218">
        <v>6.9999999999999999E-4</v>
      </c>
      <c r="E56" s="218">
        <v>0.14799999999999999</v>
      </c>
      <c r="F56" s="218">
        <v>173.51</v>
      </c>
      <c r="G56" s="218">
        <v>386.49</v>
      </c>
      <c r="H56" s="218">
        <v>0.89970000000000006</v>
      </c>
      <c r="I56" s="218">
        <v>1.7414000000000001</v>
      </c>
      <c r="J56" s="218">
        <v>1.2927999999999999</v>
      </c>
      <c r="K56" s="218">
        <v>0.81540000000000001</v>
      </c>
      <c r="L56" s="214"/>
      <c r="M56" s="214"/>
      <c r="N56" s="214"/>
      <c r="O56" s="214"/>
      <c r="P56" s="214"/>
      <c r="Q56" s="214"/>
      <c r="R56" s="214"/>
      <c r="S56" s="214"/>
      <c r="T56" s="214"/>
      <c r="U56" s="214"/>
      <c r="V56" s="214"/>
      <c r="W56" s="214"/>
      <c r="X56" s="214"/>
    </row>
    <row r="57" spans="1:24" ht="15.75" customHeight="1">
      <c r="A57" s="83"/>
      <c r="B57" s="218">
        <v>-20</v>
      </c>
      <c r="C57" s="218">
        <v>1.33</v>
      </c>
      <c r="D57" s="218">
        <v>6.9999999999999999E-4</v>
      </c>
      <c r="E57" s="218">
        <v>0.1474</v>
      </c>
      <c r="F57" s="218">
        <v>173.64</v>
      </c>
      <c r="G57" s="218">
        <v>386.55</v>
      </c>
      <c r="H57" s="218">
        <v>0.9002</v>
      </c>
      <c r="I57" s="218">
        <v>1.7413000000000001</v>
      </c>
      <c r="J57" s="218">
        <v>1.2929999999999999</v>
      </c>
      <c r="K57" s="218">
        <v>0.81579999999999997</v>
      </c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</row>
    <row r="58" spans="1:24" ht="15.75" customHeight="1">
      <c r="A58" s="83"/>
      <c r="B58" s="218">
        <v>-19.899999999999999</v>
      </c>
      <c r="C58" s="218">
        <v>1.33</v>
      </c>
      <c r="D58" s="218">
        <v>6.9999999999999999E-4</v>
      </c>
      <c r="E58" s="218">
        <v>0.14680000000000001</v>
      </c>
      <c r="F58" s="218">
        <v>173.77</v>
      </c>
      <c r="G58" s="218">
        <v>386.62</v>
      </c>
      <c r="H58" s="218">
        <v>0.90080000000000005</v>
      </c>
      <c r="I58" s="218">
        <v>1.7412000000000001</v>
      </c>
      <c r="J58" s="218">
        <v>1.2932999999999999</v>
      </c>
      <c r="K58" s="218">
        <v>0.81620000000000004</v>
      </c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</row>
    <row r="59" spans="1:24" ht="15.75" customHeight="1">
      <c r="A59" s="83"/>
      <c r="B59" s="218">
        <v>-19.8</v>
      </c>
      <c r="C59" s="218">
        <v>1.34</v>
      </c>
      <c r="D59" s="218">
        <v>6.9999999999999999E-4</v>
      </c>
      <c r="E59" s="218">
        <v>0.1462</v>
      </c>
      <c r="F59" s="218">
        <v>173.89</v>
      </c>
      <c r="G59" s="218">
        <v>386.68</v>
      </c>
      <c r="H59" s="218">
        <v>0.90129999999999999</v>
      </c>
      <c r="I59" s="218">
        <v>1.7411000000000001</v>
      </c>
      <c r="J59" s="218">
        <v>1.2935000000000001</v>
      </c>
      <c r="K59" s="218">
        <v>0.8165</v>
      </c>
      <c r="L59" s="214"/>
      <c r="M59" s="214"/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</row>
    <row r="60" spans="1:24" ht="15.75" customHeight="1">
      <c r="A60" s="83"/>
      <c r="B60" s="218">
        <v>-19.7</v>
      </c>
      <c r="C60" s="218">
        <v>1.34</v>
      </c>
      <c r="D60" s="218">
        <v>6.9999999999999999E-4</v>
      </c>
      <c r="E60" s="218">
        <v>0.14560000000000001</v>
      </c>
      <c r="F60" s="218">
        <v>174.02</v>
      </c>
      <c r="G60" s="218">
        <v>386.74</v>
      </c>
      <c r="H60" s="218">
        <v>0.90180000000000005</v>
      </c>
      <c r="I60" s="218">
        <v>1.7411000000000001</v>
      </c>
      <c r="J60" s="218">
        <v>1.2937000000000001</v>
      </c>
      <c r="K60" s="218">
        <v>0.81689999999999996</v>
      </c>
      <c r="L60" s="214"/>
      <c r="M60" s="214"/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</row>
    <row r="61" spans="1:24" ht="15.75" customHeight="1">
      <c r="A61" s="83"/>
      <c r="B61" s="218">
        <v>-19.600000000000001</v>
      </c>
      <c r="C61" s="218">
        <v>1.35</v>
      </c>
      <c r="D61" s="218">
        <v>6.9999999999999999E-4</v>
      </c>
      <c r="E61" s="218">
        <v>0.14499999999999999</v>
      </c>
      <c r="F61" s="218">
        <v>174.15</v>
      </c>
      <c r="G61" s="218">
        <v>386.8</v>
      </c>
      <c r="H61" s="218">
        <v>0.90229999999999999</v>
      </c>
      <c r="I61" s="218">
        <v>1.7410000000000001</v>
      </c>
      <c r="J61" s="218">
        <v>1.2939000000000001</v>
      </c>
      <c r="K61" s="218">
        <v>0.81730000000000003</v>
      </c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</row>
    <row r="62" spans="1:24" ht="15.75" customHeight="1">
      <c r="A62" s="83"/>
      <c r="B62" s="218">
        <v>-19.5</v>
      </c>
      <c r="C62" s="218">
        <v>1.36</v>
      </c>
      <c r="D62" s="218">
        <v>6.9999999999999999E-4</v>
      </c>
      <c r="E62" s="218">
        <v>0.1444</v>
      </c>
      <c r="F62" s="218">
        <v>174.28</v>
      </c>
      <c r="G62" s="218">
        <v>386.86</v>
      </c>
      <c r="H62" s="218">
        <v>0.90280000000000005</v>
      </c>
      <c r="I62" s="218">
        <v>1.7408999999999999</v>
      </c>
      <c r="J62" s="218">
        <v>1.2941</v>
      </c>
      <c r="K62" s="218">
        <v>0.81759999999999999</v>
      </c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</row>
    <row r="63" spans="1:24" ht="15.75" customHeight="1">
      <c r="A63" s="83"/>
      <c r="B63" s="218">
        <v>-19.399999999999999</v>
      </c>
      <c r="C63" s="218">
        <v>1.36</v>
      </c>
      <c r="D63" s="218">
        <v>6.9999999999999999E-4</v>
      </c>
      <c r="E63" s="218">
        <v>0.14380000000000001</v>
      </c>
      <c r="F63" s="218">
        <v>174.41</v>
      </c>
      <c r="G63" s="218">
        <v>386.92</v>
      </c>
      <c r="H63" s="218">
        <v>0.90329999999999999</v>
      </c>
      <c r="I63" s="218">
        <v>1.7407999999999999</v>
      </c>
      <c r="J63" s="218">
        <v>1.2943</v>
      </c>
      <c r="K63" s="218">
        <v>0.81799999999999995</v>
      </c>
      <c r="L63" s="214"/>
      <c r="M63" s="214"/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</row>
    <row r="64" spans="1:24" ht="15.75" customHeight="1">
      <c r="A64" s="83"/>
      <c r="B64" s="218">
        <v>-19.3</v>
      </c>
      <c r="C64" s="218">
        <v>1.37</v>
      </c>
      <c r="D64" s="218">
        <v>6.9999999999999999E-4</v>
      </c>
      <c r="E64" s="218">
        <v>0.14330000000000001</v>
      </c>
      <c r="F64" s="218">
        <v>174.54</v>
      </c>
      <c r="G64" s="218">
        <v>386.99</v>
      </c>
      <c r="H64" s="218">
        <v>0.90380000000000005</v>
      </c>
      <c r="I64" s="218">
        <v>1.7406999999999999</v>
      </c>
      <c r="J64" s="218">
        <v>1.2945</v>
      </c>
      <c r="K64" s="218">
        <v>0.81840000000000002</v>
      </c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</row>
    <row r="65" spans="1:24" ht="15.75" customHeight="1">
      <c r="A65" s="83"/>
      <c r="B65" s="218">
        <v>-19.2</v>
      </c>
      <c r="C65" s="218">
        <v>1.37</v>
      </c>
      <c r="D65" s="218">
        <v>6.9999999999999999E-4</v>
      </c>
      <c r="E65" s="218">
        <v>0.14269999999999999</v>
      </c>
      <c r="F65" s="218">
        <v>174.67</v>
      </c>
      <c r="G65" s="218">
        <v>387.05</v>
      </c>
      <c r="H65" s="218">
        <v>0.90429999999999999</v>
      </c>
      <c r="I65" s="218">
        <v>1.7405999999999999</v>
      </c>
      <c r="J65" s="218">
        <v>1.2948</v>
      </c>
      <c r="K65" s="218">
        <v>0.81869999999999998</v>
      </c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</row>
    <row r="66" spans="1:24" ht="15.75" customHeight="1">
      <c r="A66" s="83"/>
      <c r="B66" s="218">
        <v>-19.100000000000001</v>
      </c>
      <c r="C66" s="218">
        <v>1.38</v>
      </c>
      <c r="D66" s="218">
        <v>6.9999999999999999E-4</v>
      </c>
      <c r="E66" s="218">
        <v>0.1421</v>
      </c>
      <c r="F66" s="218">
        <v>174.8</v>
      </c>
      <c r="G66" s="218">
        <v>387.11</v>
      </c>
      <c r="H66" s="218">
        <v>0.90480000000000005</v>
      </c>
      <c r="I66" s="218">
        <v>1.7404999999999999</v>
      </c>
      <c r="J66" s="218">
        <v>1.2949999999999999</v>
      </c>
      <c r="K66" s="218">
        <v>0.81910000000000005</v>
      </c>
      <c r="L66" s="214"/>
      <c r="M66" s="214"/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</row>
    <row r="67" spans="1:24" ht="15.75" customHeight="1">
      <c r="A67" s="83"/>
      <c r="B67" s="218">
        <v>-19</v>
      </c>
      <c r="C67" s="218">
        <v>1.39</v>
      </c>
      <c r="D67" s="218">
        <v>6.9999999999999999E-4</v>
      </c>
      <c r="E67" s="218">
        <v>0.14149999999999999</v>
      </c>
      <c r="F67" s="218">
        <v>174.93</v>
      </c>
      <c r="G67" s="218">
        <v>387.17</v>
      </c>
      <c r="H67" s="218">
        <v>0.90529999999999999</v>
      </c>
      <c r="I67" s="218">
        <v>1.7403999999999999</v>
      </c>
      <c r="J67" s="218">
        <v>1.2951999999999999</v>
      </c>
      <c r="K67" s="218">
        <v>0.81950000000000001</v>
      </c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</row>
    <row r="68" spans="1:24" ht="15.75" customHeight="1">
      <c r="A68" s="83"/>
      <c r="B68" s="218">
        <v>-18.899999999999999</v>
      </c>
      <c r="C68" s="218">
        <v>1.39</v>
      </c>
      <c r="D68" s="218">
        <v>6.9999999999999999E-4</v>
      </c>
      <c r="E68" s="218">
        <v>0.1409</v>
      </c>
      <c r="F68" s="218">
        <v>175.06</v>
      </c>
      <c r="G68" s="218">
        <v>387.23</v>
      </c>
      <c r="H68" s="218">
        <v>0.90580000000000005</v>
      </c>
      <c r="I68" s="218">
        <v>1.7403</v>
      </c>
      <c r="J68" s="218">
        <v>1.2954000000000001</v>
      </c>
      <c r="K68" s="218">
        <v>0.81979999999999997</v>
      </c>
      <c r="L68" s="214"/>
      <c r="M68" s="214"/>
      <c r="N68" s="214"/>
      <c r="O68" s="214"/>
      <c r="P68" s="214"/>
      <c r="Q68" s="214"/>
      <c r="R68" s="214"/>
      <c r="S68" s="214"/>
      <c r="T68" s="214"/>
      <c r="U68" s="214"/>
      <c r="V68" s="214"/>
      <c r="W68" s="214"/>
      <c r="X68" s="214"/>
    </row>
    <row r="69" spans="1:24" ht="15.75" customHeight="1">
      <c r="A69" s="83"/>
      <c r="B69" s="218">
        <v>-18.8</v>
      </c>
      <c r="C69" s="218">
        <v>1.4</v>
      </c>
      <c r="D69" s="218">
        <v>6.9999999999999999E-4</v>
      </c>
      <c r="E69" s="218">
        <v>0.1404</v>
      </c>
      <c r="F69" s="218">
        <v>175.19</v>
      </c>
      <c r="G69" s="218">
        <v>387.3</v>
      </c>
      <c r="H69" s="218">
        <v>0.90639999999999998</v>
      </c>
      <c r="I69" s="218">
        <v>1.7403</v>
      </c>
      <c r="J69" s="218">
        <v>1.2956000000000001</v>
      </c>
      <c r="K69" s="218">
        <v>0.82020000000000004</v>
      </c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</row>
    <row r="70" spans="1:24" ht="15.75" customHeight="1">
      <c r="A70" s="83"/>
      <c r="B70" s="218">
        <v>-18.7</v>
      </c>
      <c r="C70" s="218">
        <v>1.4</v>
      </c>
      <c r="D70" s="218">
        <v>6.9999999999999999E-4</v>
      </c>
      <c r="E70" s="218">
        <v>0.13980000000000001</v>
      </c>
      <c r="F70" s="218">
        <v>175.32</v>
      </c>
      <c r="G70" s="218">
        <v>387.36</v>
      </c>
      <c r="H70" s="218">
        <v>0.90690000000000004</v>
      </c>
      <c r="I70" s="218">
        <v>1.7402</v>
      </c>
      <c r="J70" s="218">
        <v>1.2958000000000001</v>
      </c>
      <c r="K70" s="218">
        <v>0.8206</v>
      </c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</row>
    <row r="71" spans="1:24" ht="15.75" customHeight="1">
      <c r="A71" s="83"/>
      <c r="B71" s="218">
        <v>-18.600000000000001</v>
      </c>
      <c r="C71" s="218">
        <v>1.41</v>
      </c>
      <c r="D71" s="218">
        <v>6.9999999999999999E-4</v>
      </c>
      <c r="E71" s="218">
        <v>0.13919999999999999</v>
      </c>
      <c r="F71" s="218">
        <v>175.45</v>
      </c>
      <c r="G71" s="218">
        <v>387.42</v>
      </c>
      <c r="H71" s="218">
        <v>0.90739999999999998</v>
      </c>
      <c r="I71" s="218">
        <v>1.7401</v>
      </c>
      <c r="J71" s="218">
        <v>1.296</v>
      </c>
      <c r="K71" s="218">
        <v>0.82099999999999995</v>
      </c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</row>
    <row r="72" spans="1:24" ht="15.75" customHeight="1">
      <c r="A72" s="83"/>
      <c r="B72" s="218">
        <v>-18.5</v>
      </c>
      <c r="C72" s="218">
        <v>1.42</v>
      </c>
      <c r="D72" s="218">
        <v>6.9999999999999999E-4</v>
      </c>
      <c r="E72" s="218">
        <v>0.13869999999999999</v>
      </c>
      <c r="F72" s="218">
        <v>175.58</v>
      </c>
      <c r="G72" s="218">
        <v>387.48</v>
      </c>
      <c r="H72" s="218">
        <v>0.90790000000000004</v>
      </c>
      <c r="I72" s="218">
        <v>1.74</v>
      </c>
      <c r="J72" s="218">
        <v>1.2963</v>
      </c>
      <c r="K72" s="218">
        <v>0.82130000000000003</v>
      </c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</row>
    <row r="73" spans="1:24" ht="15.75" customHeight="1">
      <c r="A73" s="83"/>
      <c r="B73" s="218">
        <v>-18.399999999999999</v>
      </c>
      <c r="C73" s="218">
        <v>1.42</v>
      </c>
      <c r="D73" s="218">
        <v>6.9999999999999999E-4</v>
      </c>
      <c r="E73" s="218">
        <v>0.1381</v>
      </c>
      <c r="F73" s="218">
        <v>175.71</v>
      </c>
      <c r="G73" s="218">
        <v>387.54</v>
      </c>
      <c r="H73" s="218">
        <v>0.90839999999999999</v>
      </c>
      <c r="I73" s="218">
        <v>1.7399</v>
      </c>
      <c r="J73" s="218">
        <v>1.2965</v>
      </c>
      <c r="K73" s="218">
        <v>0.82169999999999999</v>
      </c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</row>
    <row r="74" spans="1:24" ht="15.75" customHeight="1">
      <c r="A74" s="83"/>
      <c r="B74" s="218">
        <v>-18.3</v>
      </c>
      <c r="C74" s="218">
        <v>1.43</v>
      </c>
      <c r="D74" s="218">
        <v>6.9999999999999999E-4</v>
      </c>
      <c r="E74" s="218">
        <v>0.1376</v>
      </c>
      <c r="F74" s="218">
        <v>175.84</v>
      </c>
      <c r="G74" s="218">
        <v>387.6</v>
      </c>
      <c r="H74" s="218">
        <v>0.90890000000000004</v>
      </c>
      <c r="I74" s="218">
        <v>1.7398</v>
      </c>
      <c r="J74" s="218">
        <v>1.2967</v>
      </c>
      <c r="K74" s="218">
        <v>0.82210000000000005</v>
      </c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</row>
    <row r="75" spans="1:24" ht="15.75" customHeight="1">
      <c r="A75" s="83"/>
      <c r="B75" s="218">
        <v>-18.2</v>
      </c>
      <c r="C75" s="218">
        <v>1.43</v>
      </c>
      <c r="D75" s="218">
        <v>6.9999999999999999E-4</v>
      </c>
      <c r="E75" s="218">
        <v>0.13700000000000001</v>
      </c>
      <c r="F75" s="218">
        <v>175.97</v>
      </c>
      <c r="G75" s="218">
        <v>387.66</v>
      </c>
      <c r="H75" s="218">
        <v>0.90939999999999999</v>
      </c>
      <c r="I75" s="218">
        <v>1.7397</v>
      </c>
      <c r="J75" s="218">
        <v>1.2968999999999999</v>
      </c>
      <c r="K75" s="218">
        <v>0.82250000000000001</v>
      </c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</row>
    <row r="76" spans="1:24" ht="15.75" customHeight="1">
      <c r="A76" s="83"/>
      <c r="B76" s="218">
        <v>-18.100000000000001</v>
      </c>
      <c r="C76" s="218">
        <v>1.44</v>
      </c>
      <c r="D76" s="218">
        <v>6.9999999999999999E-4</v>
      </c>
      <c r="E76" s="218">
        <v>0.13650000000000001</v>
      </c>
      <c r="F76" s="218">
        <v>176.1</v>
      </c>
      <c r="G76" s="218">
        <v>387.73</v>
      </c>
      <c r="H76" s="218">
        <v>0.90990000000000004</v>
      </c>
      <c r="I76" s="218">
        <v>1.7397</v>
      </c>
      <c r="J76" s="218">
        <v>1.2970999999999999</v>
      </c>
      <c r="K76" s="218">
        <v>0.82279999999999998</v>
      </c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</row>
    <row r="77" spans="1:24" ht="15.75" customHeight="1">
      <c r="A77" s="83"/>
      <c r="B77" s="218">
        <v>-18</v>
      </c>
      <c r="C77" s="218">
        <v>1.45</v>
      </c>
      <c r="D77" s="218">
        <v>6.9999999999999999E-4</v>
      </c>
      <c r="E77" s="218">
        <v>0.13589999999999999</v>
      </c>
      <c r="F77" s="218">
        <v>176.23</v>
      </c>
      <c r="G77" s="218">
        <v>387.79</v>
      </c>
      <c r="H77" s="218">
        <v>0.91039999999999999</v>
      </c>
      <c r="I77" s="218">
        <v>1.7396</v>
      </c>
      <c r="J77" s="218">
        <v>1.2972999999999999</v>
      </c>
      <c r="K77" s="218">
        <v>0.82320000000000004</v>
      </c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</row>
    <row r="78" spans="1:24" ht="15.75" customHeight="1">
      <c r="A78" s="83"/>
      <c r="B78" s="218">
        <v>-17.899999999999999</v>
      </c>
      <c r="C78" s="218">
        <v>1.45</v>
      </c>
      <c r="D78" s="218">
        <v>6.9999999999999999E-4</v>
      </c>
      <c r="E78" s="218">
        <v>0.13539999999999999</v>
      </c>
      <c r="F78" s="218">
        <v>176.36</v>
      </c>
      <c r="G78" s="218">
        <v>387.85</v>
      </c>
      <c r="H78" s="218">
        <v>0.91090000000000004</v>
      </c>
      <c r="I78" s="218">
        <v>1.7395</v>
      </c>
      <c r="J78" s="218">
        <v>1.2976000000000001</v>
      </c>
      <c r="K78" s="218">
        <v>0.8236</v>
      </c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</row>
    <row r="79" spans="1:24" ht="15.75" customHeight="1">
      <c r="A79" s="83"/>
      <c r="B79" s="218">
        <v>-17.8</v>
      </c>
      <c r="C79" s="218">
        <v>1.46</v>
      </c>
      <c r="D79" s="218">
        <v>6.9999999999999999E-4</v>
      </c>
      <c r="E79" s="218">
        <v>0.1348</v>
      </c>
      <c r="F79" s="218">
        <v>176.49</v>
      </c>
      <c r="G79" s="218">
        <v>387.91</v>
      </c>
      <c r="H79" s="218">
        <v>0.91139999999999999</v>
      </c>
      <c r="I79" s="218">
        <v>1.7394000000000001</v>
      </c>
      <c r="J79" s="218">
        <v>1.2978000000000001</v>
      </c>
      <c r="K79" s="218">
        <v>0.82389999999999997</v>
      </c>
      <c r="L79" s="214"/>
      <c r="M79" s="214"/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</row>
    <row r="80" spans="1:24" ht="15.75" customHeight="1">
      <c r="A80" s="83"/>
      <c r="B80" s="218">
        <v>-17.7</v>
      </c>
      <c r="C80" s="218">
        <v>1.46</v>
      </c>
      <c r="D80" s="218">
        <v>6.9999999999999999E-4</v>
      </c>
      <c r="E80" s="218">
        <v>0.1343</v>
      </c>
      <c r="F80" s="218">
        <v>176.62</v>
      </c>
      <c r="G80" s="218">
        <v>387.97</v>
      </c>
      <c r="H80" s="218">
        <v>0.91190000000000004</v>
      </c>
      <c r="I80" s="218">
        <v>1.7393000000000001</v>
      </c>
      <c r="J80" s="218">
        <v>1.298</v>
      </c>
      <c r="K80" s="218">
        <v>0.82430000000000003</v>
      </c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</row>
    <row r="81" spans="1:24" ht="15.75" customHeight="1">
      <c r="A81" s="83"/>
      <c r="B81" s="218">
        <v>-17.600000000000001</v>
      </c>
      <c r="C81" s="218">
        <v>1.47</v>
      </c>
      <c r="D81" s="218">
        <v>6.9999999999999999E-4</v>
      </c>
      <c r="E81" s="218">
        <v>0.1338</v>
      </c>
      <c r="F81" s="218">
        <v>176.75</v>
      </c>
      <c r="G81" s="218">
        <v>388.03</v>
      </c>
      <c r="H81" s="218">
        <v>0.91239999999999999</v>
      </c>
      <c r="I81" s="218">
        <v>1.7392000000000001</v>
      </c>
      <c r="J81" s="218">
        <v>1.2982</v>
      </c>
      <c r="K81" s="218">
        <v>0.82469999999999999</v>
      </c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</row>
    <row r="82" spans="1:24" ht="15.75" customHeight="1">
      <c r="A82" s="83"/>
      <c r="B82" s="218">
        <v>-17.5</v>
      </c>
      <c r="C82" s="218">
        <v>1.48</v>
      </c>
      <c r="D82" s="218">
        <v>6.9999999999999999E-4</v>
      </c>
      <c r="E82" s="218">
        <v>0.13320000000000001</v>
      </c>
      <c r="F82" s="218">
        <v>176.88</v>
      </c>
      <c r="G82" s="218">
        <v>388.1</v>
      </c>
      <c r="H82" s="218">
        <v>0.91300000000000003</v>
      </c>
      <c r="I82" s="218">
        <v>1.7391000000000001</v>
      </c>
      <c r="J82" s="218">
        <v>1.2984</v>
      </c>
      <c r="K82" s="218">
        <v>0.82509999999999994</v>
      </c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</row>
    <row r="83" spans="1:24" ht="15.75" customHeight="1">
      <c r="A83" s="83"/>
      <c r="B83" s="218">
        <v>-17.399999999999999</v>
      </c>
      <c r="C83" s="218">
        <v>1.48</v>
      </c>
      <c r="D83" s="218">
        <v>6.9999999999999999E-4</v>
      </c>
      <c r="E83" s="218">
        <v>0.13270000000000001</v>
      </c>
      <c r="F83" s="218">
        <v>177.01</v>
      </c>
      <c r="G83" s="218">
        <v>388.16</v>
      </c>
      <c r="H83" s="218">
        <v>0.91349999999999998</v>
      </c>
      <c r="I83" s="218">
        <v>1.7391000000000001</v>
      </c>
      <c r="J83" s="218">
        <v>1.2987</v>
      </c>
      <c r="K83" s="218">
        <v>0.82540000000000002</v>
      </c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</row>
    <row r="84" spans="1:24" ht="15.75" customHeight="1">
      <c r="A84" s="83"/>
      <c r="B84" s="218">
        <v>-17.3</v>
      </c>
      <c r="C84" s="218">
        <v>1.49</v>
      </c>
      <c r="D84" s="218">
        <v>6.9999999999999999E-4</v>
      </c>
      <c r="E84" s="218">
        <v>0.13220000000000001</v>
      </c>
      <c r="F84" s="218">
        <v>177.14</v>
      </c>
      <c r="G84" s="218">
        <v>388.22</v>
      </c>
      <c r="H84" s="218">
        <v>0.91400000000000003</v>
      </c>
      <c r="I84" s="218">
        <v>1.7390000000000001</v>
      </c>
      <c r="J84" s="218">
        <v>1.2988999999999999</v>
      </c>
      <c r="K84" s="218">
        <v>0.82579999999999998</v>
      </c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</row>
    <row r="85" spans="1:24" ht="15.75" customHeight="1">
      <c r="A85" s="83"/>
      <c r="B85" s="218">
        <v>-17.2</v>
      </c>
      <c r="C85" s="218">
        <v>1.5</v>
      </c>
      <c r="D85" s="218">
        <v>6.9999999999999999E-4</v>
      </c>
      <c r="E85" s="218">
        <v>0.13159999999999999</v>
      </c>
      <c r="F85" s="218">
        <v>177.27</v>
      </c>
      <c r="G85" s="218">
        <v>388.28</v>
      </c>
      <c r="H85" s="218">
        <v>0.91449999999999998</v>
      </c>
      <c r="I85" s="218">
        <v>1.7388999999999999</v>
      </c>
      <c r="J85" s="218">
        <v>1.2990999999999999</v>
      </c>
      <c r="K85" s="218">
        <v>0.82620000000000005</v>
      </c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</row>
    <row r="86" spans="1:24" ht="15.75" customHeight="1">
      <c r="A86" s="83"/>
      <c r="B86" s="218">
        <v>-17.100000000000001</v>
      </c>
      <c r="C86" s="218">
        <v>1.5</v>
      </c>
      <c r="D86" s="218">
        <v>6.9999999999999999E-4</v>
      </c>
      <c r="E86" s="218">
        <v>0.13109999999999999</v>
      </c>
      <c r="F86" s="218">
        <v>177.4</v>
      </c>
      <c r="G86" s="218">
        <v>388.34</v>
      </c>
      <c r="H86" s="218">
        <v>0.91500000000000004</v>
      </c>
      <c r="I86" s="218">
        <v>1.7387999999999999</v>
      </c>
      <c r="J86" s="218">
        <v>1.2992999999999999</v>
      </c>
      <c r="K86" s="218">
        <v>0.8266</v>
      </c>
      <c r="L86" s="214"/>
      <c r="M86" s="214"/>
      <c r="N86" s="214"/>
      <c r="O86" s="214"/>
      <c r="P86" s="214"/>
      <c r="Q86" s="214"/>
      <c r="R86" s="214"/>
      <c r="S86" s="214"/>
      <c r="T86" s="214"/>
      <c r="U86" s="214"/>
      <c r="V86" s="214"/>
      <c r="W86" s="214"/>
      <c r="X86" s="214"/>
    </row>
    <row r="87" spans="1:24" ht="15.75" customHeight="1">
      <c r="A87" s="83"/>
      <c r="B87" s="218">
        <v>-17</v>
      </c>
      <c r="C87" s="218">
        <v>1.51</v>
      </c>
      <c r="D87" s="218">
        <v>6.9999999999999999E-4</v>
      </c>
      <c r="E87" s="218">
        <v>0.13059999999999999</v>
      </c>
      <c r="F87" s="218">
        <v>177.53</v>
      </c>
      <c r="G87" s="218">
        <v>388.4</v>
      </c>
      <c r="H87" s="218">
        <v>0.91549999999999998</v>
      </c>
      <c r="I87" s="218">
        <v>1.7386999999999999</v>
      </c>
      <c r="J87" s="218">
        <v>1.2995000000000001</v>
      </c>
      <c r="K87" s="218">
        <v>0.82699999999999996</v>
      </c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</row>
    <row r="88" spans="1:24" ht="15.75" customHeight="1">
      <c r="A88" s="83"/>
      <c r="B88" s="218">
        <v>-16.899999999999999</v>
      </c>
      <c r="C88" s="218">
        <v>1.51</v>
      </c>
      <c r="D88" s="218">
        <v>6.9999999999999999E-4</v>
      </c>
      <c r="E88" s="218">
        <v>0.13009999999999999</v>
      </c>
      <c r="F88" s="218">
        <v>177.66</v>
      </c>
      <c r="G88" s="218">
        <v>388.46</v>
      </c>
      <c r="H88" s="218">
        <v>0.91600000000000004</v>
      </c>
      <c r="I88" s="218">
        <v>1.7385999999999999</v>
      </c>
      <c r="J88" s="218">
        <v>1.2998000000000001</v>
      </c>
      <c r="K88" s="218">
        <v>0.82730000000000004</v>
      </c>
      <c r="L88" s="214"/>
      <c r="M88" s="214"/>
      <c r="N88" s="214"/>
      <c r="O88" s="214"/>
      <c r="P88" s="214"/>
      <c r="Q88" s="214"/>
      <c r="R88" s="214"/>
      <c r="S88" s="214"/>
      <c r="T88" s="214"/>
      <c r="U88" s="214"/>
      <c r="V88" s="214"/>
      <c r="W88" s="214"/>
      <c r="X88" s="214"/>
    </row>
    <row r="89" spans="1:24" ht="15.75" customHeight="1">
      <c r="A89" s="83"/>
      <c r="B89" s="218">
        <v>-16.8</v>
      </c>
      <c r="C89" s="218">
        <v>1.52</v>
      </c>
      <c r="D89" s="218">
        <v>6.9999999999999999E-4</v>
      </c>
      <c r="E89" s="218">
        <v>0.12959999999999999</v>
      </c>
      <c r="F89" s="218">
        <v>177.79</v>
      </c>
      <c r="G89" s="218">
        <v>388.53</v>
      </c>
      <c r="H89" s="218">
        <v>0.91649999999999998</v>
      </c>
      <c r="I89" s="218">
        <v>1.7385999999999999</v>
      </c>
      <c r="J89" s="218">
        <v>1.3</v>
      </c>
      <c r="K89" s="218">
        <v>0.82769999999999999</v>
      </c>
      <c r="L89" s="214"/>
      <c r="M89" s="214"/>
      <c r="N89" s="214"/>
      <c r="O89" s="214"/>
      <c r="P89" s="214"/>
      <c r="Q89" s="214"/>
      <c r="R89" s="214"/>
      <c r="S89" s="214"/>
      <c r="T89" s="214"/>
      <c r="U89" s="214"/>
      <c r="V89" s="214"/>
      <c r="W89" s="214"/>
      <c r="X89" s="214"/>
    </row>
    <row r="90" spans="1:24" ht="15.75" customHeight="1">
      <c r="A90" s="83"/>
      <c r="B90" s="218">
        <v>-16.7</v>
      </c>
      <c r="C90" s="218">
        <v>1.53</v>
      </c>
      <c r="D90" s="218">
        <v>6.9999999999999999E-4</v>
      </c>
      <c r="E90" s="218">
        <v>0.129</v>
      </c>
      <c r="F90" s="218">
        <v>177.92</v>
      </c>
      <c r="G90" s="218">
        <v>388.59</v>
      </c>
      <c r="H90" s="218">
        <v>0.91700000000000004</v>
      </c>
      <c r="I90" s="218">
        <v>1.7384999999999999</v>
      </c>
      <c r="J90" s="218">
        <v>1.3002</v>
      </c>
      <c r="K90" s="218">
        <v>0.82809999999999995</v>
      </c>
      <c r="L90" s="214"/>
      <c r="M90" s="214"/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</row>
    <row r="91" spans="1:24" ht="15.75" customHeight="1">
      <c r="A91" s="83"/>
      <c r="B91" s="218">
        <v>-16.600000000000001</v>
      </c>
      <c r="C91" s="218">
        <v>1.53</v>
      </c>
      <c r="D91" s="218">
        <v>6.9999999999999999E-4</v>
      </c>
      <c r="E91" s="218">
        <v>0.1285</v>
      </c>
      <c r="F91" s="218">
        <v>178.05</v>
      </c>
      <c r="G91" s="218">
        <v>388.65</v>
      </c>
      <c r="H91" s="218">
        <v>0.91749999999999998</v>
      </c>
      <c r="I91" s="218">
        <v>1.7383999999999999</v>
      </c>
      <c r="J91" s="218">
        <v>1.3004</v>
      </c>
      <c r="K91" s="218">
        <v>0.82850000000000001</v>
      </c>
      <c r="L91" s="214"/>
      <c r="M91" s="214"/>
      <c r="N91" s="214"/>
      <c r="O91" s="214"/>
      <c r="P91" s="214"/>
      <c r="Q91" s="214"/>
      <c r="R91" s="214"/>
      <c r="S91" s="214"/>
      <c r="T91" s="214"/>
      <c r="U91" s="214"/>
      <c r="V91" s="214"/>
      <c r="W91" s="214"/>
      <c r="X91" s="214"/>
    </row>
    <row r="92" spans="1:24" ht="15.75" customHeight="1">
      <c r="A92" s="83"/>
      <c r="B92" s="218">
        <v>-16.5</v>
      </c>
      <c r="C92" s="218">
        <v>1.54</v>
      </c>
      <c r="D92" s="218">
        <v>6.9999999999999999E-4</v>
      </c>
      <c r="E92" s="218">
        <v>0.128</v>
      </c>
      <c r="F92" s="218">
        <v>178.18</v>
      </c>
      <c r="G92" s="218">
        <v>388.71</v>
      </c>
      <c r="H92" s="218">
        <v>0.91800000000000004</v>
      </c>
      <c r="I92" s="218">
        <v>1.7383</v>
      </c>
      <c r="J92" s="218">
        <v>1.3006</v>
      </c>
      <c r="K92" s="218">
        <v>0.82879999999999998</v>
      </c>
      <c r="L92" s="214"/>
      <c r="M92" s="214"/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</row>
    <row r="93" spans="1:24" ht="15.75" customHeight="1">
      <c r="A93" s="83"/>
      <c r="B93" s="218">
        <v>-16.399999999999999</v>
      </c>
      <c r="C93" s="218">
        <v>1.55</v>
      </c>
      <c r="D93" s="218">
        <v>6.9999999999999999E-4</v>
      </c>
      <c r="E93" s="218">
        <v>0.1275</v>
      </c>
      <c r="F93" s="218">
        <v>178.31</v>
      </c>
      <c r="G93" s="218">
        <v>388.77</v>
      </c>
      <c r="H93" s="218">
        <v>0.91849999999999998</v>
      </c>
      <c r="I93" s="218">
        <v>1.7382</v>
      </c>
      <c r="J93" s="218">
        <v>1.3008999999999999</v>
      </c>
      <c r="K93" s="218">
        <v>0.82920000000000005</v>
      </c>
      <c r="L93" s="214"/>
      <c r="M93" s="214"/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</row>
    <row r="94" spans="1:24" ht="15.75" customHeight="1">
      <c r="A94" s="83"/>
      <c r="B94" s="218">
        <v>-16.3</v>
      </c>
      <c r="C94" s="218">
        <v>1.55</v>
      </c>
      <c r="D94" s="218">
        <v>6.9999999999999999E-4</v>
      </c>
      <c r="E94" s="218">
        <v>0.127</v>
      </c>
      <c r="F94" s="218">
        <v>178.44</v>
      </c>
      <c r="G94" s="218">
        <v>388.83</v>
      </c>
      <c r="H94" s="218">
        <v>0.91900000000000004</v>
      </c>
      <c r="I94" s="218">
        <v>1.7381</v>
      </c>
      <c r="J94" s="218">
        <v>1.3010999999999999</v>
      </c>
      <c r="K94" s="218">
        <v>0.8296</v>
      </c>
      <c r="L94" s="214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</row>
    <row r="95" spans="1:24" ht="15.75" customHeight="1">
      <c r="A95" s="83"/>
      <c r="B95" s="218">
        <v>-16.2</v>
      </c>
      <c r="C95" s="218">
        <v>1.56</v>
      </c>
      <c r="D95" s="218">
        <v>6.9999999999999999E-4</v>
      </c>
      <c r="E95" s="218">
        <v>0.1265</v>
      </c>
      <c r="F95" s="218">
        <v>178.57</v>
      </c>
      <c r="G95" s="218">
        <v>388.89</v>
      </c>
      <c r="H95" s="218">
        <v>0.91949999999999998</v>
      </c>
      <c r="I95" s="218">
        <v>1.7381</v>
      </c>
      <c r="J95" s="218">
        <v>1.3012999999999999</v>
      </c>
      <c r="K95" s="218">
        <v>0.83</v>
      </c>
      <c r="L95" s="214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</row>
    <row r="96" spans="1:24" ht="15.75" customHeight="1">
      <c r="A96" s="83"/>
      <c r="B96" s="218">
        <v>-16.100000000000001</v>
      </c>
      <c r="C96" s="218">
        <v>1.57</v>
      </c>
      <c r="D96" s="218">
        <v>6.9999999999999999E-4</v>
      </c>
      <c r="E96" s="218">
        <v>0.126</v>
      </c>
      <c r="F96" s="218">
        <v>178.7</v>
      </c>
      <c r="G96" s="218">
        <v>388.95</v>
      </c>
      <c r="H96" s="218">
        <v>0.92</v>
      </c>
      <c r="I96" s="218">
        <v>1.738</v>
      </c>
      <c r="J96" s="218">
        <v>1.3015000000000001</v>
      </c>
      <c r="K96" s="218">
        <v>0.83040000000000003</v>
      </c>
      <c r="L96" s="214"/>
      <c r="M96" s="214"/>
      <c r="N96" s="214"/>
      <c r="O96" s="214"/>
      <c r="P96" s="214"/>
      <c r="Q96" s="214"/>
      <c r="R96" s="214"/>
      <c r="S96" s="214"/>
      <c r="T96" s="214"/>
      <c r="U96" s="214"/>
      <c r="V96" s="214"/>
      <c r="W96" s="214"/>
      <c r="X96" s="214"/>
    </row>
    <row r="97" spans="1:24" ht="15.75" customHeight="1">
      <c r="A97" s="83"/>
      <c r="B97" s="218">
        <v>-16</v>
      </c>
      <c r="C97" s="218">
        <v>1.57</v>
      </c>
      <c r="D97" s="218">
        <v>6.9999999999999999E-4</v>
      </c>
      <c r="E97" s="218">
        <v>0.1255</v>
      </c>
      <c r="F97" s="218">
        <v>178.83</v>
      </c>
      <c r="G97" s="218">
        <v>389.02</v>
      </c>
      <c r="H97" s="218">
        <v>0.92049999999999998</v>
      </c>
      <c r="I97" s="218">
        <v>1.7379</v>
      </c>
      <c r="J97" s="218">
        <v>1.3017000000000001</v>
      </c>
      <c r="K97" s="218">
        <v>0.83069999999999999</v>
      </c>
      <c r="L97" s="214"/>
      <c r="M97" s="214"/>
      <c r="N97" s="214"/>
      <c r="O97" s="214"/>
      <c r="P97" s="214"/>
      <c r="Q97" s="214"/>
      <c r="R97" s="214"/>
      <c r="S97" s="214"/>
      <c r="T97" s="214"/>
      <c r="U97" s="214"/>
      <c r="V97" s="214"/>
      <c r="W97" s="214"/>
      <c r="X97" s="214"/>
    </row>
    <row r="98" spans="1:24" ht="15.75" customHeight="1">
      <c r="A98" s="83"/>
      <c r="B98" s="218">
        <v>-15.9</v>
      </c>
      <c r="C98" s="218">
        <v>1.58</v>
      </c>
      <c r="D98" s="218">
        <v>6.9999999999999999E-4</v>
      </c>
      <c r="E98" s="218">
        <v>0.125</v>
      </c>
      <c r="F98" s="218">
        <v>178.96</v>
      </c>
      <c r="G98" s="218">
        <v>389.08</v>
      </c>
      <c r="H98" s="218">
        <v>0.92100000000000004</v>
      </c>
      <c r="I98" s="218">
        <v>1.7378</v>
      </c>
      <c r="J98" s="218">
        <v>1.302</v>
      </c>
      <c r="K98" s="218">
        <v>0.83109999999999995</v>
      </c>
      <c r="L98" s="214"/>
      <c r="M98" s="214"/>
      <c r="N98" s="214"/>
      <c r="O98" s="214"/>
      <c r="P98" s="214"/>
      <c r="Q98" s="214"/>
      <c r="R98" s="214"/>
      <c r="S98" s="214"/>
      <c r="T98" s="214"/>
      <c r="U98" s="214"/>
      <c r="V98" s="214"/>
      <c r="W98" s="214"/>
      <c r="X98" s="214"/>
    </row>
    <row r="99" spans="1:24" ht="15.75" customHeight="1">
      <c r="A99" s="83"/>
      <c r="B99" s="218">
        <v>-15.8</v>
      </c>
      <c r="C99" s="218">
        <v>1.59</v>
      </c>
      <c r="D99" s="218">
        <v>6.9999999999999999E-4</v>
      </c>
      <c r="E99" s="218">
        <v>0.1245</v>
      </c>
      <c r="F99" s="218">
        <v>179.09</v>
      </c>
      <c r="G99" s="218">
        <v>389.14</v>
      </c>
      <c r="H99" s="218">
        <v>0.92159999999999997</v>
      </c>
      <c r="I99" s="218">
        <v>1.7377</v>
      </c>
      <c r="J99" s="218">
        <v>1.3022</v>
      </c>
      <c r="K99" s="218">
        <v>0.83150000000000002</v>
      </c>
      <c r="L99" s="214"/>
      <c r="M99" s="214"/>
      <c r="N99" s="214"/>
      <c r="O99" s="214"/>
      <c r="P99" s="214"/>
      <c r="Q99" s="214"/>
      <c r="R99" s="214"/>
      <c r="S99" s="214"/>
      <c r="T99" s="214"/>
      <c r="U99" s="214"/>
      <c r="V99" s="214"/>
      <c r="W99" s="214"/>
      <c r="X99" s="214"/>
    </row>
    <row r="100" spans="1:24" ht="15.75" customHeight="1">
      <c r="A100" s="83"/>
      <c r="B100" s="218">
        <v>-15.7</v>
      </c>
      <c r="C100" s="218">
        <v>1.59</v>
      </c>
      <c r="D100" s="218">
        <v>6.9999999999999999E-4</v>
      </c>
      <c r="E100" s="218">
        <v>0.124</v>
      </c>
      <c r="F100" s="218">
        <v>179.22</v>
      </c>
      <c r="G100" s="218">
        <v>389.2</v>
      </c>
      <c r="H100" s="218">
        <v>0.92210000000000003</v>
      </c>
      <c r="I100" s="218">
        <v>1.7377</v>
      </c>
      <c r="J100" s="218">
        <v>1.3024</v>
      </c>
      <c r="K100" s="218">
        <v>0.83189999999999997</v>
      </c>
      <c r="L100" s="214"/>
      <c r="M100" s="214"/>
      <c r="N100" s="214"/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</row>
    <row r="101" spans="1:24" ht="15.75" customHeight="1">
      <c r="A101" s="83"/>
      <c r="B101" s="218">
        <v>-15.6</v>
      </c>
      <c r="C101" s="218">
        <v>1.6</v>
      </c>
      <c r="D101" s="218">
        <v>6.9999999999999999E-4</v>
      </c>
      <c r="E101" s="218">
        <v>0.1235</v>
      </c>
      <c r="F101" s="218">
        <v>179.35</v>
      </c>
      <c r="G101" s="218">
        <v>389.26</v>
      </c>
      <c r="H101" s="218">
        <v>0.92259999999999998</v>
      </c>
      <c r="I101" s="218">
        <v>1.7376</v>
      </c>
      <c r="J101" s="218">
        <v>1.3026</v>
      </c>
      <c r="K101" s="218">
        <v>0.83230000000000004</v>
      </c>
      <c r="L101" s="214"/>
      <c r="M101" s="214"/>
      <c r="N101" s="214"/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</row>
    <row r="102" spans="1:24" ht="15.75" customHeight="1">
      <c r="A102" s="83"/>
      <c r="B102" s="218">
        <v>-15.5</v>
      </c>
      <c r="C102" s="218">
        <v>1.61</v>
      </c>
      <c r="D102" s="218">
        <v>6.9999999999999999E-4</v>
      </c>
      <c r="E102" s="218">
        <v>0.1231</v>
      </c>
      <c r="F102" s="218">
        <v>179.48</v>
      </c>
      <c r="G102" s="218">
        <v>389.32</v>
      </c>
      <c r="H102" s="218">
        <v>0.92310000000000003</v>
      </c>
      <c r="I102" s="218">
        <v>1.7375</v>
      </c>
      <c r="J102" s="218">
        <v>1.3028999999999999</v>
      </c>
      <c r="K102" s="218">
        <v>0.8327</v>
      </c>
      <c r="L102" s="214"/>
      <c r="M102" s="214"/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</row>
    <row r="103" spans="1:24" ht="15.75" customHeight="1">
      <c r="A103" s="83"/>
      <c r="B103" s="218">
        <v>-15.4</v>
      </c>
      <c r="C103" s="218">
        <v>1.61</v>
      </c>
      <c r="D103" s="218">
        <v>6.9999999999999999E-4</v>
      </c>
      <c r="E103" s="218">
        <v>0.1226</v>
      </c>
      <c r="F103" s="218">
        <v>179.62</v>
      </c>
      <c r="G103" s="218">
        <v>389.38</v>
      </c>
      <c r="H103" s="218">
        <v>0.92359999999999998</v>
      </c>
      <c r="I103" s="218">
        <v>1.7374000000000001</v>
      </c>
      <c r="J103" s="218">
        <v>1.3030999999999999</v>
      </c>
      <c r="K103" s="218">
        <v>0.83299999999999996</v>
      </c>
      <c r="L103" s="214"/>
      <c r="M103" s="214"/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</row>
    <row r="104" spans="1:24" ht="15.75" customHeight="1">
      <c r="A104" s="83"/>
      <c r="B104" s="218">
        <v>-15.3</v>
      </c>
      <c r="C104" s="218">
        <v>1.62</v>
      </c>
      <c r="D104" s="218">
        <v>6.9999999999999999E-4</v>
      </c>
      <c r="E104" s="218">
        <v>0.1221</v>
      </c>
      <c r="F104" s="218">
        <v>179.75</v>
      </c>
      <c r="G104" s="218">
        <v>389.44</v>
      </c>
      <c r="H104" s="218">
        <v>0.92410000000000003</v>
      </c>
      <c r="I104" s="218">
        <v>1.7373000000000001</v>
      </c>
      <c r="J104" s="218">
        <v>1.3032999999999999</v>
      </c>
      <c r="K104" s="218">
        <v>0.83340000000000003</v>
      </c>
      <c r="L104" s="214"/>
      <c r="M104" s="214"/>
      <c r="N104" s="214"/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</row>
    <row r="105" spans="1:24" ht="15.75" customHeight="1">
      <c r="A105" s="83"/>
      <c r="B105" s="218">
        <v>-15.2</v>
      </c>
      <c r="C105" s="218">
        <v>1.63</v>
      </c>
      <c r="D105" s="218">
        <v>6.9999999999999999E-4</v>
      </c>
      <c r="E105" s="218">
        <v>0.1216</v>
      </c>
      <c r="F105" s="218">
        <v>179.88</v>
      </c>
      <c r="G105" s="218">
        <v>389.51</v>
      </c>
      <c r="H105" s="218">
        <v>0.92459999999999998</v>
      </c>
      <c r="I105" s="218">
        <v>1.7373000000000001</v>
      </c>
      <c r="J105" s="218">
        <v>1.3035000000000001</v>
      </c>
      <c r="K105" s="218">
        <v>0.83379999999999999</v>
      </c>
      <c r="L105" s="214"/>
      <c r="M105" s="214"/>
      <c r="N105" s="214"/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</row>
    <row r="106" spans="1:24" ht="15.75" customHeight="1">
      <c r="A106" s="83"/>
      <c r="B106" s="218">
        <v>-15.1</v>
      </c>
      <c r="C106" s="218">
        <v>1.63</v>
      </c>
      <c r="D106" s="218">
        <v>6.9999999999999999E-4</v>
      </c>
      <c r="E106" s="218">
        <v>0.1211</v>
      </c>
      <c r="F106" s="218">
        <v>180.01</v>
      </c>
      <c r="G106" s="218">
        <v>389.57</v>
      </c>
      <c r="H106" s="218">
        <v>0.92510000000000003</v>
      </c>
      <c r="I106" s="218">
        <v>1.7372000000000001</v>
      </c>
      <c r="J106" s="218">
        <v>1.3038000000000001</v>
      </c>
      <c r="K106" s="218">
        <v>0.83420000000000005</v>
      </c>
      <c r="L106" s="214"/>
      <c r="M106" s="214"/>
      <c r="N106" s="214"/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</row>
    <row r="107" spans="1:24" ht="15.75" customHeight="1">
      <c r="A107" s="83"/>
      <c r="B107" s="218">
        <v>-15</v>
      </c>
      <c r="C107" s="218">
        <v>1.64</v>
      </c>
      <c r="D107" s="218">
        <v>6.9999999999999999E-4</v>
      </c>
      <c r="E107" s="218">
        <v>0.1207</v>
      </c>
      <c r="F107" s="218">
        <v>180.14</v>
      </c>
      <c r="G107" s="218">
        <v>389.63</v>
      </c>
      <c r="H107" s="218">
        <v>0.92559999999999998</v>
      </c>
      <c r="I107" s="218">
        <v>1.7371000000000001</v>
      </c>
      <c r="J107" s="218">
        <v>1.304</v>
      </c>
      <c r="K107" s="218">
        <v>0.83460000000000001</v>
      </c>
      <c r="L107" s="214"/>
      <c r="M107" s="214"/>
      <c r="N107" s="214"/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</row>
    <row r="108" spans="1:24" ht="15.75" customHeight="1">
      <c r="A108" s="83"/>
      <c r="B108" s="218">
        <v>-14.9</v>
      </c>
      <c r="C108" s="218">
        <v>1.65</v>
      </c>
      <c r="D108" s="218">
        <v>6.9999999999999999E-4</v>
      </c>
      <c r="E108" s="218">
        <v>0.1202</v>
      </c>
      <c r="F108" s="218">
        <v>180.27</v>
      </c>
      <c r="G108" s="218">
        <v>389.69</v>
      </c>
      <c r="H108" s="218">
        <v>0.92610000000000003</v>
      </c>
      <c r="I108" s="218">
        <v>1.7370000000000001</v>
      </c>
      <c r="J108" s="218">
        <v>1.3042</v>
      </c>
      <c r="K108" s="218">
        <v>0.83499999999999996</v>
      </c>
      <c r="L108" s="214"/>
      <c r="M108" s="214"/>
      <c r="N108" s="214"/>
      <c r="O108" s="214"/>
      <c r="P108" s="214"/>
      <c r="Q108" s="214"/>
      <c r="R108" s="214"/>
      <c r="S108" s="214"/>
      <c r="T108" s="214"/>
      <c r="U108" s="214"/>
      <c r="V108" s="214"/>
      <c r="W108" s="214"/>
      <c r="X108" s="214"/>
    </row>
    <row r="109" spans="1:24" ht="15.75" customHeight="1">
      <c r="A109" s="83"/>
      <c r="B109" s="218">
        <v>-14.8</v>
      </c>
      <c r="C109" s="218">
        <v>1.65</v>
      </c>
      <c r="D109" s="218">
        <v>6.9999999999999999E-4</v>
      </c>
      <c r="E109" s="218">
        <v>0.1197</v>
      </c>
      <c r="F109" s="218">
        <v>180.4</v>
      </c>
      <c r="G109" s="218">
        <v>389.75</v>
      </c>
      <c r="H109" s="218">
        <v>0.92659999999999998</v>
      </c>
      <c r="I109" s="218">
        <v>1.7369000000000001</v>
      </c>
      <c r="J109" s="218">
        <v>1.3044</v>
      </c>
      <c r="K109" s="218">
        <v>0.83540000000000003</v>
      </c>
      <c r="L109" s="214"/>
      <c r="M109" s="214"/>
      <c r="N109" s="214"/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</row>
    <row r="110" spans="1:24" ht="15.75" customHeight="1">
      <c r="A110" s="83"/>
      <c r="B110" s="218">
        <v>-14.7</v>
      </c>
      <c r="C110" s="218">
        <v>1.66</v>
      </c>
      <c r="D110" s="218">
        <v>6.9999999999999999E-4</v>
      </c>
      <c r="E110" s="218">
        <v>0.1193</v>
      </c>
      <c r="F110" s="218">
        <v>180.53</v>
      </c>
      <c r="G110" s="218">
        <v>389.81</v>
      </c>
      <c r="H110" s="218">
        <v>0.92710000000000004</v>
      </c>
      <c r="I110" s="218">
        <v>1.7369000000000001</v>
      </c>
      <c r="J110" s="218">
        <v>1.3047</v>
      </c>
      <c r="K110" s="218">
        <v>0.8357</v>
      </c>
      <c r="L110" s="214"/>
      <c r="M110" s="214"/>
      <c r="N110" s="214"/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</row>
    <row r="111" spans="1:24" ht="15.75" customHeight="1">
      <c r="A111" s="83"/>
      <c r="B111" s="218">
        <v>-14.6</v>
      </c>
      <c r="C111" s="218">
        <v>1.67</v>
      </c>
      <c r="D111" s="218">
        <v>6.9999999999999999E-4</v>
      </c>
      <c r="E111" s="218">
        <v>0.1188</v>
      </c>
      <c r="F111" s="218">
        <v>180.66</v>
      </c>
      <c r="G111" s="218">
        <v>389.87</v>
      </c>
      <c r="H111" s="218">
        <v>0.92759999999999998</v>
      </c>
      <c r="I111" s="218">
        <v>1.7367999999999999</v>
      </c>
      <c r="J111" s="218">
        <v>1.3048999999999999</v>
      </c>
      <c r="K111" s="218">
        <v>0.83609999999999995</v>
      </c>
      <c r="L111" s="214"/>
      <c r="M111" s="214"/>
      <c r="N111" s="214"/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</row>
    <row r="112" spans="1:24" ht="15.75" customHeight="1">
      <c r="A112" s="83"/>
      <c r="B112" s="218">
        <v>-14.5</v>
      </c>
      <c r="C112" s="218">
        <v>1.67</v>
      </c>
      <c r="D112" s="218">
        <v>6.9999999999999999E-4</v>
      </c>
      <c r="E112" s="218">
        <v>0.1183</v>
      </c>
      <c r="F112" s="218">
        <v>180.79</v>
      </c>
      <c r="G112" s="218">
        <v>389.93</v>
      </c>
      <c r="H112" s="218">
        <v>0.92810000000000004</v>
      </c>
      <c r="I112" s="218">
        <v>1.7366999999999999</v>
      </c>
      <c r="J112" s="218">
        <v>1.3050999999999999</v>
      </c>
      <c r="K112" s="218">
        <v>0.83650000000000002</v>
      </c>
      <c r="L112" s="214"/>
      <c r="M112" s="214"/>
      <c r="N112" s="214"/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</row>
    <row r="113" spans="1:24" ht="15.75" customHeight="1">
      <c r="A113" s="83"/>
      <c r="B113" s="218">
        <v>-14.4</v>
      </c>
      <c r="C113" s="218">
        <v>1.68</v>
      </c>
      <c r="D113" s="218">
        <v>6.9999999999999999E-4</v>
      </c>
      <c r="E113" s="218">
        <v>0.1179</v>
      </c>
      <c r="F113" s="218">
        <v>180.92</v>
      </c>
      <c r="G113" s="218">
        <v>389.99</v>
      </c>
      <c r="H113" s="218">
        <v>0.92859999999999998</v>
      </c>
      <c r="I113" s="218">
        <v>1.7365999999999999</v>
      </c>
      <c r="J113" s="218">
        <v>1.3052999999999999</v>
      </c>
      <c r="K113" s="218">
        <v>0.83689999999999998</v>
      </c>
      <c r="L113" s="214"/>
      <c r="M113" s="214"/>
      <c r="N113" s="214"/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</row>
    <row r="114" spans="1:24" ht="15.75" customHeight="1">
      <c r="A114" s="83"/>
      <c r="B114" s="218">
        <v>-14.3</v>
      </c>
      <c r="C114" s="218">
        <v>1.69</v>
      </c>
      <c r="D114" s="218">
        <v>6.9999999999999999E-4</v>
      </c>
      <c r="E114" s="218">
        <v>0.1174</v>
      </c>
      <c r="F114" s="218">
        <v>181.05</v>
      </c>
      <c r="G114" s="218">
        <v>390.06</v>
      </c>
      <c r="H114" s="218">
        <v>0.92910000000000004</v>
      </c>
      <c r="I114" s="218">
        <v>1.7364999999999999</v>
      </c>
      <c r="J114" s="218">
        <v>1.3056000000000001</v>
      </c>
      <c r="K114" s="218">
        <v>0.83730000000000004</v>
      </c>
      <c r="L114" s="214"/>
      <c r="M114" s="214"/>
      <c r="N114" s="214"/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</row>
    <row r="115" spans="1:24" ht="15.75" customHeight="1">
      <c r="A115" s="83"/>
      <c r="B115" s="218">
        <v>-14.2</v>
      </c>
      <c r="C115" s="218">
        <v>1.69</v>
      </c>
      <c r="D115" s="218">
        <v>6.9999999999999999E-4</v>
      </c>
      <c r="E115" s="218">
        <v>0.11700000000000001</v>
      </c>
      <c r="F115" s="218">
        <v>181.18</v>
      </c>
      <c r="G115" s="218">
        <v>390.12</v>
      </c>
      <c r="H115" s="218">
        <v>0.92959999999999998</v>
      </c>
      <c r="I115" s="218">
        <v>1.7364999999999999</v>
      </c>
      <c r="J115" s="218">
        <v>1.3058000000000001</v>
      </c>
      <c r="K115" s="218">
        <v>0.8377</v>
      </c>
      <c r="L115" s="214"/>
      <c r="M115" s="214"/>
      <c r="N115" s="214"/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</row>
    <row r="116" spans="1:24" ht="15.75" customHeight="1">
      <c r="A116" s="83"/>
      <c r="B116" s="218">
        <v>-14.1</v>
      </c>
      <c r="C116" s="218">
        <v>1.7</v>
      </c>
      <c r="D116" s="218">
        <v>6.9999999999999999E-4</v>
      </c>
      <c r="E116" s="218">
        <v>0.11650000000000001</v>
      </c>
      <c r="F116" s="218">
        <v>181.31</v>
      </c>
      <c r="G116" s="218">
        <v>390.18</v>
      </c>
      <c r="H116" s="218">
        <v>0.93010000000000004</v>
      </c>
      <c r="I116" s="218">
        <v>1.7363999999999999</v>
      </c>
      <c r="J116" s="218">
        <v>1.306</v>
      </c>
      <c r="K116" s="218">
        <v>0.83809999999999996</v>
      </c>
      <c r="L116" s="214"/>
      <c r="M116" s="214"/>
      <c r="N116" s="214"/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</row>
    <row r="117" spans="1:24" ht="15.75" customHeight="1">
      <c r="A117" s="83"/>
      <c r="B117" s="218">
        <v>-14</v>
      </c>
      <c r="C117" s="218">
        <v>1.71</v>
      </c>
      <c r="D117" s="218">
        <v>6.9999999999999999E-4</v>
      </c>
      <c r="E117" s="218">
        <v>0.11609999999999999</v>
      </c>
      <c r="F117" s="218">
        <v>181.44</v>
      </c>
      <c r="G117" s="218">
        <v>390.24</v>
      </c>
      <c r="H117" s="218">
        <v>0.93059999999999998</v>
      </c>
      <c r="I117" s="218">
        <v>1.7363</v>
      </c>
      <c r="J117" s="218">
        <v>1.3062</v>
      </c>
      <c r="K117" s="218">
        <v>0.83850000000000002</v>
      </c>
      <c r="L117" s="214"/>
      <c r="M117" s="214"/>
      <c r="N117" s="214"/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</row>
    <row r="118" spans="1:24" ht="15.75" customHeight="1">
      <c r="A118" s="83"/>
      <c r="B118" s="218">
        <v>-13.9</v>
      </c>
      <c r="C118" s="218">
        <v>1.72</v>
      </c>
      <c r="D118" s="218">
        <v>6.9999999999999999E-4</v>
      </c>
      <c r="E118" s="218">
        <v>0.11559999999999999</v>
      </c>
      <c r="F118" s="218">
        <v>181.58</v>
      </c>
      <c r="G118" s="218">
        <v>390.3</v>
      </c>
      <c r="H118" s="218">
        <v>0.93110000000000004</v>
      </c>
      <c r="I118" s="218">
        <v>1.7362</v>
      </c>
      <c r="J118" s="218">
        <v>1.3065</v>
      </c>
      <c r="K118" s="218">
        <v>0.83879999999999999</v>
      </c>
      <c r="L118" s="214"/>
      <c r="M118" s="214"/>
      <c r="N118" s="214"/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</row>
    <row r="119" spans="1:24" ht="15.75" customHeight="1">
      <c r="A119" s="83"/>
      <c r="B119" s="218">
        <v>-13.8</v>
      </c>
      <c r="C119" s="218">
        <v>1.72</v>
      </c>
      <c r="D119" s="218">
        <v>6.9999999999999999E-4</v>
      </c>
      <c r="E119" s="218">
        <v>0.1152</v>
      </c>
      <c r="F119" s="218">
        <v>181.71</v>
      </c>
      <c r="G119" s="218">
        <v>390.36</v>
      </c>
      <c r="H119" s="218">
        <v>0.93159999999999998</v>
      </c>
      <c r="I119" s="218">
        <v>1.7362</v>
      </c>
      <c r="J119" s="218">
        <v>1.3067</v>
      </c>
      <c r="K119" s="218">
        <v>0.83919999999999995</v>
      </c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</row>
    <row r="120" spans="1:24" ht="15.75" customHeight="1">
      <c r="A120" s="83"/>
      <c r="B120" s="218">
        <v>-13.7</v>
      </c>
      <c r="C120" s="218">
        <v>1.73</v>
      </c>
      <c r="D120" s="218">
        <v>6.9999999999999999E-4</v>
      </c>
      <c r="E120" s="218">
        <v>0.1147</v>
      </c>
      <c r="F120" s="218">
        <v>181.84</v>
      </c>
      <c r="G120" s="218">
        <v>390.42</v>
      </c>
      <c r="H120" s="218">
        <v>0.93210000000000004</v>
      </c>
      <c r="I120" s="218">
        <v>1.7361</v>
      </c>
      <c r="J120" s="218">
        <v>1.3069</v>
      </c>
      <c r="K120" s="218">
        <v>0.83960000000000001</v>
      </c>
      <c r="L120" s="214"/>
      <c r="M120" s="214"/>
      <c r="N120" s="214"/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</row>
    <row r="121" spans="1:24" ht="15.75" customHeight="1">
      <c r="A121" s="83"/>
      <c r="B121" s="218">
        <v>-13.6</v>
      </c>
      <c r="C121" s="218">
        <v>1.74</v>
      </c>
      <c r="D121" s="218">
        <v>6.9999999999999999E-4</v>
      </c>
      <c r="E121" s="218">
        <v>0.1143</v>
      </c>
      <c r="F121" s="218">
        <v>181.97</v>
      </c>
      <c r="G121" s="218">
        <v>390.48</v>
      </c>
      <c r="H121" s="218">
        <v>0.93259999999999998</v>
      </c>
      <c r="I121" s="218">
        <v>1.736</v>
      </c>
      <c r="J121" s="218">
        <v>1.3071999999999999</v>
      </c>
      <c r="K121" s="218">
        <v>0.84</v>
      </c>
      <c r="L121" s="214"/>
      <c r="M121" s="214"/>
      <c r="N121" s="214"/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</row>
    <row r="122" spans="1:24" ht="15.75" customHeight="1">
      <c r="A122" s="83"/>
      <c r="B122" s="218">
        <v>-13.5</v>
      </c>
      <c r="C122" s="218">
        <v>1.74</v>
      </c>
      <c r="D122" s="218">
        <v>6.9999999999999999E-4</v>
      </c>
      <c r="E122" s="218">
        <v>0.1138</v>
      </c>
      <c r="F122" s="218">
        <v>182.1</v>
      </c>
      <c r="G122" s="218">
        <v>390.54</v>
      </c>
      <c r="H122" s="218">
        <v>0.93310000000000004</v>
      </c>
      <c r="I122" s="218">
        <v>1.7359</v>
      </c>
      <c r="J122" s="218">
        <v>1.3073999999999999</v>
      </c>
      <c r="K122" s="218">
        <v>0.84040000000000004</v>
      </c>
      <c r="L122" s="214"/>
      <c r="M122" s="214"/>
      <c r="N122" s="214"/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</row>
    <row r="123" spans="1:24" ht="15.75" customHeight="1">
      <c r="A123" s="83"/>
      <c r="B123" s="218">
        <v>-13.4</v>
      </c>
      <c r="C123" s="218">
        <v>1.75</v>
      </c>
      <c r="D123" s="218">
        <v>6.9999999999999999E-4</v>
      </c>
      <c r="E123" s="218">
        <v>0.1134</v>
      </c>
      <c r="F123" s="218">
        <v>182.23</v>
      </c>
      <c r="G123" s="218">
        <v>390.6</v>
      </c>
      <c r="H123" s="218">
        <v>0.93359999999999999</v>
      </c>
      <c r="I123" s="218">
        <v>1.7358</v>
      </c>
      <c r="J123" s="218">
        <v>1.3076000000000001</v>
      </c>
      <c r="K123" s="218">
        <v>0.84079999999999999</v>
      </c>
      <c r="L123" s="214"/>
      <c r="M123" s="214"/>
      <c r="N123" s="214"/>
      <c r="O123" s="214"/>
      <c r="P123" s="214"/>
      <c r="Q123" s="214"/>
      <c r="R123" s="214"/>
      <c r="S123" s="214"/>
      <c r="T123" s="214"/>
      <c r="U123" s="214"/>
      <c r="V123" s="214"/>
      <c r="W123" s="214"/>
      <c r="X123" s="214"/>
    </row>
    <row r="124" spans="1:24" ht="15.75" customHeight="1">
      <c r="A124" s="83"/>
      <c r="B124" s="218">
        <v>-13.3</v>
      </c>
      <c r="C124" s="218">
        <v>1.76</v>
      </c>
      <c r="D124" s="218">
        <v>6.9999999999999999E-4</v>
      </c>
      <c r="E124" s="218">
        <v>0.1129</v>
      </c>
      <c r="F124" s="218">
        <v>182.36</v>
      </c>
      <c r="G124" s="218">
        <v>390.67</v>
      </c>
      <c r="H124" s="218">
        <v>0.93410000000000004</v>
      </c>
      <c r="I124" s="218">
        <v>1.7358</v>
      </c>
      <c r="J124" s="218">
        <v>1.3078000000000001</v>
      </c>
      <c r="K124" s="218">
        <v>0.84119999999999995</v>
      </c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</row>
    <row r="125" spans="1:24" ht="15.75" customHeight="1">
      <c r="A125" s="83"/>
      <c r="B125" s="218">
        <v>-13.2</v>
      </c>
      <c r="C125" s="218">
        <v>1.76</v>
      </c>
      <c r="D125" s="218">
        <v>6.9999999999999999E-4</v>
      </c>
      <c r="E125" s="218">
        <v>0.1125</v>
      </c>
      <c r="F125" s="218">
        <v>182.49</v>
      </c>
      <c r="G125" s="218">
        <v>390.73</v>
      </c>
      <c r="H125" s="218">
        <v>0.93459999999999999</v>
      </c>
      <c r="I125" s="218">
        <v>1.7357</v>
      </c>
      <c r="J125" s="218">
        <v>1.3081</v>
      </c>
      <c r="K125" s="218">
        <v>0.84160000000000001</v>
      </c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</row>
    <row r="126" spans="1:24" ht="15.75" customHeight="1">
      <c r="A126" s="83"/>
      <c r="B126" s="218">
        <v>-13.1</v>
      </c>
      <c r="C126" s="218">
        <v>1.77</v>
      </c>
      <c r="D126" s="218">
        <v>6.9999999999999999E-4</v>
      </c>
      <c r="E126" s="218">
        <v>0.11210000000000001</v>
      </c>
      <c r="F126" s="218">
        <v>182.62</v>
      </c>
      <c r="G126" s="218">
        <v>390.79</v>
      </c>
      <c r="H126" s="218">
        <v>0.93510000000000004</v>
      </c>
      <c r="I126" s="218">
        <v>1.7356</v>
      </c>
      <c r="J126" s="218">
        <v>1.3083</v>
      </c>
      <c r="K126" s="218">
        <v>0.84199999999999997</v>
      </c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</row>
    <row r="127" spans="1:24" ht="15.75" customHeight="1">
      <c r="A127" s="83"/>
      <c r="B127" s="218">
        <v>-13</v>
      </c>
      <c r="C127" s="218">
        <v>1.78</v>
      </c>
      <c r="D127" s="218">
        <v>6.9999999999999999E-4</v>
      </c>
      <c r="E127" s="218">
        <v>0.1116</v>
      </c>
      <c r="F127" s="218">
        <v>182.75</v>
      </c>
      <c r="G127" s="218">
        <v>390.85</v>
      </c>
      <c r="H127" s="218">
        <v>0.93559999999999999</v>
      </c>
      <c r="I127" s="218">
        <v>1.7355</v>
      </c>
      <c r="J127" s="218">
        <v>1.3085</v>
      </c>
      <c r="K127" s="218">
        <v>0.84240000000000004</v>
      </c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</row>
    <row r="128" spans="1:24" ht="15.75" customHeight="1">
      <c r="A128" s="83"/>
      <c r="B128" s="218">
        <v>-12.9</v>
      </c>
      <c r="C128" s="218">
        <v>1.79</v>
      </c>
      <c r="D128" s="218">
        <v>6.9999999999999999E-4</v>
      </c>
      <c r="E128" s="218">
        <v>0.11119999999999999</v>
      </c>
      <c r="F128" s="218">
        <v>182.89</v>
      </c>
      <c r="G128" s="218">
        <v>390.91</v>
      </c>
      <c r="H128" s="218">
        <v>0.93610000000000004</v>
      </c>
      <c r="I128" s="218">
        <v>1.7355</v>
      </c>
      <c r="J128" s="218">
        <v>1.3088</v>
      </c>
      <c r="K128" s="218">
        <v>0.84279999999999999</v>
      </c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</row>
    <row r="129" spans="1:24" ht="15.75" customHeight="1">
      <c r="A129" s="83"/>
      <c r="B129" s="218">
        <v>-12.8</v>
      </c>
      <c r="C129" s="218">
        <v>1.79</v>
      </c>
      <c r="D129" s="218">
        <v>6.9999999999999999E-4</v>
      </c>
      <c r="E129" s="218">
        <v>0.1108</v>
      </c>
      <c r="F129" s="218">
        <v>183.02</v>
      </c>
      <c r="G129" s="218">
        <v>390.97</v>
      </c>
      <c r="H129" s="218">
        <v>0.93659999999999999</v>
      </c>
      <c r="I129" s="218">
        <v>1.7354000000000001</v>
      </c>
      <c r="J129" s="218">
        <v>1.3089999999999999</v>
      </c>
      <c r="K129" s="218">
        <v>0.84319999999999995</v>
      </c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</row>
    <row r="130" spans="1:24" ht="15.75" customHeight="1">
      <c r="A130" s="83"/>
      <c r="B130" s="218">
        <v>-12.7</v>
      </c>
      <c r="C130" s="218">
        <v>1.8</v>
      </c>
      <c r="D130" s="218">
        <v>6.9999999999999999E-4</v>
      </c>
      <c r="E130" s="218">
        <v>0.1104</v>
      </c>
      <c r="F130" s="218">
        <v>183.15</v>
      </c>
      <c r="G130" s="218">
        <v>391.03</v>
      </c>
      <c r="H130" s="218">
        <v>0.93720000000000003</v>
      </c>
      <c r="I130" s="218">
        <v>1.7353000000000001</v>
      </c>
      <c r="J130" s="218">
        <v>1.3091999999999999</v>
      </c>
      <c r="K130" s="218">
        <v>0.84350000000000003</v>
      </c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</row>
    <row r="131" spans="1:24" ht="15.75" customHeight="1">
      <c r="A131" s="83"/>
      <c r="B131" s="218">
        <v>-12.6</v>
      </c>
      <c r="C131" s="218">
        <v>1.81</v>
      </c>
      <c r="D131" s="218">
        <v>6.9999999999999999E-4</v>
      </c>
      <c r="E131" s="218">
        <v>0.1099</v>
      </c>
      <c r="F131" s="218">
        <v>183.28</v>
      </c>
      <c r="G131" s="218">
        <v>391.09</v>
      </c>
      <c r="H131" s="218">
        <v>0.93769999999999998</v>
      </c>
      <c r="I131" s="218">
        <v>1.7352000000000001</v>
      </c>
      <c r="J131" s="218">
        <v>1.3095000000000001</v>
      </c>
      <c r="K131" s="218">
        <v>0.84389999999999998</v>
      </c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</row>
    <row r="132" spans="1:24" ht="15.75" customHeight="1">
      <c r="A132" s="83"/>
      <c r="B132" s="218">
        <v>-12.5</v>
      </c>
      <c r="C132" s="218">
        <v>1.82</v>
      </c>
      <c r="D132" s="218">
        <v>6.9999999999999999E-4</v>
      </c>
      <c r="E132" s="218">
        <v>0.1095</v>
      </c>
      <c r="F132" s="218">
        <v>183.41</v>
      </c>
      <c r="G132" s="218">
        <v>391.15</v>
      </c>
      <c r="H132" s="218">
        <v>0.93820000000000003</v>
      </c>
      <c r="I132" s="218">
        <v>1.7352000000000001</v>
      </c>
      <c r="J132" s="218">
        <v>1.3097000000000001</v>
      </c>
      <c r="K132" s="218">
        <v>0.84430000000000005</v>
      </c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</row>
    <row r="133" spans="1:24" ht="15.75" customHeight="1">
      <c r="A133" s="83"/>
      <c r="B133" s="218">
        <v>-12.4</v>
      </c>
      <c r="C133" s="218">
        <v>1.82</v>
      </c>
      <c r="D133" s="218">
        <v>6.9999999999999999E-4</v>
      </c>
      <c r="E133" s="218">
        <v>0.1091</v>
      </c>
      <c r="F133" s="218">
        <v>183.54</v>
      </c>
      <c r="G133" s="218">
        <v>391.21</v>
      </c>
      <c r="H133" s="218">
        <v>0.93869999999999998</v>
      </c>
      <c r="I133" s="218">
        <v>1.7351000000000001</v>
      </c>
      <c r="J133" s="218">
        <v>1.3099000000000001</v>
      </c>
      <c r="K133" s="218">
        <v>0.84470000000000001</v>
      </c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</row>
    <row r="134" spans="1:24" ht="15.75" customHeight="1">
      <c r="A134" s="83"/>
      <c r="B134" s="218">
        <v>-12.3</v>
      </c>
      <c r="C134" s="218">
        <v>1.83</v>
      </c>
      <c r="D134" s="218">
        <v>6.9999999999999999E-4</v>
      </c>
      <c r="E134" s="218">
        <v>0.1087</v>
      </c>
      <c r="F134" s="218">
        <v>183.67</v>
      </c>
      <c r="G134" s="218">
        <v>391.27</v>
      </c>
      <c r="H134" s="218">
        <v>0.93920000000000003</v>
      </c>
      <c r="I134" s="218">
        <v>1.7350000000000001</v>
      </c>
      <c r="J134" s="218">
        <v>1.3101</v>
      </c>
      <c r="K134" s="218">
        <v>0.84509999999999996</v>
      </c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</row>
    <row r="135" spans="1:24" ht="15.75" customHeight="1">
      <c r="A135" s="83"/>
      <c r="B135" s="218">
        <v>-12.2</v>
      </c>
      <c r="C135" s="218">
        <v>1.84</v>
      </c>
      <c r="D135" s="218">
        <v>8.0000000000000004E-4</v>
      </c>
      <c r="E135" s="218">
        <v>0.10829999999999999</v>
      </c>
      <c r="F135" s="218">
        <v>183.8</v>
      </c>
      <c r="G135" s="218">
        <v>391.33</v>
      </c>
      <c r="H135" s="218">
        <v>0.93969999999999998</v>
      </c>
      <c r="I135" s="218">
        <v>1.7349000000000001</v>
      </c>
      <c r="J135" s="218">
        <v>1.3104</v>
      </c>
      <c r="K135" s="218">
        <v>0.84550000000000003</v>
      </c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</row>
    <row r="136" spans="1:24" ht="15.75" customHeight="1">
      <c r="A136" s="83"/>
      <c r="B136" s="218">
        <v>-12.1</v>
      </c>
      <c r="C136" s="218">
        <v>1.85</v>
      </c>
      <c r="D136" s="218">
        <v>8.0000000000000004E-4</v>
      </c>
      <c r="E136" s="218">
        <v>0.1079</v>
      </c>
      <c r="F136" s="218">
        <v>183.93</v>
      </c>
      <c r="G136" s="218">
        <v>391.39</v>
      </c>
      <c r="H136" s="218">
        <v>0.94020000000000004</v>
      </c>
      <c r="I136" s="218">
        <v>1.7349000000000001</v>
      </c>
      <c r="J136" s="218">
        <v>1.3106</v>
      </c>
      <c r="K136" s="218">
        <v>0.84589999999999999</v>
      </c>
      <c r="L136" s="214"/>
      <c r="M136" s="214"/>
      <c r="N136" s="214"/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</row>
    <row r="137" spans="1:24" ht="15.75" customHeight="1">
      <c r="A137" s="83"/>
      <c r="B137" s="218">
        <v>-12</v>
      </c>
      <c r="C137" s="218">
        <v>1.85</v>
      </c>
      <c r="D137" s="218">
        <v>8.0000000000000004E-4</v>
      </c>
      <c r="E137" s="218">
        <v>0.1074</v>
      </c>
      <c r="F137" s="218">
        <v>184.07</v>
      </c>
      <c r="G137" s="218">
        <v>391.46</v>
      </c>
      <c r="H137" s="218">
        <v>0.94069999999999998</v>
      </c>
      <c r="I137" s="218">
        <v>1.7347999999999999</v>
      </c>
      <c r="J137" s="218">
        <v>1.3108</v>
      </c>
      <c r="K137" s="218">
        <v>0.84630000000000005</v>
      </c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</row>
    <row r="138" spans="1:24" ht="15.75" customHeight="1">
      <c r="A138" s="83"/>
      <c r="B138" s="218">
        <v>-11.9</v>
      </c>
      <c r="C138" s="218">
        <v>1.86</v>
      </c>
      <c r="D138" s="218">
        <v>8.0000000000000004E-4</v>
      </c>
      <c r="E138" s="218">
        <v>0.107</v>
      </c>
      <c r="F138" s="218">
        <v>184.2</v>
      </c>
      <c r="G138" s="218">
        <v>391.52</v>
      </c>
      <c r="H138" s="218">
        <v>0.94120000000000004</v>
      </c>
      <c r="I138" s="218">
        <v>1.7346999999999999</v>
      </c>
      <c r="J138" s="218">
        <v>1.3110999999999999</v>
      </c>
      <c r="K138" s="218">
        <v>0.84670000000000001</v>
      </c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</row>
    <row r="139" spans="1:24" ht="15.75" customHeight="1">
      <c r="A139" s="83"/>
      <c r="B139" s="218">
        <v>-11.8</v>
      </c>
      <c r="C139" s="218">
        <v>1.87</v>
      </c>
      <c r="D139" s="218">
        <v>8.0000000000000004E-4</v>
      </c>
      <c r="E139" s="218">
        <v>0.1066</v>
      </c>
      <c r="F139" s="218">
        <v>184.33</v>
      </c>
      <c r="G139" s="218">
        <v>391.58</v>
      </c>
      <c r="H139" s="218">
        <v>0.94169999999999998</v>
      </c>
      <c r="I139" s="218">
        <v>1.7345999999999999</v>
      </c>
      <c r="J139" s="218">
        <v>1.3112999999999999</v>
      </c>
      <c r="K139" s="218">
        <v>0.84709999999999996</v>
      </c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</row>
    <row r="140" spans="1:24" ht="15.75" customHeight="1">
      <c r="A140" s="83"/>
      <c r="B140" s="218">
        <v>-11.7</v>
      </c>
      <c r="C140" s="218">
        <v>1.87</v>
      </c>
      <c r="D140" s="218">
        <v>8.0000000000000004E-4</v>
      </c>
      <c r="E140" s="218">
        <v>0.1062</v>
      </c>
      <c r="F140" s="218">
        <v>184.46</v>
      </c>
      <c r="G140" s="218">
        <v>391.64</v>
      </c>
      <c r="H140" s="218">
        <v>0.94220000000000004</v>
      </c>
      <c r="I140" s="218">
        <v>1.7345999999999999</v>
      </c>
      <c r="J140" s="218">
        <v>1.3115000000000001</v>
      </c>
      <c r="K140" s="218">
        <v>0.84750000000000003</v>
      </c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</row>
    <row r="141" spans="1:24" ht="15.75" customHeight="1">
      <c r="A141" s="83"/>
      <c r="B141" s="218">
        <v>-11.6</v>
      </c>
      <c r="C141" s="218">
        <v>1.88</v>
      </c>
      <c r="D141" s="218">
        <v>8.0000000000000004E-4</v>
      </c>
      <c r="E141" s="218">
        <v>0.10580000000000001</v>
      </c>
      <c r="F141" s="218">
        <v>184.59</v>
      </c>
      <c r="G141" s="218">
        <v>391.7</v>
      </c>
      <c r="H141" s="218">
        <v>0.94269999999999998</v>
      </c>
      <c r="I141" s="218">
        <v>1.7344999999999999</v>
      </c>
      <c r="J141" s="218">
        <v>1.3118000000000001</v>
      </c>
      <c r="K141" s="218">
        <v>0.84789999999999999</v>
      </c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</row>
    <row r="142" spans="1:24" ht="15.75" customHeight="1">
      <c r="A142" s="83"/>
      <c r="B142" s="218">
        <v>-11.5</v>
      </c>
      <c r="C142" s="218">
        <v>1.89</v>
      </c>
      <c r="D142" s="218">
        <v>8.0000000000000004E-4</v>
      </c>
      <c r="E142" s="218">
        <v>0.10539999999999999</v>
      </c>
      <c r="F142" s="218">
        <v>184.72</v>
      </c>
      <c r="G142" s="218">
        <v>391.76</v>
      </c>
      <c r="H142" s="218">
        <v>0.94320000000000004</v>
      </c>
      <c r="I142" s="218">
        <v>1.7343999999999999</v>
      </c>
      <c r="J142" s="218">
        <v>1.3120000000000001</v>
      </c>
      <c r="K142" s="218">
        <v>0.84830000000000005</v>
      </c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</row>
    <row r="143" spans="1:24" ht="15.75" customHeight="1">
      <c r="A143" s="83"/>
      <c r="B143" s="218">
        <v>-11.4</v>
      </c>
      <c r="C143" s="218">
        <v>1.9</v>
      </c>
      <c r="D143" s="218">
        <v>8.0000000000000004E-4</v>
      </c>
      <c r="E143" s="218">
        <v>0.105</v>
      </c>
      <c r="F143" s="218">
        <v>184.85</v>
      </c>
      <c r="G143" s="218">
        <v>391.82</v>
      </c>
      <c r="H143" s="218">
        <v>0.94369999999999998</v>
      </c>
      <c r="I143" s="218">
        <v>1.7343999999999999</v>
      </c>
      <c r="J143" s="218">
        <v>1.3122</v>
      </c>
      <c r="K143" s="218">
        <v>0.84870000000000001</v>
      </c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</row>
    <row r="144" spans="1:24" ht="15.75" customHeight="1">
      <c r="A144" s="83"/>
      <c r="B144" s="218">
        <v>-11.3</v>
      </c>
      <c r="C144" s="218">
        <v>1.91</v>
      </c>
      <c r="D144" s="218">
        <v>8.0000000000000004E-4</v>
      </c>
      <c r="E144" s="218">
        <v>0.1046</v>
      </c>
      <c r="F144" s="218">
        <v>184.99</v>
      </c>
      <c r="G144" s="218">
        <v>391.88</v>
      </c>
      <c r="H144" s="218">
        <v>0.94420000000000004</v>
      </c>
      <c r="I144" s="218">
        <v>1.7343</v>
      </c>
      <c r="J144" s="218">
        <v>1.3125</v>
      </c>
      <c r="K144" s="218">
        <v>0.84909999999999997</v>
      </c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</row>
    <row r="145" spans="1:24" ht="15.75" customHeight="1">
      <c r="A145" s="83"/>
      <c r="B145" s="218">
        <v>-11.2</v>
      </c>
      <c r="C145" s="218">
        <v>1.91</v>
      </c>
      <c r="D145" s="218">
        <v>8.0000000000000004E-4</v>
      </c>
      <c r="E145" s="218">
        <v>0.1042</v>
      </c>
      <c r="F145" s="218">
        <v>185.12</v>
      </c>
      <c r="G145" s="218">
        <v>391.94</v>
      </c>
      <c r="H145" s="218">
        <v>0.94469999999999998</v>
      </c>
      <c r="I145" s="218">
        <v>1.7342</v>
      </c>
      <c r="J145" s="218">
        <v>1.3127</v>
      </c>
      <c r="K145" s="218">
        <v>0.84950000000000003</v>
      </c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</row>
    <row r="146" spans="1:24" ht="15.75" customHeight="1">
      <c r="A146" s="83"/>
      <c r="B146" s="218">
        <v>-11.1</v>
      </c>
      <c r="C146" s="218">
        <v>1.92</v>
      </c>
      <c r="D146" s="218">
        <v>8.0000000000000004E-4</v>
      </c>
      <c r="E146" s="218">
        <v>0.1038</v>
      </c>
      <c r="F146" s="218">
        <v>185.25</v>
      </c>
      <c r="G146" s="218">
        <v>392</v>
      </c>
      <c r="H146" s="218">
        <v>0.94520000000000004</v>
      </c>
      <c r="I146" s="218">
        <v>1.7341</v>
      </c>
      <c r="J146" s="218">
        <v>1.3129999999999999</v>
      </c>
      <c r="K146" s="218">
        <v>0.84989999999999999</v>
      </c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</row>
    <row r="147" spans="1:24" ht="15.75" customHeight="1">
      <c r="A147" s="83"/>
      <c r="B147" s="218">
        <v>-11</v>
      </c>
      <c r="C147" s="218">
        <v>1.93</v>
      </c>
      <c r="D147" s="218">
        <v>8.0000000000000004E-4</v>
      </c>
      <c r="E147" s="218">
        <v>0.10340000000000001</v>
      </c>
      <c r="F147" s="218">
        <v>185.38</v>
      </c>
      <c r="G147" s="218">
        <v>392.06</v>
      </c>
      <c r="H147" s="218">
        <v>0.94569999999999999</v>
      </c>
      <c r="I147" s="218">
        <v>1.7341</v>
      </c>
      <c r="J147" s="218">
        <v>1.3131999999999999</v>
      </c>
      <c r="K147" s="218">
        <v>0.85029999999999994</v>
      </c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</row>
    <row r="148" spans="1:24" ht="15.75" customHeight="1">
      <c r="A148" s="83"/>
      <c r="B148" s="218">
        <v>-10.9</v>
      </c>
      <c r="C148" s="218">
        <v>1.94</v>
      </c>
      <c r="D148" s="218">
        <v>8.0000000000000004E-4</v>
      </c>
      <c r="E148" s="218">
        <v>0.10299999999999999</v>
      </c>
      <c r="F148" s="218">
        <v>185.51</v>
      </c>
      <c r="G148" s="218">
        <v>392.12</v>
      </c>
      <c r="H148" s="218">
        <v>0.94620000000000004</v>
      </c>
      <c r="I148" s="218">
        <v>1.734</v>
      </c>
      <c r="J148" s="218">
        <v>1.3133999999999999</v>
      </c>
      <c r="K148" s="218">
        <v>0.85070000000000001</v>
      </c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</row>
    <row r="149" spans="1:24" ht="15.75" customHeight="1">
      <c r="A149" s="83"/>
      <c r="B149" s="218">
        <v>-10.8</v>
      </c>
      <c r="C149" s="218">
        <v>1.94</v>
      </c>
      <c r="D149" s="218">
        <v>8.0000000000000004E-4</v>
      </c>
      <c r="E149" s="218">
        <v>0.1026</v>
      </c>
      <c r="F149" s="218">
        <v>185.64</v>
      </c>
      <c r="G149" s="218">
        <v>392.18</v>
      </c>
      <c r="H149" s="218">
        <v>0.94669999999999999</v>
      </c>
      <c r="I149" s="218">
        <v>1.7339</v>
      </c>
      <c r="J149" s="218">
        <v>1.3137000000000001</v>
      </c>
      <c r="K149" s="218">
        <v>0.85109999999999997</v>
      </c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</row>
    <row r="150" spans="1:24" ht="15.75" customHeight="1">
      <c r="A150" s="83"/>
      <c r="B150" s="218">
        <v>-10.7</v>
      </c>
      <c r="C150" s="218">
        <v>1.95</v>
      </c>
      <c r="D150" s="218">
        <v>8.0000000000000004E-4</v>
      </c>
      <c r="E150" s="218">
        <v>0.1023</v>
      </c>
      <c r="F150" s="218">
        <v>185.77</v>
      </c>
      <c r="G150" s="218">
        <v>392.24</v>
      </c>
      <c r="H150" s="218">
        <v>0.94720000000000004</v>
      </c>
      <c r="I150" s="218">
        <v>1.7338</v>
      </c>
      <c r="J150" s="218">
        <v>1.3139000000000001</v>
      </c>
      <c r="K150" s="218">
        <v>0.85150000000000003</v>
      </c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</row>
    <row r="151" spans="1:24" ht="15.75" customHeight="1">
      <c r="A151" s="83"/>
      <c r="B151" s="218">
        <v>-10.6</v>
      </c>
      <c r="C151" s="218">
        <v>1.96</v>
      </c>
      <c r="D151" s="218">
        <v>8.0000000000000004E-4</v>
      </c>
      <c r="E151" s="218">
        <v>0.1019</v>
      </c>
      <c r="F151" s="218">
        <v>185.91</v>
      </c>
      <c r="G151" s="218">
        <v>392.3</v>
      </c>
      <c r="H151" s="218">
        <v>0.94769999999999999</v>
      </c>
      <c r="I151" s="218">
        <v>1.7338</v>
      </c>
      <c r="J151" s="218">
        <v>1.3141</v>
      </c>
      <c r="K151" s="218">
        <v>0.85189999999999999</v>
      </c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</row>
    <row r="152" spans="1:24" ht="15.75" customHeight="1">
      <c r="A152" s="83"/>
      <c r="B152" s="218">
        <v>-10.5</v>
      </c>
      <c r="C152" s="218">
        <v>1.97</v>
      </c>
      <c r="D152" s="218">
        <v>8.0000000000000004E-4</v>
      </c>
      <c r="E152" s="218">
        <v>0.10150000000000001</v>
      </c>
      <c r="F152" s="218">
        <v>186.04</v>
      </c>
      <c r="G152" s="218">
        <v>392.36</v>
      </c>
      <c r="H152" s="218">
        <v>0.94820000000000004</v>
      </c>
      <c r="I152" s="218">
        <v>1.7337</v>
      </c>
      <c r="J152" s="218">
        <v>1.3144</v>
      </c>
      <c r="K152" s="218">
        <v>0.85229999999999995</v>
      </c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</row>
    <row r="153" spans="1:24" ht="15.75" customHeight="1">
      <c r="A153" s="83"/>
      <c r="B153" s="218">
        <v>-10.4</v>
      </c>
      <c r="C153" s="218">
        <v>1.97</v>
      </c>
      <c r="D153" s="218">
        <v>8.0000000000000004E-4</v>
      </c>
      <c r="E153" s="218">
        <v>0.1011</v>
      </c>
      <c r="F153" s="218">
        <v>186.17</v>
      </c>
      <c r="G153" s="218">
        <v>392.42</v>
      </c>
      <c r="H153" s="218">
        <v>0.94869999999999999</v>
      </c>
      <c r="I153" s="218">
        <v>1.7336</v>
      </c>
      <c r="J153" s="218">
        <v>1.3146</v>
      </c>
      <c r="K153" s="218">
        <v>0.85270000000000001</v>
      </c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</row>
    <row r="154" spans="1:24" ht="15.75" customHeight="1">
      <c r="A154" s="83"/>
      <c r="B154" s="218">
        <v>-10.3</v>
      </c>
      <c r="C154" s="218">
        <v>1.98</v>
      </c>
      <c r="D154" s="218">
        <v>8.0000000000000004E-4</v>
      </c>
      <c r="E154" s="218">
        <v>0.1007</v>
      </c>
      <c r="F154" s="218">
        <v>186.3</v>
      </c>
      <c r="G154" s="218">
        <v>392.48</v>
      </c>
      <c r="H154" s="218">
        <v>0.94920000000000004</v>
      </c>
      <c r="I154" s="218">
        <v>1.7336</v>
      </c>
      <c r="J154" s="218">
        <v>1.3148</v>
      </c>
      <c r="K154" s="218">
        <v>0.85309999999999997</v>
      </c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</row>
    <row r="155" spans="1:24" ht="15.75" customHeight="1">
      <c r="A155" s="83"/>
      <c r="B155" s="218">
        <v>-10.199999999999999</v>
      </c>
      <c r="C155" s="218">
        <v>1.99</v>
      </c>
      <c r="D155" s="218">
        <v>8.0000000000000004E-4</v>
      </c>
      <c r="E155" s="218">
        <v>0.1003</v>
      </c>
      <c r="F155" s="218">
        <v>186.43</v>
      </c>
      <c r="G155" s="218">
        <v>392.54</v>
      </c>
      <c r="H155" s="218">
        <v>0.9496</v>
      </c>
      <c r="I155" s="218">
        <v>1.7335</v>
      </c>
      <c r="J155" s="218">
        <v>1.3150999999999999</v>
      </c>
      <c r="K155" s="218">
        <v>0.85350000000000004</v>
      </c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</row>
    <row r="156" spans="1:24" ht="15.75" customHeight="1">
      <c r="A156" s="83"/>
      <c r="B156" s="218">
        <v>-10.1</v>
      </c>
      <c r="C156" s="218">
        <v>2</v>
      </c>
      <c r="D156" s="218">
        <v>8.0000000000000004E-4</v>
      </c>
      <c r="E156" s="218">
        <v>0.1</v>
      </c>
      <c r="F156" s="218">
        <v>186.56</v>
      </c>
      <c r="G156" s="218">
        <v>392.6</v>
      </c>
      <c r="H156" s="218">
        <v>0.95009999999999994</v>
      </c>
      <c r="I156" s="218">
        <v>1.7334000000000001</v>
      </c>
      <c r="J156" s="218">
        <v>1.3152999999999999</v>
      </c>
      <c r="K156" s="218">
        <v>0.85389999999999999</v>
      </c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</row>
    <row r="157" spans="1:24" ht="15.75" customHeight="1">
      <c r="A157" s="83"/>
      <c r="B157" s="218">
        <v>-10</v>
      </c>
      <c r="C157" s="218">
        <v>2.0099999999999998</v>
      </c>
      <c r="D157" s="218">
        <v>8.0000000000000004E-4</v>
      </c>
      <c r="E157" s="218">
        <v>9.9599999999999994E-2</v>
      </c>
      <c r="F157" s="218">
        <v>186.7</v>
      </c>
      <c r="G157" s="218">
        <v>392.66</v>
      </c>
      <c r="H157" s="218">
        <v>0.9506</v>
      </c>
      <c r="I157" s="218">
        <v>1.7334000000000001</v>
      </c>
      <c r="J157" s="218">
        <v>1.3156000000000001</v>
      </c>
      <c r="K157" s="218">
        <v>0.85440000000000005</v>
      </c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</row>
    <row r="158" spans="1:24" ht="15.75" customHeight="1">
      <c r="A158" s="83"/>
      <c r="B158" s="218">
        <v>-9.9</v>
      </c>
      <c r="C158" s="218">
        <v>2.0099999999999998</v>
      </c>
      <c r="D158" s="218">
        <v>8.0000000000000004E-4</v>
      </c>
      <c r="E158" s="218">
        <v>9.9199999999999997E-2</v>
      </c>
      <c r="F158" s="218">
        <v>186.83</v>
      </c>
      <c r="G158" s="218">
        <v>392.73</v>
      </c>
      <c r="H158" s="218">
        <v>0.95109999999999995</v>
      </c>
      <c r="I158" s="218">
        <v>1.7333000000000001</v>
      </c>
      <c r="J158" s="218">
        <v>1.3158000000000001</v>
      </c>
      <c r="K158" s="218">
        <v>0.8548</v>
      </c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</row>
    <row r="159" spans="1:24" ht="15.75" customHeight="1">
      <c r="A159" s="83"/>
      <c r="B159" s="218">
        <v>-9.8000000000000007</v>
      </c>
      <c r="C159" s="218">
        <v>2.02</v>
      </c>
      <c r="D159" s="218">
        <v>8.0000000000000004E-4</v>
      </c>
      <c r="E159" s="218">
        <v>9.8799999999999999E-2</v>
      </c>
      <c r="F159" s="218">
        <v>186.96</v>
      </c>
      <c r="G159" s="218">
        <v>392.79</v>
      </c>
      <c r="H159" s="218">
        <v>0.9516</v>
      </c>
      <c r="I159" s="218">
        <v>1.7332000000000001</v>
      </c>
      <c r="J159" s="218">
        <v>1.3160000000000001</v>
      </c>
      <c r="K159" s="218">
        <v>0.85519999999999996</v>
      </c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</row>
    <row r="160" spans="1:24" ht="15.75" customHeight="1">
      <c r="A160" s="83"/>
      <c r="B160" s="218">
        <v>-9.6999999999999993</v>
      </c>
      <c r="C160" s="218">
        <v>2.0299999999999998</v>
      </c>
      <c r="D160" s="218">
        <v>8.0000000000000004E-4</v>
      </c>
      <c r="E160" s="218">
        <v>9.8500000000000004E-2</v>
      </c>
      <c r="F160" s="218">
        <v>187.09</v>
      </c>
      <c r="G160" s="218">
        <v>392.85</v>
      </c>
      <c r="H160" s="218">
        <v>0.95209999999999995</v>
      </c>
      <c r="I160" s="218">
        <v>1.7331000000000001</v>
      </c>
      <c r="J160" s="218">
        <v>1.3163</v>
      </c>
      <c r="K160" s="218">
        <v>0.85560000000000003</v>
      </c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</row>
    <row r="161" spans="1:24" ht="15.75" customHeight="1">
      <c r="A161" s="83"/>
      <c r="B161" s="218">
        <v>-9.6</v>
      </c>
      <c r="C161" s="218">
        <v>2.04</v>
      </c>
      <c r="D161" s="218">
        <v>8.0000000000000004E-4</v>
      </c>
      <c r="E161" s="218">
        <v>9.8100000000000007E-2</v>
      </c>
      <c r="F161" s="218">
        <v>187.22</v>
      </c>
      <c r="G161" s="218">
        <v>392.91</v>
      </c>
      <c r="H161" s="218">
        <v>0.9526</v>
      </c>
      <c r="I161" s="218">
        <v>1.7331000000000001</v>
      </c>
      <c r="J161" s="218">
        <v>1.3165</v>
      </c>
      <c r="K161" s="218">
        <v>0.85599999999999998</v>
      </c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</row>
    <row r="162" spans="1:24" ht="15.75" customHeight="1">
      <c r="A162" s="83"/>
      <c r="B162" s="218">
        <v>-9.5</v>
      </c>
      <c r="C162" s="218">
        <v>2.0499999999999998</v>
      </c>
      <c r="D162" s="218">
        <v>8.0000000000000004E-4</v>
      </c>
      <c r="E162" s="218">
        <v>9.7699999999999995E-2</v>
      </c>
      <c r="F162" s="218">
        <v>187.36</v>
      </c>
      <c r="G162" s="218">
        <v>392.97</v>
      </c>
      <c r="H162" s="218">
        <v>0.95309999999999995</v>
      </c>
      <c r="I162" s="218">
        <v>1.7330000000000001</v>
      </c>
      <c r="J162" s="218">
        <v>1.3168</v>
      </c>
      <c r="K162" s="218">
        <v>0.85640000000000005</v>
      </c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</row>
    <row r="163" spans="1:24" ht="15.75" customHeight="1">
      <c r="A163" s="83"/>
      <c r="B163" s="218">
        <v>-9.4</v>
      </c>
      <c r="C163" s="218">
        <v>2.0499999999999998</v>
      </c>
      <c r="D163" s="218">
        <v>8.0000000000000004E-4</v>
      </c>
      <c r="E163" s="218">
        <v>9.74E-2</v>
      </c>
      <c r="F163" s="218">
        <v>187.49</v>
      </c>
      <c r="G163" s="218">
        <v>393.03</v>
      </c>
      <c r="H163" s="218">
        <v>0.9536</v>
      </c>
      <c r="I163" s="218">
        <v>1.7329000000000001</v>
      </c>
      <c r="J163" s="218">
        <v>1.3169999999999999</v>
      </c>
      <c r="K163" s="218">
        <v>0.85680000000000001</v>
      </c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</row>
    <row r="164" spans="1:24" ht="15.75" customHeight="1">
      <c r="A164" s="83"/>
      <c r="B164" s="218">
        <v>-9.3000000000000007</v>
      </c>
      <c r="C164" s="218">
        <v>2.06</v>
      </c>
      <c r="D164" s="218">
        <v>8.0000000000000004E-4</v>
      </c>
      <c r="E164" s="218">
        <v>9.7000000000000003E-2</v>
      </c>
      <c r="F164" s="218">
        <v>187.62</v>
      </c>
      <c r="G164" s="218">
        <v>393.09</v>
      </c>
      <c r="H164" s="218">
        <v>0.95409999999999995</v>
      </c>
      <c r="I164" s="218">
        <v>1.7329000000000001</v>
      </c>
      <c r="J164" s="218">
        <v>1.3171999999999999</v>
      </c>
      <c r="K164" s="218">
        <v>0.85719999999999996</v>
      </c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</row>
    <row r="165" spans="1:24" ht="15.75" customHeight="1">
      <c r="A165" s="83"/>
      <c r="B165" s="218">
        <v>-9.1999999999999993</v>
      </c>
      <c r="C165" s="218">
        <v>2.0699999999999998</v>
      </c>
      <c r="D165" s="218">
        <v>8.0000000000000004E-4</v>
      </c>
      <c r="E165" s="218">
        <v>9.6600000000000005E-2</v>
      </c>
      <c r="F165" s="218">
        <v>187.75</v>
      </c>
      <c r="G165" s="218">
        <v>393.15</v>
      </c>
      <c r="H165" s="218">
        <v>0.9546</v>
      </c>
      <c r="I165" s="218">
        <v>1.7327999999999999</v>
      </c>
      <c r="J165" s="218">
        <v>1.3174999999999999</v>
      </c>
      <c r="K165" s="218">
        <v>0.85760000000000003</v>
      </c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</row>
    <row r="166" spans="1:24" ht="15.75" customHeight="1">
      <c r="A166" s="83"/>
      <c r="B166" s="218">
        <v>-9.1</v>
      </c>
      <c r="C166" s="218">
        <v>2.08</v>
      </c>
      <c r="D166" s="218">
        <v>8.0000000000000004E-4</v>
      </c>
      <c r="E166" s="218">
        <v>9.6299999999999997E-2</v>
      </c>
      <c r="F166" s="218">
        <v>187.88</v>
      </c>
      <c r="G166" s="218">
        <v>393.21</v>
      </c>
      <c r="H166" s="218">
        <v>0.95509999999999995</v>
      </c>
      <c r="I166" s="218">
        <v>1.7326999999999999</v>
      </c>
      <c r="J166" s="218">
        <v>1.3177000000000001</v>
      </c>
      <c r="K166" s="218">
        <v>0.85799999999999998</v>
      </c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</row>
    <row r="167" spans="1:24" ht="15.75" customHeight="1">
      <c r="A167" s="83"/>
      <c r="B167" s="218">
        <v>-9</v>
      </c>
      <c r="C167" s="218">
        <v>2.09</v>
      </c>
      <c r="D167" s="218">
        <v>8.0000000000000004E-4</v>
      </c>
      <c r="E167" s="218">
        <v>9.5899999999999999E-2</v>
      </c>
      <c r="F167" s="218">
        <v>188.02</v>
      </c>
      <c r="G167" s="218">
        <v>393.27</v>
      </c>
      <c r="H167" s="218">
        <v>0.9556</v>
      </c>
      <c r="I167" s="218">
        <v>1.7326999999999999</v>
      </c>
      <c r="J167" s="218">
        <v>1.3180000000000001</v>
      </c>
      <c r="K167" s="218">
        <v>0.85840000000000005</v>
      </c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</row>
    <row r="168" spans="1:24" ht="15.75" customHeight="1">
      <c r="A168" s="83"/>
      <c r="B168" s="218">
        <v>-8.9</v>
      </c>
      <c r="C168" s="218">
        <v>2.09</v>
      </c>
      <c r="D168" s="218">
        <v>8.0000000000000004E-4</v>
      </c>
      <c r="E168" s="218">
        <v>9.5600000000000004E-2</v>
      </c>
      <c r="F168" s="218">
        <v>188.15</v>
      </c>
      <c r="G168" s="218">
        <v>393.33</v>
      </c>
      <c r="H168" s="218">
        <v>0.95609999999999995</v>
      </c>
      <c r="I168" s="218">
        <v>1.7325999999999999</v>
      </c>
      <c r="J168" s="218">
        <v>1.3182</v>
      </c>
      <c r="K168" s="218">
        <v>0.85880000000000001</v>
      </c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</row>
    <row r="169" spans="1:24" ht="15.75" customHeight="1">
      <c r="A169" s="83"/>
      <c r="B169" s="218">
        <v>-8.8000000000000007</v>
      </c>
      <c r="C169" s="218">
        <v>2.1</v>
      </c>
      <c r="D169" s="218">
        <v>8.0000000000000004E-4</v>
      </c>
      <c r="E169" s="218">
        <v>9.5200000000000007E-2</v>
      </c>
      <c r="F169" s="218">
        <v>188.28</v>
      </c>
      <c r="G169" s="218">
        <v>393.39</v>
      </c>
      <c r="H169" s="218">
        <v>0.95660000000000001</v>
      </c>
      <c r="I169" s="218">
        <v>1.7324999999999999</v>
      </c>
      <c r="J169" s="218">
        <v>1.3184</v>
      </c>
      <c r="K169" s="218">
        <v>0.85929999999999995</v>
      </c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</row>
    <row r="170" spans="1:24" ht="15.75" customHeight="1">
      <c r="A170" s="83"/>
      <c r="B170" s="218">
        <v>-8.6999999999999993</v>
      </c>
      <c r="C170" s="218">
        <v>2.11</v>
      </c>
      <c r="D170" s="218">
        <v>8.0000000000000004E-4</v>
      </c>
      <c r="E170" s="218">
        <v>9.4899999999999998E-2</v>
      </c>
      <c r="F170" s="218">
        <v>188.41</v>
      </c>
      <c r="G170" s="218">
        <v>393.45</v>
      </c>
      <c r="H170" s="218">
        <v>0.95709999999999995</v>
      </c>
      <c r="I170" s="218">
        <v>1.7323999999999999</v>
      </c>
      <c r="J170" s="218">
        <v>1.3187</v>
      </c>
      <c r="K170" s="218">
        <v>0.85970000000000002</v>
      </c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</row>
    <row r="171" spans="1:24" ht="15.75" customHeight="1">
      <c r="A171" s="83"/>
      <c r="B171" s="218">
        <v>-8.6</v>
      </c>
      <c r="C171" s="218">
        <v>2.12</v>
      </c>
      <c r="D171" s="218">
        <v>8.0000000000000004E-4</v>
      </c>
      <c r="E171" s="218">
        <v>9.4500000000000001E-2</v>
      </c>
      <c r="F171" s="218">
        <v>188.54</v>
      </c>
      <c r="G171" s="218">
        <v>393.51</v>
      </c>
      <c r="H171" s="218">
        <v>0.95760000000000001</v>
      </c>
      <c r="I171" s="218">
        <v>1.7323999999999999</v>
      </c>
      <c r="J171" s="218">
        <v>1.3189</v>
      </c>
      <c r="K171" s="218">
        <v>0.86009999999999998</v>
      </c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</row>
    <row r="172" spans="1:24" ht="15.75" customHeight="1">
      <c r="A172" s="83"/>
      <c r="B172" s="218">
        <v>-8.5</v>
      </c>
      <c r="C172" s="218">
        <v>2.13</v>
      </c>
      <c r="D172" s="218">
        <v>8.0000000000000004E-4</v>
      </c>
      <c r="E172" s="218">
        <v>9.4200000000000006E-2</v>
      </c>
      <c r="F172" s="218">
        <v>188.68</v>
      </c>
      <c r="G172" s="218">
        <v>393.57</v>
      </c>
      <c r="H172" s="218">
        <v>0.95809999999999995</v>
      </c>
      <c r="I172" s="218">
        <v>1.7323</v>
      </c>
      <c r="J172" s="218">
        <v>1.3191999999999999</v>
      </c>
      <c r="K172" s="218">
        <v>0.86050000000000004</v>
      </c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</row>
    <row r="173" spans="1:24" ht="15.75" customHeight="1">
      <c r="A173" s="83"/>
      <c r="B173" s="218">
        <v>-8.4</v>
      </c>
      <c r="C173" s="218">
        <v>2.14</v>
      </c>
      <c r="D173" s="218">
        <v>8.0000000000000004E-4</v>
      </c>
      <c r="E173" s="218">
        <v>9.3799999999999994E-2</v>
      </c>
      <c r="F173" s="218">
        <v>188.81</v>
      </c>
      <c r="G173" s="218">
        <v>393.63</v>
      </c>
      <c r="H173" s="218">
        <v>0.95860000000000001</v>
      </c>
      <c r="I173" s="218">
        <v>1.7322</v>
      </c>
      <c r="J173" s="218">
        <v>1.3193999999999999</v>
      </c>
      <c r="K173" s="218">
        <v>0.8609</v>
      </c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</row>
    <row r="174" spans="1:24" ht="15.75" customHeight="1">
      <c r="A174" s="83"/>
      <c r="B174" s="218">
        <v>-8.3000000000000007</v>
      </c>
      <c r="C174" s="218">
        <v>2.14</v>
      </c>
      <c r="D174" s="218">
        <v>8.0000000000000004E-4</v>
      </c>
      <c r="E174" s="218">
        <v>9.35E-2</v>
      </c>
      <c r="F174" s="218">
        <v>188.94</v>
      </c>
      <c r="G174" s="218">
        <v>393.69</v>
      </c>
      <c r="H174" s="218">
        <v>0.95909999999999995</v>
      </c>
      <c r="I174" s="218">
        <v>1.7322</v>
      </c>
      <c r="J174" s="218">
        <v>1.3197000000000001</v>
      </c>
      <c r="K174" s="218">
        <v>0.86129999999999995</v>
      </c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</row>
    <row r="175" spans="1:24" ht="15.75" customHeight="1">
      <c r="A175" s="83"/>
      <c r="B175" s="218">
        <v>-8.1999999999999993</v>
      </c>
      <c r="C175" s="218">
        <v>2.15</v>
      </c>
      <c r="D175" s="218">
        <v>8.0000000000000004E-4</v>
      </c>
      <c r="E175" s="218">
        <v>9.3100000000000002E-2</v>
      </c>
      <c r="F175" s="218">
        <v>189.07</v>
      </c>
      <c r="G175" s="218">
        <v>393.75</v>
      </c>
      <c r="H175" s="218">
        <v>0.95960000000000001</v>
      </c>
      <c r="I175" s="218">
        <v>1.7321</v>
      </c>
      <c r="J175" s="218">
        <v>1.3199000000000001</v>
      </c>
      <c r="K175" s="218">
        <v>0.86170000000000002</v>
      </c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</row>
    <row r="176" spans="1:24" ht="15.75" customHeight="1">
      <c r="A176" s="83"/>
      <c r="B176" s="218">
        <v>-8.1</v>
      </c>
      <c r="C176" s="218">
        <v>2.16</v>
      </c>
      <c r="D176" s="218">
        <v>8.0000000000000004E-4</v>
      </c>
      <c r="E176" s="218">
        <v>9.2799999999999994E-2</v>
      </c>
      <c r="F176" s="218">
        <v>189.2</v>
      </c>
      <c r="G176" s="218">
        <v>393.81</v>
      </c>
      <c r="H176" s="218">
        <v>0.96009999999999995</v>
      </c>
      <c r="I176" s="218">
        <v>1.732</v>
      </c>
      <c r="J176" s="218">
        <v>1.3202</v>
      </c>
      <c r="K176" s="218">
        <v>0.86209999999999998</v>
      </c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</row>
    <row r="177" spans="1:24" ht="15.75" customHeight="1">
      <c r="A177" s="83"/>
      <c r="B177" s="218">
        <v>-8</v>
      </c>
      <c r="C177" s="218">
        <v>2.17</v>
      </c>
      <c r="D177" s="218">
        <v>8.0000000000000004E-4</v>
      </c>
      <c r="E177" s="218">
        <v>9.2399999999999996E-2</v>
      </c>
      <c r="F177" s="218">
        <v>189.34</v>
      </c>
      <c r="G177" s="218">
        <v>393.87</v>
      </c>
      <c r="H177" s="218">
        <v>0.96060000000000001</v>
      </c>
      <c r="I177" s="218">
        <v>1.732</v>
      </c>
      <c r="J177" s="218">
        <v>1.3204</v>
      </c>
      <c r="K177" s="218">
        <v>0.86260000000000003</v>
      </c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</row>
    <row r="178" spans="1:24" ht="15.75" customHeight="1">
      <c r="A178" s="83"/>
      <c r="B178" s="218">
        <v>-7.9</v>
      </c>
      <c r="C178" s="218">
        <v>2.1800000000000002</v>
      </c>
      <c r="D178" s="218">
        <v>8.0000000000000004E-4</v>
      </c>
      <c r="E178" s="218">
        <v>9.2100000000000001E-2</v>
      </c>
      <c r="F178" s="218">
        <v>189.47</v>
      </c>
      <c r="G178" s="218">
        <v>393.93</v>
      </c>
      <c r="H178" s="218">
        <v>0.96109999999999995</v>
      </c>
      <c r="I178" s="218">
        <v>1.7319</v>
      </c>
      <c r="J178" s="218">
        <v>1.3206</v>
      </c>
      <c r="K178" s="218">
        <v>0.86299999999999999</v>
      </c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</row>
    <row r="179" spans="1:24" ht="15.75" customHeight="1">
      <c r="A179" s="83"/>
      <c r="B179" s="218">
        <v>-7.8</v>
      </c>
      <c r="C179" s="218">
        <v>2.19</v>
      </c>
      <c r="D179" s="218">
        <v>8.0000000000000004E-4</v>
      </c>
      <c r="E179" s="218">
        <v>9.1700000000000004E-2</v>
      </c>
      <c r="F179" s="218">
        <v>189.6</v>
      </c>
      <c r="G179" s="218">
        <v>393.99</v>
      </c>
      <c r="H179" s="218">
        <v>0.96160000000000001</v>
      </c>
      <c r="I179" s="218">
        <v>1.7318</v>
      </c>
      <c r="J179" s="218">
        <v>1.3209</v>
      </c>
      <c r="K179" s="218">
        <v>0.86339999999999995</v>
      </c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</row>
    <row r="180" spans="1:24" ht="15.75" customHeight="1">
      <c r="A180" s="83"/>
      <c r="B180" s="218">
        <v>-7.7</v>
      </c>
      <c r="C180" s="218">
        <v>2.19</v>
      </c>
      <c r="D180" s="218">
        <v>8.0000000000000004E-4</v>
      </c>
      <c r="E180" s="218">
        <v>9.1399999999999995E-2</v>
      </c>
      <c r="F180" s="218">
        <v>189.73</v>
      </c>
      <c r="G180" s="218">
        <v>394.05</v>
      </c>
      <c r="H180" s="218">
        <v>0.96209999999999996</v>
      </c>
      <c r="I180" s="218">
        <v>1.7318</v>
      </c>
      <c r="J180" s="218">
        <v>1.3210999999999999</v>
      </c>
      <c r="K180" s="218">
        <v>0.86380000000000001</v>
      </c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</row>
    <row r="181" spans="1:24" ht="15.75" customHeight="1">
      <c r="A181" s="83"/>
      <c r="B181" s="218">
        <v>-7.6</v>
      </c>
      <c r="C181" s="218">
        <v>2.2000000000000002</v>
      </c>
      <c r="D181" s="218">
        <v>8.0000000000000004E-4</v>
      </c>
      <c r="E181" s="218">
        <v>9.11E-2</v>
      </c>
      <c r="F181" s="218">
        <v>189.87</v>
      </c>
      <c r="G181" s="218">
        <v>394.11</v>
      </c>
      <c r="H181" s="218">
        <v>0.96260000000000001</v>
      </c>
      <c r="I181" s="218">
        <v>1.7317</v>
      </c>
      <c r="J181" s="218">
        <v>1.3213999999999999</v>
      </c>
      <c r="K181" s="218">
        <v>0.86419999999999997</v>
      </c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</row>
    <row r="182" spans="1:24" ht="15.75" customHeight="1">
      <c r="A182" s="83"/>
      <c r="B182" s="218">
        <v>-7.5</v>
      </c>
      <c r="C182" s="218">
        <v>2.21</v>
      </c>
      <c r="D182" s="218">
        <v>8.0000000000000004E-4</v>
      </c>
      <c r="E182" s="218">
        <v>9.0700000000000003E-2</v>
      </c>
      <c r="F182" s="218">
        <v>190</v>
      </c>
      <c r="G182" s="218">
        <v>394.17</v>
      </c>
      <c r="H182" s="218">
        <v>0.96309999999999996</v>
      </c>
      <c r="I182" s="218">
        <v>1.7316</v>
      </c>
      <c r="J182" s="218">
        <v>1.3216000000000001</v>
      </c>
      <c r="K182" s="218">
        <v>0.86460000000000004</v>
      </c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</row>
    <row r="183" spans="1:24" ht="15.75" customHeight="1">
      <c r="A183" s="83"/>
      <c r="B183" s="218">
        <v>-7.4</v>
      </c>
      <c r="C183" s="218">
        <v>2.2200000000000002</v>
      </c>
      <c r="D183" s="218">
        <v>8.0000000000000004E-4</v>
      </c>
      <c r="E183" s="218">
        <v>9.0399999999999994E-2</v>
      </c>
      <c r="F183" s="218">
        <v>190.13</v>
      </c>
      <c r="G183" s="218">
        <v>394.23</v>
      </c>
      <c r="H183" s="218">
        <v>0.96360000000000001</v>
      </c>
      <c r="I183" s="218">
        <v>1.7316</v>
      </c>
      <c r="J183" s="218">
        <v>1.3219000000000001</v>
      </c>
      <c r="K183" s="218">
        <v>0.86499999999999999</v>
      </c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</row>
    <row r="184" spans="1:24" ht="15.75" customHeight="1">
      <c r="A184" s="83"/>
      <c r="B184" s="218">
        <v>-7.3</v>
      </c>
      <c r="C184" s="218">
        <v>2.23</v>
      </c>
      <c r="D184" s="218">
        <v>8.0000000000000004E-4</v>
      </c>
      <c r="E184" s="218">
        <v>9.01E-2</v>
      </c>
      <c r="F184" s="218">
        <v>190.26</v>
      </c>
      <c r="G184" s="218">
        <v>394.29</v>
      </c>
      <c r="H184" s="218">
        <v>0.96409999999999996</v>
      </c>
      <c r="I184" s="218">
        <v>1.7315</v>
      </c>
      <c r="J184" s="218">
        <v>1.3221000000000001</v>
      </c>
      <c r="K184" s="218">
        <v>0.86550000000000005</v>
      </c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</row>
    <row r="185" spans="1:24" ht="15.75" customHeight="1">
      <c r="A185" s="83"/>
      <c r="B185" s="218">
        <v>-7.2</v>
      </c>
      <c r="C185" s="218">
        <v>2.2400000000000002</v>
      </c>
      <c r="D185" s="218">
        <v>8.0000000000000004E-4</v>
      </c>
      <c r="E185" s="218">
        <v>8.9700000000000002E-2</v>
      </c>
      <c r="F185" s="218">
        <v>190.4</v>
      </c>
      <c r="G185" s="218">
        <v>394.35</v>
      </c>
      <c r="H185" s="218">
        <v>0.96460000000000001</v>
      </c>
      <c r="I185" s="218">
        <v>1.7314000000000001</v>
      </c>
      <c r="J185" s="218">
        <v>1.3224</v>
      </c>
      <c r="K185" s="218">
        <v>0.8659</v>
      </c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</row>
    <row r="186" spans="1:24" ht="15.75" customHeight="1">
      <c r="A186" s="83"/>
      <c r="B186" s="218">
        <v>-7.1</v>
      </c>
      <c r="C186" s="218">
        <v>2.25</v>
      </c>
      <c r="D186" s="218">
        <v>8.0000000000000004E-4</v>
      </c>
      <c r="E186" s="218">
        <v>8.9399999999999993E-2</v>
      </c>
      <c r="F186" s="218">
        <v>190.53</v>
      </c>
      <c r="G186" s="218">
        <v>394.41</v>
      </c>
      <c r="H186" s="218">
        <v>0.96509999999999996</v>
      </c>
      <c r="I186" s="218">
        <v>1.7314000000000001</v>
      </c>
      <c r="J186" s="218">
        <v>1.3226</v>
      </c>
      <c r="K186" s="218">
        <v>0.86629999999999996</v>
      </c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</row>
    <row r="187" spans="1:24" ht="15.75" customHeight="1">
      <c r="A187" s="83"/>
      <c r="B187" s="218">
        <v>-7</v>
      </c>
      <c r="C187" s="218">
        <v>2.25</v>
      </c>
      <c r="D187" s="218">
        <v>8.0000000000000004E-4</v>
      </c>
      <c r="E187" s="218">
        <v>8.9099999999999999E-2</v>
      </c>
      <c r="F187" s="218">
        <v>190.66</v>
      </c>
      <c r="G187" s="218">
        <v>394.47</v>
      </c>
      <c r="H187" s="218">
        <v>0.96560000000000001</v>
      </c>
      <c r="I187" s="218">
        <v>1.7313000000000001</v>
      </c>
      <c r="J187" s="218">
        <v>1.3229</v>
      </c>
      <c r="K187" s="218">
        <v>0.86670000000000003</v>
      </c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</row>
    <row r="188" spans="1:24" ht="15.75" customHeight="1">
      <c r="A188" s="83"/>
      <c r="B188" s="218">
        <v>-6.9</v>
      </c>
      <c r="C188" s="218">
        <v>2.2599999999999998</v>
      </c>
      <c r="D188" s="218">
        <v>8.0000000000000004E-4</v>
      </c>
      <c r="E188" s="218">
        <v>8.8700000000000001E-2</v>
      </c>
      <c r="F188" s="218">
        <v>190.79</v>
      </c>
      <c r="G188" s="218">
        <v>394.53</v>
      </c>
      <c r="H188" s="218">
        <v>0.96609999999999996</v>
      </c>
      <c r="I188" s="218">
        <v>1.7312000000000001</v>
      </c>
      <c r="J188" s="218">
        <v>1.3230999999999999</v>
      </c>
      <c r="K188" s="218">
        <v>0.86709999999999998</v>
      </c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</row>
    <row r="189" spans="1:24" ht="15.75" customHeight="1">
      <c r="A189" s="83"/>
      <c r="B189" s="218">
        <v>-6.8</v>
      </c>
      <c r="C189" s="218">
        <v>2.27</v>
      </c>
      <c r="D189" s="218">
        <v>8.0000000000000004E-4</v>
      </c>
      <c r="E189" s="218">
        <v>8.8400000000000006E-2</v>
      </c>
      <c r="F189" s="218">
        <v>190.93</v>
      </c>
      <c r="G189" s="218">
        <v>394.59</v>
      </c>
      <c r="H189" s="218">
        <v>0.96650000000000003</v>
      </c>
      <c r="I189" s="218">
        <v>1.7312000000000001</v>
      </c>
      <c r="J189" s="218">
        <v>1.3233999999999999</v>
      </c>
      <c r="K189" s="218">
        <v>0.86760000000000004</v>
      </c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</row>
    <row r="190" spans="1:24" ht="15.75" customHeight="1">
      <c r="A190" s="83"/>
      <c r="B190" s="218">
        <v>-6.7</v>
      </c>
      <c r="C190" s="218">
        <v>2.2799999999999998</v>
      </c>
      <c r="D190" s="218">
        <v>8.0000000000000004E-4</v>
      </c>
      <c r="E190" s="218">
        <v>8.8099999999999998E-2</v>
      </c>
      <c r="F190" s="218">
        <v>191.06</v>
      </c>
      <c r="G190" s="218">
        <v>394.65</v>
      </c>
      <c r="H190" s="218">
        <v>0.96699999999999997</v>
      </c>
      <c r="I190" s="218">
        <v>1.7311000000000001</v>
      </c>
      <c r="J190" s="218">
        <v>1.3236000000000001</v>
      </c>
      <c r="K190" s="218">
        <v>0.86799999999999999</v>
      </c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</row>
    <row r="191" spans="1:24" ht="15.75" customHeight="1">
      <c r="A191" s="83"/>
      <c r="B191" s="218">
        <v>-6.6</v>
      </c>
      <c r="C191" s="218">
        <v>2.29</v>
      </c>
      <c r="D191" s="218">
        <v>8.0000000000000004E-4</v>
      </c>
      <c r="E191" s="218">
        <v>8.7800000000000003E-2</v>
      </c>
      <c r="F191" s="218">
        <v>191.19</v>
      </c>
      <c r="G191" s="218">
        <v>394.71</v>
      </c>
      <c r="H191" s="218">
        <v>0.96750000000000003</v>
      </c>
      <c r="I191" s="218">
        <v>1.7311000000000001</v>
      </c>
      <c r="J191" s="218">
        <v>1.3239000000000001</v>
      </c>
      <c r="K191" s="218">
        <v>0.86839999999999995</v>
      </c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</row>
    <row r="192" spans="1:24" ht="15.75" customHeight="1">
      <c r="A192" s="83"/>
      <c r="B192" s="218">
        <v>-6.5</v>
      </c>
      <c r="C192" s="218">
        <v>2.2999999999999998</v>
      </c>
      <c r="D192" s="218">
        <v>8.0000000000000004E-4</v>
      </c>
      <c r="E192" s="218">
        <v>8.7499999999999994E-2</v>
      </c>
      <c r="F192" s="218">
        <v>191.32</v>
      </c>
      <c r="G192" s="218">
        <v>394.77</v>
      </c>
      <c r="H192" s="218">
        <v>0.96799999999999997</v>
      </c>
      <c r="I192" s="218">
        <v>1.7310000000000001</v>
      </c>
      <c r="J192" s="218">
        <v>1.3241000000000001</v>
      </c>
      <c r="K192" s="218">
        <v>0.86880000000000002</v>
      </c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</row>
    <row r="193" spans="1:24" ht="15.75" customHeight="1">
      <c r="A193" s="83"/>
      <c r="B193" s="218">
        <v>-6.4</v>
      </c>
      <c r="C193" s="218">
        <v>2.31</v>
      </c>
      <c r="D193" s="218">
        <v>8.0000000000000004E-4</v>
      </c>
      <c r="E193" s="218">
        <v>8.7099999999999997E-2</v>
      </c>
      <c r="F193" s="218">
        <v>191.46</v>
      </c>
      <c r="G193" s="218">
        <v>394.83</v>
      </c>
      <c r="H193" s="218">
        <v>0.96850000000000003</v>
      </c>
      <c r="I193" s="218">
        <v>1.7309000000000001</v>
      </c>
      <c r="J193" s="218">
        <v>1.3244</v>
      </c>
      <c r="K193" s="218">
        <v>0.86919999999999997</v>
      </c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</row>
    <row r="194" spans="1:24" ht="15.75" customHeight="1">
      <c r="A194" s="83"/>
      <c r="B194" s="218">
        <v>-6.3</v>
      </c>
      <c r="C194" s="218">
        <v>2.3199999999999998</v>
      </c>
      <c r="D194" s="218">
        <v>8.0000000000000004E-4</v>
      </c>
      <c r="E194" s="218">
        <v>8.6800000000000002E-2</v>
      </c>
      <c r="F194" s="218">
        <v>191.59</v>
      </c>
      <c r="G194" s="218">
        <v>394.88</v>
      </c>
      <c r="H194" s="218">
        <v>0.96899999999999997</v>
      </c>
      <c r="I194" s="218">
        <v>1.7309000000000001</v>
      </c>
      <c r="J194" s="218">
        <v>1.3246</v>
      </c>
      <c r="K194" s="218">
        <v>0.86970000000000003</v>
      </c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</row>
    <row r="195" spans="1:24" ht="15.75" customHeight="1">
      <c r="A195" s="83"/>
      <c r="B195" s="218">
        <v>-6.2</v>
      </c>
      <c r="C195" s="218">
        <v>2.3199999999999998</v>
      </c>
      <c r="D195" s="218">
        <v>8.0000000000000004E-4</v>
      </c>
      <c r="E195" s="218">
        <v>8.6499999999999994E-2</v>
      </c>
      <c r="F195" s="218">
        <v>191.72</v>
      </c>
      <c r="G195" s="218">
        <v>394.94</v>
      </c>
      <c r="H195" s="218">
        <v>0.96950000000000003</v>
      </c>
      <c r="I195" s="218">
        <v>1.7307999999999999</v>
      </c>
      <c r="J195" s="218">
        <v>1.3249</v>
      </c>
      <c r="K195" s="218">
        <v>0.87009999999999998</v>
      </c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</row>
    <row r="196" spans="1:24" ht="15.75" customHeight="1">
      <c r="A196" s="83"/>
      <c r="B196" s="218">
        <v>-6.1</v>
      </c>
      <c r="C196" s="218">
        <v>2.33</v>
      </c>
      <c r="D196" s="218">
        <v>8.0000000000000004E-4</v>
      </c>
      <c r="E196" s="218">
        <v>8.6199999999999999E-2</v>
      </c>
      <c r="F196" s="218">
        <v>191.85</v>
      </c>
      <c r="G196" s="218">
        <v>395</v>
      </c>
      <c r="H196" s="218">
        <v>0.97</v>
      </c>
      <c r="I196" s="218">
        <v>1.7306999999999999</v>
      </c>
      <c r="J196" s="218">
        <v>1.3250999999999999</v>
      </c>
      <c r="K196" s="218">
        <v>0.87050000000000005</v>
      </c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</row>
    <row r="197" spans="1:24" ht="15.75" customHeight="1">
      <c r="A197" s="83"/>
      <c r="B197" s="218">
        <v>-6</v>
      </c>
      <c r="C197" s="218">
        <v>2.34</v>
      </c>
      <c r="D197" s="218">
        <v>8.0000000000000004E-4</v>
      </c>
      <c r="E197" s="218">
        <v>8.5900000000000004E-2</v>
      </c>
      <c r="F197" s="218">
        <v>191.99</v>
      </c>
      <c r="G197" s="218">
        <v>395.06</v>
      </c>
      <c r="H197" s="218">
        <v>0.97050000000000003</v>
      </c>
      <c r="I197" s="218">
        <v>1.7306999999999999</v>
      </c>
      <c r="J197" s="218">
        <v>1.3253999999999999</v>
      </c>
      <c r="K197" s="218">
        <v>0.87090000000000001</v>
      </c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</row>
    <row r="198" spans="1:24" ht="15.75" customHeight="1">
      <c r="A198" s="83"/>
      <c r="B198" s="218">
        <v>-5.9</v>
      </c>
      <c r="C198" s="218">
        <v>2.35</v>
      </c>
      <c r="D198" s="218">
        <v>8.0000000000000004E-4</v>
      </c>
      <c r="E198" s="218">
        <v>8.5599999999999996E-2</v>
      </c>
      <c r="F198" s="218">
        <v>192.12</v>
      </c>
      <c r="G198" s="218">
        <v>395.12</v>
      </c>
      <c r="H198" s="218">
        <v>0.97099999999999997</v>
      </c>
      <c r="I198" s="218">
        <v>1.7305999999999999</v>
      </c>
      <c r="J198" s="218">
        <v>1.3255999999999999</v>
      </c>
      <c r="K198" s="218">
        <v>0.87139999999999995</v>
      </c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</row>
    <row r="199" spans="1:24" ht="15.75" customHeight="1">
      <c r="A199" s="83"/>
      <c r="B199" s="218">
        <v>-5.8</v>
      </c>
      <c r="C199" s="218">
        <v>2.36</v>
      </c>
      <c r="D199" s="218">
        <v>8.0000000000000004E-4</v>
      </c>
      <c r="E199" s="218">
        <v>8.5199999999999998E-2</v>
      </c>
      <c r="F199" s="218">
        <v>192.25</v>
      </c>
      <c r="G199" s="218">
        <v>395.18</v>
      </c>
      <c r="H199" s="218">
        <v>0.97150000000000003</v>
      </c>
      <c r="I199" s="218">
        <v>1.7304999999999999</v>
      </c>
      <c r="J199" s="218">
        <v>1.3259000000000001</v>
      </c>
      <c r="K199" s="218">
        <v>0.87180000000000002</v>
      </c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</row>
    <row r="200" spans="1:24" ht="15.75" customHeight="1">
      <c r="A200" s="83"/>
      <c r="B200" s="218">
        <v>-5.7</v>
      </c>
      <c r="C200" s="218">
        <v>2.37</v>
      </c>
      <c r="D200" s="218">
        <v>8.0000000000000004E-4</v>
      </c>
      <c r="E200" s="218">
        <v>8.4900000000000003E-2</v>
      </c>
      <c r="F200" s="218">
        <v>192.39</v>
      </c>
      <c r="G200" s="218">
        <v>395.24</v>
      </c>
      <c r="H200" s="218">
        <v>0.97199999999999998</v>
      </c>
      <c r="I200" s="218">
        <v>1.7304999999999999</v>
      </c>
      <c r="J200" s="218">
        <v>1.3261000000000001</v>
      </c>
      <c r="K200" s="218">
        <v>0.87219999999999998</v>
      </c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</row>
    <row r="201" spans="1:24" ht="15.75" customHeight="1">
      <c r="A201" s="83"/>
      <c r="B201" s="218">
        <v>-5.6</v>
      </c>
      <c r="C201" s="218">
        <v>2.38</v>
      </c>
      <c r="D201" s="218">
        <v>8.0000000000000004E-4</v>
      </c>
      <c r="E201" s="218">
        <v>8.4599999999999995E-2</v>
      </c>
      <c r="F201" s="218">
        <v>192.52</v>
      </c>
      <c r="G201" s="218">
        <v>395.3</v>
      </c>
      <c r="H201" s="218">
        <v>0.97250000000000003</v>
      </c>
      <c r="I201" s="218">
        <v>1.7303999999999999</v>
      </c>
      <c r="J201" s="218">
        <v>1.3264</v>
      </c>
      <c r="K201" s="218">
        <v>0.87260000000000004</v>
      </c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</row>
    <row r="202" spans="1:24" ht="15.75" customHeight="1">
      <c r="A202" s="83"/>
      <c r="B202" s="218">
        <v>-5.5</v>
      </c>
      <c r="C202" s="218">
        <v>2.39</v>
      </c>
      <c r="D202" s="218">
        <v>8.0000000000000004E-4</v>
      </c>
      <c r="E202" s="218">
        <v>8.43E-2</v>
      </c>
      <c r="F202" s="218">
        <v>192.65</v>
      </c>
      <c r="G202" s="218">
        <v>395.36</v>
      </c>
      <c r="H202" s="218">
        <v>0.97299999999999998</v>
      </c>
      <c r="I202" s="218">
        <v>1.7302999999999999</v>
      </c>
      <c r="J202" s="218">
        <v>1.3266</v>
      </c>
      <c r="K202" s="218">
        <v>0.87309999999999999</v>
      </c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</row>
    <row r="203" spans="1:24" ht="15.75" customHeight="1">
      <c r="A203" s="83"/>
      <c r="B203" s="218">
        <v>-5.4</v>
      </c>
      <c r="C203" s="218">
        <v>2.4</v>
      </c>
      <c r="D203" s="218">
        <v>8.0000000000000004E-4</v>
      </c>
      <c r="E203" s="218">
        <v>8.4000000000000005E-2</v>
      </c>
      <c r="F203" s="218">
        <v>192.78</v>
      </c>
      <c r="G203" s="218">
        <v>395.42</v>
      </c>
      <c r="H203" s="218">
        <v>0.97350000000000003</v>
      </c>
      <c r="I203" s="218">
        <v>1.7302999999999999</v>
      </c>
      <c r="J203" s="218">
        <v>1.3269</v>
      </c>
      <c r="K203" s="218">
        <v>0.87350000000000005</v>
      </c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</row>
    <row r="204" spans="1:24" ht="15.75" customHeight="1">
      <c r="A204" s="83"/>
      <c r="B204" s="218">
        <v>-5.3</v>
      </c>
      <c r="C204" s="218">
        <v>2.41</v>
      </c>
      <c r="D204" s="218">
        <v>8.0000000000000004E-4</v>
      </c>
      <c r="E204" s="218">
        <v>8.3699999999999997E-2</v>
      </c>
      <c r="F204" s="218">
        <v>192.92</v>
      </c>
      <c r="G204" s="218">
        <v>395.48</v>
      </c>
      <c r="H204" s="218">
        <v>0.97399999999999998</v>
      </c>
      <c r="I204" s="218">
        <v>1.7302</v>
      </c>
      <c r="J204" s="218">
        <v>1.3270999999999999</v>
      </c>
      <c r="K204" s="218">
        <v>0.87390000000000001</v>
      </c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</row>
    <row r="205" spans="1:24" ht="15.75" customHeight="1">
      <c r="A205" s="83"/>
      <c r="B205" s="218">
        <v>-5.2</v>
      </c>
      <c r="C205" s="218">
        <v>2.42</v>
      </c>
      <c r="D205" s="218">
        <v>8.0000000000000004E-4</v>
      </c>
      <c r="E205" s="218">
        <v>8.3400000000000002E-2</v>
      </c>
      <c r="F205" s="218">
        <v>193.05</v>
      </c>
      <c r="G205" s="218">
        <v>395.54</v>
      </c>
      <c r="H205" s="218">
        <v>0.97450000000000003</v>
      </c>
      <c r="I205" s="218">
        <v>1.7302</v>
      </c>
      <c r="J205" s="218">
        <v>1.3273999999999999</v>
      </c>
      <c r="K205" s="218">
        <v>0.87429999999999997</v>
      </c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</row>
    <row r="206" spans="1:24" ht="15.75" customHeight="1">
      <c r="A206" s="83"/>
      <c r="B206" s="218">
        <v>-5.0999999999999996</v>
      </c>
      <c r="C206" s="218">
        <v>2.42</v>
      </c>
      <c r="D206" s="218">
        <v>8.0000000000000004E-4</v>
      </c>
      <c r="E206" s="218">
        <v>8.3099999999999993E-2</v>
      </c>
      <c r="F206" s="218">
        <v>193.18</v>
      </c>
      <c r="G206" s="218">
        <v>395.6</v>
      </c>
      <c r="H206" s="218">
        <v>0.97499999999999998</v>
      </c>
      <c r="I206" s="218">
        <v>1.7301</v>
      </c>
      <c r="J206" s="218">
        <v>1.3275999999999999</v>
      </c>
      <c r="K206" s="218">
        <v>0.87480000000000002</v>
      </c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</row>
    <row r="207" spans="1:24" ht="15.75" customHeight="1">
      <c r="A207" s="83"/>
      <c r="B207" s="218">
        <v>-5</v>
      </c>
      <c r="C207" s="218">
        <v>2.4300000000000002</v>
      </c>
      <c r="D207" s="218">
        <v>8.0000000000000004E-4</v>
      </c>
      <c r="E207" s="218">
        <v>8.2799999999999999E-2</v>
      </c>
      <c r="F207" s="218">
        <v>193.32</v>
      </c>
      <c r="G207" s="218">
        <v>395.66</v>
      </c>
      <c r="H207" s="218">
        <v>0.97540000000000004</v>
      </c>
      <c r="I207" s="218">
        <v>1.73</v>
      </c>
      <c r="J207" s="218">
        <v>1.3279000000000001</v>
      </c>
      <c r="K207" s="218">
        <v>0.87519999999999998</v>
      </c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</row>
    <row r="208" spans="1:24" ht="15.75" customHeight="1">
      <c r="A208" s="83"/>
      <c r="B208" s="218">
        <v>-4.9000000000000004</v>
      </c>
      <c r="C208" s="218">
        <v>2.44</v>
      </c>
      <c r="D208" s="218">
        <v>8.0000000000000004E-4</v>
      </c>
      <c r="E208" s="218">
        <v>8.2500000000000004E-2</v>
      </c>
      <c r="F208" s="218">
        <v>193.45</v>
      </c>
      <c r="G208" s="218">
        <v>395.72</v>
      </c>
      <c r="H208" s="218">
        <v>0.97589999999999999</v>
      </c>
      <c r="I208" s="218">
        <v>1.73</v>
      </c>
      <c r="J208" s="218">
        <v>1.3281000000000001</v>
      </c>
      <c r="K208" s="218">
        <v>0.87560000000000004</v>
      </c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</row>
    <row r="209" spans="1:24" ht="15.75" customHeight="1">
      <c r="A209" s="83"/>
      <c r="B209" s="218">
        <v>-4.8</v>
      </c>
      <c r="C209" s="218">
        <v>2.4500000000000002</v>
      </c>
      <c r="D209" s="218">
        <v>8.0000000000000004E-4</v>
      </c>
      <c r="E209" s="218">
        <v>8.2199999999999995E-2</v>
      </c>
      <c r="F209" s="218">
        <v>193.58</v>
      </c>
      <c r="G209" s="218">
        <v>395.78</v>
      </c>
      <c r="H209" s="218">
        <v>0.97640000000000005</v>
      </c>
      <c r="I209" s="218">
        <v>1.7299</v>
      </c>
      <c r="J209" s="218">
        <v>1.3284</v>
      </c>
      <c r="K209" s="218">
        <v>0.87609999999999999</v>
      </c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</row>
    <row r="210" spans="1:24" ht="15.75" customHeight="1">
      <c r="A210" s="83"/>
      <c r="B210" s="218">
        <v>-4.7</v>
      </c>
      <c r="C210" s="218">
        <v>2.46</v>
      </c>
      <c r="D210" s="218">
        <v>8.0000000000000004E-4</v>
      </c>
      <c r="E210" s="218">
        <v>8.1900000000000001E-2</v>
      </c>
      <c r="F210" s="218">
        <v>193.72</v>
      </c>
      <c r="G210" s="218">
        <v>395.84</v>
      </c>
      <c r="H210" s="218">
        <v>0.97689999999999999</v>
      </c>
      <c r="I210" s="218">
        <v>1.7298</v>
      </c>
      <c r="J210" s="218">
        <v>1.3286</v>
      </c>
      <c r="K210" s="218">
        <v>0.87649999999999995</v>
      </c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</row>
    <row r="211" spans="1:24" ht="15.75" customHeight="1">
      <c r="A211" s="83"/>
      <c r="B211" s="218">
        <v>-4.5999999999999996</v>
      </c>
      <c r="C211" s="218">
        <v>2.4700000000000002</v>
      </c>
      <c r="D211" s="218">
        <v>8.0000000000000004E-4</v>
      </c>
      <c r="E211" s="218">
        <v>8.1600000000000006E-2</v>
      </c>
      <c r="F211" s="218">
        <v>193.85</v>
      </c>
      <c r="G211" s="218">
        <v>395.9</v>
      </c>
      <c r="H211" s="218">
        <v>0.97740000000000005</v>
      </c>
      <c r="I211" s="218">
        <v>1.7298</v>
      </c>
      <c r="J211" s="218">
        <v>1.3289</v>
      </c>
      <c r="K211" s="218">
        <v>0.87690000000000001</v>
      </c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</row>
    <row r="212" spans="1:24" ht="15.75" customHeight="1">
      <c r="A212" s="83"/>
      <c r="B212" s="218">
        <v>-4.5</v>
      </c>
      <c r="C212" s="218">
        <v>2.48</v>
      </c>
      <c r="D212" s="218">
        <v>8.0000000000000004E-4</v>
      </c>
      <c r="E212" s="218">
        <v>8.1299999999999997E-2</v>
      </c>
      <c r="F212" s="218">
        <v>193.98</v>
      </c>
      <c r="G212" s="218">
        <v>395.96</v>
      </c>
      <c r="H212" s="218">
        <v>0.97789999999999999</v>
      </c>
      <c r="I212" s="218">
        <v>1.7297</v>
      </c>
      <c r="J212" s="218">
        <v>1.3291999999999999</v>
      </c>
      <c r="K212" s="218">
        <v>0.87729999999999997</v>
      </c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</row>
    <row r="213" spans="1:24" ht="15.75" customHeight="1">
      <c r="A213" s="83"/>
      <c r="B213" s="218">
        <v>-4.4000000000000004</v>
      </c>
      <c r="C213" s="218">
        <v>2.4900000000000002</v>
      </c>
      <c r="D213" s="218">
        <v>8.0000000000000004E-4</v>
      </c>
      <c r="E213" s="218">
        <v>8.1000000000000003E-2</v>
      </c>
      <c r="F213" s="218">
        <v>194.11</v>
      </c>
      <c r="G213" s="218">
        <v>396.01</v>
      </c>
      <c r="H213" s="218">
        <v>0.97840000000000005</v>
      </c>
      <c r="I213" s="218">
        <v>1.7297</v>
      </c>
      <c r="J213" s="218">
        <v>1.3293999999999999</v>
      </c>
      <c r="K213" s="218">
        <v>0.87780000000000002</v>
      </c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</row>
    <row r="214" spans="1:24" ht="15.75" customHeight="1">
      <c r="A214" s="83"/>
      <c r="B214" s="218">
        <v>-4.3</v>
      </c>
      <c r="C214" s="218">
        <v>2.5</v>
      </c>
      <c r="D214" s="218">
        <v>8.0000000000000004E-4</v>
      </c>
      <c r="E214" s="218">
        <v>8.0699999999999994E-2</v>
      </c>
      <c r="F214" s="218">
        <v>194.25</v>
      </c>
      <c r="G214" s="218">
        <v>396.07</v>
      </c>
      <c r="H214" s="218">
        <v>0.97889999999999999</v>
      </c>
      <c r="I214" s="218">
        <v>1.7296</v>
      </c>
      <c r="J214" s="218">
        <v>1.3297000000000001</v>
      </c>
      <c r="K214" s="218">
        <v>0.87819999999999998</v>
      </c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  <c r="V214" s="214"/>
      <c r="W214" s="214"/>
      <c r="X214" s="214"/>
    </row>
    <row r="215" spans="1:24" ht="15.75" customHeight="1">
      <c r="A215" s="83"/>
      <c r="B215" s="218">
        <v>-4.2</v>
      </c>
      <c r="C215" s="218">
        <v>2.5099999999999998</v>
      </c>
      <c r="D215" s="218">
        <v>8.0000000000000004E-4</v>
      </c>
      <c r="E215" s="218">
        <v>8.0399999999999999E-2</v>
      </c>
      <c r="F215" s="218">
        <v>194.38</v>
      </c>
      <c r="G215" s="218">
        <v>396.13</v>
      </c>
      <c r="H215" s="218">
        <v>0.97940000000000005</v>
      </c>
      <c r="I215" s="218">
        <v>1.7295</v>
      </c>
      <c r="J215" s="218">
        <v>1.3299000000000001</v>
      </c>
      <c r="K215" s="218">
        <v>0.87860000000000005</v>
      </c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</row>
    <row r="216" spans="1:24" ht="15.75" customHeight="1">
      <c r="A216" s="83"/>
      <c r="B216" s="218">
        <v>-4.0999999999999996</v>
      </c>
      <c r="C216" s="218">
        <v>2.52</v>
      </c>
      <c r="D216" s="218">
        <v>8.0000000000000004E-4</v>
      </c>
      <c r="E216" s="218">
        <v>8.0199999999999994E-2</v>
      </c>
      <c r="F216" s="218">
        <v>194.51</v>
      </c>
      <c r="G216" s="218">
        <v>396.19</v>
      </c>
      <c r="H216" s="218">
        <v>0.97989999999999999</v>
      </c>
      <c r="I216" s="218">
        <v>1.7295</v>
      </c>
      <c r="J216" s="218">
        <v>1.3302</v>
      </c>
      <c r="K216" s="218">
        <v>0.87909999999999999</v>
      </c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</row>
    <row r="217" spans="1:24" ht="15.75" customHeight="1">
      <c r="A217" s="83"/>
      <c r="B217" s="218">
        <v>-4</v>
      </c>
      <c r="C217" s="218">
        <v>2.5299999999999998</v>
      </c>
      <c r="D217" s="218">
        <v>8.0000000000000004E-4</v>
      </c>
      <c r="E217" s="218">
        <v>7.9899999999999999E-2</v>
      </c>
      <c r="F217" s="218">
        <v>194.65</v>
      </c>
      <c r="G217" s="218">
        <v>396.25</v>
      </c>
      <c r="H217" s="218">
        <v>0.98040000000000005</v>
      </c>
      <c r="I217" s="218">
        <v>1.7294</v>
      </c>
      <c r="J217" s="218">
        <v>1.3304</v>
      </c>
      <c r="K217" s="218">
        <v>0.87949999999999995</v>
      </c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</row>
    <row r="218" spans="1:24" ht="15.75" customHeight="1">
      <c r="A218" s="83"/>
      <c r="B218" s="218">
        <v>-3.9</v>
      </c>
      <c r="C218" s="218">
        <v>2.54</v>
      </c>
      <c r="D218" s="218">
        <v>8.0000000000000004E-4</v>
      </c>
      <c r="E218" s="218">
        <v>7.9600000000000004E-2</v>
      </c>
      <c r="F218" s="218">
        <v>194.78</v>
      </c>
      <c r="G218" s="218">
        <v>396.31</v>
      </c>
      <c r="H218" s="218">
        <v>0.98089999999999999</v>
      </c>
      <c r="I218" s="218">
        <v>1.7294</v>
      </c>
      <c r="J218" s="218">
        <v>1.3307</v>
      </c>
      <c r="K218" s="218">
        <v>0.87990000000000002</v>
      </c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</row>
    <row r="219" spans="1:24" ht="15.75" customHeight="1">
      <c r="A219" s="83"/>
      <c r="B219" s="218">
        <v>-3.8</v>
      </c>
      <c r="C219" s="218">
        <v>2.5499999999999998</v>
      </c>
      <c r="D219" s="218">
        <v>8.0000000000000004E-4</v>
      </c>
      <c r="E219" s="218">
        <v>7.9299999999999995E-2</v>
      </c>
      <c r="F219" s="218">
        <v>194.91</v>
      </c>
      <c r="G219" s="218">
        <v>396.37</v>
      </c>
      <c r="H219" s="218">
        <v>0.98140000000000005</v>
      </c>
      <c r="I219" s="218">
        <v>1.7293000000000001</v>
      </c>
      <c r="J219" s="218">
        <v>1.331</v>
      </c>
      <c r="K219" s="218">
        <v>0.88039999999999996</v>
      </c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</row>
    <row r="220" spans="1:24" ht="15.75" customHeight="1">
      <c r="A220" s="83"/>
      <c r="B220" s="218">
        <v>-3.7</v>
      </c>
      <c r="C220" s="218">
        <v>2.56</v>
      </c>
      <c r="D220" s="218">
        <v>8.0000000000000004E-4</v>
      </c>
      <c r="E220" s="218">
        <v>7.9000000000000001E-2</v>
      </c>
      <c r="F220" s="218">
        <v>195.05</v>
      </c>
      <c r="G220" s="218">
        <v>396.43</v>
      </c>
      <c r="H220" s="218">
        <v>0.9819</v>
      </c>
      <c r="I220" s="218">
        <v>1.7292000000000001</v>
      </c>
      <c r="J220" s="218">
        <v>1.3311999999999999</v>
      </c>
      <c r="K220" s="218">
        <v>0.88080000000000003</v>
      </c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</row>
    <row r="221" spans="1:24" ht="15.75" customHeight="1">
      <c r="A221" s="83"/>
      <c r="B221" s="218">
        <v>-3.6</v>
      </c>
      <c r="C221" s="218">
        <v>2.56</v>
      </c>
      <c r="D221" s="218">
        <v>8.0000000000000004E-4</v>
      </c>
      <c r="E221" s="218">
        <v>7.8700000000000006E-2</v>
      </c>
      <c r="F221" s="218">
        <v>195.18</v>
      </c>
      <c r="G221" s="218">
        <v>396.49</v>
      </c>
      <c r="H221" s="218">
        <v>0.98229999999999995</v>
      </c>
      <c r="I221" s="218">
        <v>1.7292000000000001</v>
      </c>
      <c r="J221" s="218">
        <v>1.3314999999999999</v>
      </c>
      <c r="K221" s="218">
        <v>0.88119999999999998</v>
      </c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  <c r="V221" s="214"/>
      <c r="W221" s="214"/>
      <c r="X221" s="214"/>
    </row>
    <row r="222" spans="1:24" ht="15.75" customHeight="1">
      <c r="A222" s="83"/>
      <c r="B222" s="218">
        <v>-3.5</v>
      </c>
      <c r="C222" s="218">
        <v>2.57</v>
      </c>
      <c r="D222" s="218">
        <v>8.0000000000000004E-4</v>
      </c>
      <c r="E222" s="218">
        <v>7.8399999999999997E-2</v>
      </c>
      <c r="F222" s="218">
        <v>195.31</v>
      </c>
      <c r="G222" s="218">
        <v>396.55</v>
      </c>
      <c r="H222" s="218">
        <v>0.98280000000000001</v>
      </c>
      <c r="I222" s="218">
        <v>1.7291000000000001</v>
      </c>
      <c r="J222" s="218">
        <v>1.3317000000000001</v>
      </c>
      <c r="K222" s="218">
        <v>0.88170000000000004</v>
      </c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</row>
    <row r="223" spans="1:24" ht="15.75" customHeight="1">
      <c r="A223" s="83"/>
      <c r="B223" s="218">
        <v>-3.4</v>
      </c>
      <c r="C223" s="218">
        <v>2.58</v>
      </c>
      <c r="D223" s="218">
        <v>8.0000000000000004E-4</v>
      </c>
      <c r="E223" s="218">
        <v>7.8200000000000006E-2</v>
      </c>
      <c r="F223" s="218">
        <v>195.45</v>
      </c>
      <c r="G223" s="218">
        <v>396.61</v>
      </c>
      <c r="H223" s="218">
        <v>0.98329999999999995</v>
      </c>
      <c r="I223" s="218">
        <v>1.7291000000000001</v>
      </c>
      <c r="J223" s="218">
        <v>1.3320000000000001</v>
      </c>
      <c r="K223" s="218">
        <v>0.8821</v>
      </c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</row>
    <row r="224" spans="1:24" ht="15.75" customHeight="1">
      <c r="A224" s="83"/>
      <c r="B224" s="218">
        <v>-3.3</v>
      </c>
      <c r="C224" s="218">
        <v>2.59</v>
      </c>
      <c r="D224" s="218">
        <v>8.0000000000000004E-4</v>
      </c>
      <c r="E224" s="218">
        <v>7.7899999999999997E-2</v>
      </c>
      <c r="F224" s="218">
        <v>195.58</v>
      </c>
      <c r="G224" s="218">
        <v>396.67</v>
      </c>
      <c r="H224" s="218">
        <v>0.98380000000000001</v>
      </c>
      <c r="I224" s="218">
        <v>1.7290000000000001</v>
      </c>
      <c r="J224" s="218">
        <v>1.3323</v>
      </c>
      <c r="K224" s="218">
        <v>0.88249999999999995</v>
      </c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  <c r="V224" s="214"/>
      <c r="W224" s="214"/>
      <c r="X224" s="214"/>
    </row>
    <row r="225" spans="1:24" ht="15.75" customHeight="1">
      <c r="A225" s="83"/>
      <c r="B225" s="218">
        <v>-3.2</v>
      </c>
      <c r="C225" s="218">
        <v>2.6</v>
      </c>
      <c r="D225" s="218">
        <v>8.0000000000000004E-4</v>
      </c>
      <c r="E225" s="218">
        <v>7.7600000000000002E-2</v>
      </c>
      <c r="F225" s="218">
        <v>195.71</v>
      </c>
      <c r="G225" s="218">
        <v>396.72</v>
      </c>
      <c r="H225" s="218">
        <v>0.98429999999999995</v>
      </c>
      <c r="I225" s="218">
        <v>1.7289000000000001</v>
      </c>
      <c r="J225" s="218">
        <v>1.3325</v>
      </c>
      <c r="K225" s="218">
        <v>0.88300000000000001</v>
      </c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</row>
    <row r="226" spans="1:24" ht="15.75" customHeight="1">
      <c r="A226" s="83"/>
      <c r="B226" s="218">
        <v>-3.1</v>
      </c>
      <c r="C226" s="218">
        <v>2.61</v>
      </c>
      <c r="D226" s="218">
        <v>8.0000000000000004E-4</v>
      </c>
      <c r="E226" s="218">
        <v>7.7299999999999994E-2</v>
      </c>
      <c r="F226" s="218">
        <v>195.85</v>
      </c>
      <c r="G226" s="218">
        <v>396.78</v>
      </c>
      <c r="H226" s="218">
        <v>0.98480000000000001</v>
      </c>
      <c r="I226" s="218">
        <v>1.7289000000000001</v>
      </c>
      <c r="J226" s="218">
        <v>1.3328</v>
      </c>
      <c r="K226" s="218">
        <v>0.88339999999999996</v>
      </c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</row>
    <row r="227" spans="1:24" ht="15.75" customHeight="1">
      <c r="A227" s="83"/>
      <c r="B227" s="218">
        <v>-3</v>
      </c>
      <c r="C227" s="218">
        <v>2.62</v>
      </c>
      <c r="D227" s="218">
        <v>8.0000000000000004E-4</v>
      </c>
      <c r="E227" s="218">
        <v>7.7100000000000002E-2</v>
      </c>
      <c r="F227" s="218">
        <v>195.98</v>
      </c>
      <c r="G227" s="218">
        <v>396.84</v>
      </c>
      <c r="H227" s="218">
        <v>0.98529999999999995</v>
      </c>
      <c r="I227" s="218">
        <v>1.7287999999999999</v>
      </c>
      <c r="J227" s="218">
        <v>1.333</v>
      </c>
      <c r="K227" s="218">
        <v>0.88390000000000002</v>
      </c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</row>
    <row r="228" spans="1:24" ht="15.75" customHeight="1">
      <c r="A228" s="83"/>
      <c r="B228" s="218">
        <v>-2.9</v>
      </c>
      <c r="C228" s="218">
        <v>2.63</v>
      </c>
      <c r="D228" s="218">
        <v>8.0000000000000004E-4</v>
      </c>
      <c r="E228" s="218">
        <v>7.6799999999999993E-2</v>
      </c>
      <c r="F228" s="218">
        <v>196.12</v>
      </c>
      <c r="G228" s="218">
        <v>396.9</v>
      </c>
      <c r="H228" s="218">
        <v>0.98580000000000001</v>
      </c>
      <c r="I228" s="218">
        <v>1.7287999999999999</v>
      </c>
      <c r="J228" s="218">
        <v>1.3332999999999999</v>
      </c>
      <c r="K228" s="218">
        <v>0.88429999999999997</v>
      </c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</row>
    <row r="229" spans="1:24" ht="15.75" customHeight="1">
      <c r="A229" s="83"/>
      <c r="B229" s="218">
        <v>-2.8</v>
      </c>
      <c r="C229" s="218">
        <v>2.64</v>
      </c>
      <c r="D229" s="218">
        <v>8.0000000000000004E-4</v>
      </c>
      <c r="E229" s="218">
        <v>7.6499999999999999E-2</v>
      </c>
      <c r="F229" s="218">
        <v>196.25</v>
      </c>
      <c r="G229" s="218">
        <v>396.96</v>
      </c>
      <c r="H229" s="218">
        <v>0.98629999999999995</v>
      </c>
      <c r="I229" s="218">
        <v>1.7286999999999999</v>
      </c>
      <c r="J229" s="218">
        <v>1.3335999999999999</v>
      </c>
      <c r="K229" s="218">
        <v>0.88470000000000004</v>
      </c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</row>
    <row r="230" spans="1:24" ht="15.75" customHeight="1">
      <c r="A230" s="83"/>
      <c r="B230" s="218">
        <v>-2.7</v>
      </c>
      <c r="C230" s="218">
        <v>2.65</v>
      </c>
      <c r="D230" s="218">
        <v>8.0000000000000004E-4</v>
      </c>
      <c r="E230" s="218">
        <v>7.6200000000000004E-2</v>
      </c>
      <c r="F230" s="218">
        <v>196.38</v>
      </c>
      <c r="G230" s="218">
        <v>397.02</v>
      </c>
      <c r="H230" s="218">
        <v>0.98680000000000001</v>
      </c>
      <c r="I230" s="218">
        <v>1.7285999999999999</v>
      </c>
      <c r="J230" s="218">
        <v>1.3338000000000001</v>
      </c>
      <c r="K230" s="218">
        <v>0.88519999999999999</v>
      </c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</row>
    <row r="231" spans="1:24" ht="15.75" customHeight="1">
      <c r="A231" s="83"/>
      <c r="B231" s="218">
        <v>-2.6</v>
      </c>
      <c r="C231" s="218">
        <v>2.66</v>
      </c>
      <c r="D231" s="218">
        <v>8.0000000000000004E-4</v>
      </c>
      <c r="E231" s="218">
        <v>7.5999999999999998E-2</v>
      </c>
      <c r="F231" s="218">
        <v>196.52</v>
      </c>
      <c r="G231" s="218">
        <v>397.08</v>
      </c>
      <c r="H231" s="218">
        <v>0.98729999999999996</v>
      </c>
      <c r="I231" s="218">
        <v>1.7285999999999999</v>
      </c>
      <c r="J231" s="218">
        <v>1.3341000000000001</v>
      </c>
      <c r="K231" s="218">
        <v>0.88560000000000005</v>
      </c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</row>
    <row r="232" spans="1:24" ht="15.75" customHeight="1">
      <c r="A232" s="83"/>
      <c r="B232" s="218">
        <v>-2.5</v>
      </c>
      <c r="C232" s="218">
        <v>2.67</v>
      </c>
      <c r="D232" s="218">
        <v>8.0000000000000004E-4</v>
      </c>
      <c r="E232" s="218">
        <v>7.5700000000000003E-2</v>
      </c>
      <c r="F232" s="218">
        <v>196.65</v>
      </c>
      <c r="G232" s="218">
        <v>397.14</v>
      </c>
      <c r="H232" s="218">
        <v>0.98780000000000001</v>
      </c>
      <c r="I232" s="218">
        <v>1.7284999999999999</v>
      </c>
      <c r="J232" s="218">
        <v>1.3344</v>
      </c>
      <c r="K232" s="218">
        <v>0.8861</v>
      </c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</row>
    <row r="233" spans="1:24" ht="15.75" customHeight="1">
      <c r="A233" s="83"/>
      <c r="B233" s="218">
        <v>-2.4</v>
      </c>
      <c r="C233" s="218">
        <v>2.68</v>
      </c>
      <c r="D233" s="218">
        <v>8.0000000000000004E-4</v>
      </c>
      <c r="E233" s="218">
        <v>7.5399999999999995E-2</v>
      </c>
      <c r="F233" s="218">
        <v>196.78</v>
      </c>
      <c r="G233" s="218">
        <v>397.2</v>
      </c>
      <c r="H233" s="218">
        <v>0.98819999999999997</v>
      </c>
      <c r="I233" s="218">
        <v>1.7284999999999999</v>
      </c>
      <c r="J233" s="218">
        <v>1.3346</v>
      </c>
      <c r="K233" s="218">
        <v>0.88649999999999995</v>
      </c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</row>
    <row r="234" spans="1:24" ht="15.75" customHeight="1">
      <c r="A234" s="83"/>
      <c r="B234" s="218">
        <v>-2.2999999999999998</v>
      </c>
      <c r="C234" s="218">
        <v>2.69</v>
      </c>
      <c r="D234" s="218">
        <v>8.0000000000000004E-4</v>
      </c>
      <c r="E234" s="218">
        <v>7.5200000000000003E-2</v>
      </c>
      <c r="F234" s="218">
        <v>196.92</v>
      </c>
      <c r="G234" s="218">
        <v>397.26</v>
      </c>
      <c r="H234" s="218">
        <v>0.98870000000000002</v>
      </c>
      <c r="I234" s="218">
        <v>1.7283999999999999</v>
      </c>
      <c r="J234" s="218">
        <v>1.3349</v>
      </c>
      <c r="K234" s="218">
        <v>0.88690000000000002</v>
      </c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</row>
    <row r="235" spans="1:24" ht="15.75" customHeight="1">
      <c r="A235" s="83"/>
      <c r="B235" s="218">
        <v>-2.2000000000000002</v>
      </c>
      <c r="C235" s="218">
        <v>2.7</v>
      </c>
      <c r="D235" s="218">
        <v>8.0000000000000004E-4</v>
      </c>
      <c r="E235" s="218">
        <v>7.4899999999999994E-2</v>
      </c>
      <c r="F235" s="218">
        <v>197.05</v>
      </c>
      <c r="G235" s="218">
        <v>397.31</v>
      </c>
      <c r="H235" s="218">
        <v>0.98919999999999997</v>
      </c>
      <c r="I235" s="218">
        <v>1.7282999999999999</v>
      </c>
      <c r="J235" s="218">
        <v>1.3351</v>
      </c>
      <c r="K235" s="218">
        <v>0.88739999999999997</v>
      </c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</row>
    <row r="236" spans="1:24" ht="15.75" customHeight="1">
      <c r="A236" s="83"/>
      <c r="B236" s="218">
        <v>-2.1</v>
      </c>
      <c r="C236" s="218">
        <v>2.71</v>
      </c>
      <c r="D236" s="218">
        <v>8.0000000000000004E-4</v>
      </c>
      <c r="E236" s="218">
        <v>7.46E-2</v>
      </c>
      <c r="F236" s="218">
        <v>197.18</v>
      </c>
      <c r="G236" s="218">
        <v>397.37</v>
      </c>
      <c r="H236" s="218">
        <v>0.98970000000000002</v>
      </c>
      <c r="I236" s="218">
        <v>1.7282999999999999</v>
      </c>
      <c r="J236" s="218">
        <v>1.3353999999999999</v>
      </c>
      <c r="K236" s="218">
        <v>0.88780000000000003</v>
      </c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</row>
    <row r="237" spans="1:24" ht="15.75" customHeight="1">
      <c r="A237" s="83"/>
      <c r="B237" s="218">
        <v>-2</v>
      </c>
      <c r="C237" s="218">
        <v>2.72</v>
      </c>
      <c r="D237" s="218">
        <v>8.0000000000000004E-4</v>
      </c>
      <c r="E237" s="218">
        <v>7.4399999999999994E-2</v>
      </c>
      <c r="F237" s="218">
        <v>197.32</v>
      </c>
      <c r="G237" s="218">
        <v>397.43</v>
      </c>
      <c r="H237" s="218">
        <v>0.99019999999999997</v>
      </c>
      <c r="I237" s="218">
        <v>1.7282</v>
      </c>
      <c r="J237" s="218">
        <v>1.3357000000000001</v>
      </c>
      <c r="K237" s="218">
        <v>0.88829999999999998</v>
      </c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</row>
    <row r="238" spans="1:24" ht="15.75" customHeight="1">
      <c r="A238" s="83"/>
      <c r="B238" s="218">
        <v>-1.9</v>
      </c>
      <c r="C238" s="218">
        <v>2.73</v>
      </c>
      <c r="D238" s="218">
        <v>8.0000000000000004E-4</v>
      </c>
      <c r="E238" s="218">
        <v>7.4099999999999999E-2</v>
      </c>
      <c r="F238" s="218">
        <v>197.45</v>
      </c>
      <c r="G238" s="218">
        <v>397.49</v>
      </c>
      <c r="H238" s="218">
        <v>0.99070000000000003</v>
      </c>
      <c r="I238" s="218">
        <v>1.7282</v>
      </c>
      <c r="J238" s="218">
        <v>1.3359000000000001</v>
      </c>
      <c r="K238" s="218">
        <v>0.88870000000000005</v>
      </c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</row>
    <row r="239" spans="1:24" ht="15.75" customHeight="1">
      <c r="A239" s="83"/>
      <c r="B239" s="218">
        <v>-1.8</v>
      </c>
      <c r="C239" s="218">
        <v>2.74</v>
      </c>
      <c r="D239" s="218">
        <v>8.0000000000000004E-4</v>
      </c>
      <c r="E239" s="218">
        <v>7.3800000000000004E-2</v>
      </c>
      <c r="F239" s="218">
        <v>197.59</v>
      </c>
      <c r="G239" s="218">
        <v>397.55</v>
      </c>
      <c r="H239" s="218">
        <v>0.99119999999999997</v>
      </c>
      <c r="I239" s="218">
        <v>1.7281</v>
      </c>
      <c r="J239" s="218">
        <v>1.3362000000000001</v>
      </c>
      <c r="K239" s="218">
        <v>0.88919999999999999</v>
      </c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</row>
    <row r="240" spans="1:24" ht="15.75" customHeight="1">
      <c r="A240" s="83"/>
      <c r="B240" s="218">
        <v>-1.7</v>
      </c>
      <c r="C240" s="218">
        <v>2.75</v>
      </c>
      <c r="D240" s="218">
        <v>8.0000000000000004E-4</v>
      </c>
      <c r="E240" s="218">
        <v>7.3599999999999999E-2</v>
      </c>
      <c r="F240" s="218">
        <v>197.72</v>
      </c>
      <c r="G240" s="218">
        <v>397.61</v>
      </c>
      <c r="H240" s="218">
        <v>0.99170000000000003</v>
      </c>
      <c r="I240" s="218">
        <v>1.728</v>
      </c>
      <c r="J240" s="218">
        <v>1.3365</v>
      </c>
      <c r="K240" s="218">
        <v>0.88959999999999995</v>
      </c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</row>
    <row r="241" spans="1:24" ht="15.75" customHeight="1">
      <c r="A241" s="83"/>
      <c r="B241" s="218">
        <v>-1.6</v>
      </c>
      <c r="C241" s="218">
        <v>2.76</v>
      </c>
      <c r="D241" s="218">
        <v>8.0000000000000004E-4</v>
      </c>
      <c r="E241" s="218">
        <v>7.3300000000000004E-2</v>
      </c>
      <c r="F241" s="218">
        <v>197.85</v>
      </c>
      <c r="G241" s="218">
        <v>397.67</v>
      </c>
      <c r="H241" s="218">
        <v>0.99219999999999997</v>
      </c>
      <c r="I241" s="218">
        <v>1.728</v>
      </c>
      <c r="J241" s="218">
        <v>1.3367</v>
      </c>
      <c r="K241" s="218">
        <v>0.89</v>
      </c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</row>
    <row r="242" spans="1:24" ht="15.75" customHeight="1">
      <c r="A242" s="83"/>
      <c r="B242" s="218">
        <v>-1.5</v>
      </c>
      <c r="C242" s="218">
        <v>2.77</v>
      </c>
      <c r="D242" s="218">
        <v>8.0000000000000004E-4</v>
      </c>
      <c r="E242" s="218">
        <v>7.3099999999999998E-2</v>
      </c>
      <c r="F242" s="218">
        <v>197.99</v>
      </c>
      <c r="G242" s="218">
        <v>397.73</v>
      </c>
      <c r="H242" s="218">
        <v>0.99270000000000003</v>
      </c>
      <c r="I242" s="218">
        <v>1.7279</v>
      </c>
      <c r="J242" s="218">
        <v>1.337</v>
      </c>
      <c r="K242" s="218">
        <v>0.89049999999999996</v>
      </c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</row>
    <row r="243" spans="1:24" ht="15.75" customHeight="1">
      <c r="A243" s="83"/>
      <c r="B243" s="218">
        <v>-1.4</v>
      </c>
      <c r="C243" s="218">
        <v>2.78</v>
      </c>
      <c r="D243" s="218">
        <v>8.0000000000000004E-4</v>
      </c>
      <c r="E243" s="218">
        <v>7.2800000000000004E-2</v>
      </c>
      <c r="F243" s="218">
        <v>198.12</v>
      </c>
      <c r="G243" s="218">
        <v>397.78</v>
      </c>
      <c r="H243" s="218">
        <v>0.99309999999999998</v>
      </c>
      <c r="I243" s="218">
        <v>1.7279</v>
      </c>
      <c r="J243" s="218">
        <v>1.3372999999999999</v>
      </c>
      <c r="K243" s="218">
        <v>0.89090000000000003</v>
      </c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</row>
    <row r="244" spans="1:24" ht="15.75" customHeight="1">
      <c r="A244" s="83"/>
      <c r="B244" s="218">
        <v>-1.3</v>
      </c>
      <c r="C244" s="218">
        <v>2.79</v>
      </c>
      <c r="D244" s="218">
        <v>8.0000000000000004E-4</v>
      </c>
      <c r="E244" s="218">
        <v>7.2499999999999995E-2</v>
      </c>
      <c r="F244" s="218">
        <v>198.26</v>
      </c>
      <c r="G244" s="218">
        <v>397.84</v>
      </c>
      <c r="H244" s="218">
        <v>0.99360000000000004</v>
      </c>
      <c r="I244" s="218">
        <v>1.7278</v>
      </c>
      <c r="J244" s="218">
        <v>1.3374999999999999</v>
      </c>
      <c r="K244" s="218">
        <v>0.89139999999999997</v>
      </c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</row>
    <row r="245" spans="1:24" ht="15.75" customHeight="1">
      <c r="A245" s="83"/>
      <c r="B245" s="218">
        <v>-1.2</v>
      </c>
      <c r="C245" s="218">
        <v>2.8</v>
      </c>
      <c r="D245" s="218">
        <v>8.0000000000000004E-4</v>
      </c>
      <c r="E245" s="218">
        <v>7.2300000000000003E-2</v>
      </c>
      <c r="F245" s="218">
        <v>198.39</v>
      </c>
      <c r="G245" s="218">
        <v>397.9</v>
      </c>
      <c r="H245" s="218">
        <v>0.99409999999999998</v>
      </c>
      <c r="I245" s="218">
        <v>1.7278</v>
      </c>
      <c r="J245" s="218">
        <v>1.3378000000000001</v>
      </c>
      <c r="K245" s="218">
        <v>0.89180000000000004</v>
      </c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</row>
    <row r="246" spans="1:24" ht="15.75" customHeight="1">
      <c r="A246" s="83"/>
      <c r="B246" s="218">
        <v>-1.1000000000000001</v>
      </c>
      <c r="C246" s="218">
        <v>2.81</v>
      </c>
      <c r="D246" s="218">
        <v>8.0000000000000004E-4</v>
      </c>
      <c r="E246" s="218">
        <v>7.1999999999999995E-2</v>
      </c>
      <c r="F246" s="218">
        <v>198.52</v>
      </c>
      <c r="G246" s="218">
        <v>397.96</v>
      </c>
      <c r="H246" s="218">
        <v>0.99460000000000004</v>
      </c>
      <c r="I246" s="218">
        <v>1.7277</v>
      </c>
      <c r="J246" s="218">
        <v>1.3381000000000001</v>
      </c>
      <c r="K246" s="218">
        <v>0.89229999999999998</v>
      </c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</row>
    <row r="247" spans="1:24" ht="15.75" customHeight="1">
      <c r="A247" s="83"/>
      <c r="B247" s="218">
        <v>-1</v>
      </c>
      <c r="C247" s="218">
        <v>2.82</v>
      </c>
      <c r="D247" s="218">
        <v>8.0000000000000004E-4</v>
      </c>
      <c r="E247" s="218">
        <v>7.1800000000000003E-2</v>
      </c>
      <c r="F247" s="218">
        <v>198.66</v>
      </c>
      <c r="G247" s="218">
        <v>398.02</v>
      </c>
      <c r="H247" s="218">
        <v>0.99509999999999998</v>
      </c>
      <c r="I247" s="218">
        <v>1.7276</v>
      </c>
      <c r="J247" s="218">
        <v>1.3383</v>
      </c>
      <c r="K247" s="218">
        <v>0.89270000000000005</v>
      </c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</row>
    <row r="248" spans="1:24" ht="15.75" customHeight="1">
      <c r="A248" s="83"/>
      <c r="B248" s="218">
        <v>-0.9</v>
      </c>
      <c r="C248" s="218">
        <v>2.83</v>
      </c>
      <c r="D248" s="218">
        <v>8.0000000000000004E-4</v>
      </c>
      <c r="E248" s="218">
        <v>7.1499999999999994E-2</v>
      </c>
      <c r="F248" s="218">
        <v>198.79</v>
      </c>
      <c r="G248" s="218">
        <v>398.08</v>
      </c>
      <c r="H248" s="218">
        <v>0.99560000000000004</v>
      </c>
      <c r="I248" s="218">
        <v>1.7276</v>
      </c>
      <c r="J248" s="218">
        <v>1.3386</v>
      </c>
      <c r="K248" s="218">
        <v>0.89319999999999999</v>
      </c>
      <c r="L248" s="214"/>
      <c r="M248" s="214"/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</row>
    <row r="249" spans="1:24" ht="15.75" customHeight="1">
      <c r="A249" s="83"/>
      <c r="B249" s="218">
        <v>-0.8</v>
      </c>
      <c r="C249" s="218">
        <v>2.84</v>
      </c>
      <c r="D249" s="218">
        <v>8.0000000000000004E-4</v>
      </c>
      <c r="E249" s="218">
        <v>7.1300000000000002E-2</v>
      </c>
      <c r="F249" s="218">
        <v>198.93</v>
      </c>
      <c r="G249" s="218">
        <v>398.14</v>
      </c>
      <c r="H249" s="218">
        <v>0.99609999999999999</v>
      </c>
      <c r="I249" s="218">
        <v>1.7275</v>
      </c>
      <c r="J249" s="218">
        <v>1.3389</v>
      </c>
      <c r="K249" s="218">
        <v>0.89359999999999995</v>
      </c>
      <c r="L249" s="214"/>
      <c r="M249" s="214"/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</row>
    <row r="250" spans="1:24" ht="15.75" customHeight="1">
      <c r="A250" s="83"/>
      <c r="B250" s="218">
        <v>-0.7</v>
      </c>
      <c r="C250" s="218">
        <v>2.85</v>
      </c>
      <c r="D250" s="218">
        <v>8.0000000000000004E-4</v>
      </c>
      <c r="E250" s="218">
        <v>7.0999999999999994E-2</v>
      </c>
      <c r="F250" s="218">
        <v>199.06</v>
      </c>
      <c r="G250" s="218">
        <v>398.19</v>
      </c>
      <c r="H250" s="218">
        <v>0.99660000000000004</v>
      </c>
      <c r="I250" s="218">
        <v>1.7275</v>
      </c>
      <c r="J250" s="218">
        <v>1.3391</v>
      </c>
      <c r="K250" s="218">
        <v>0.89410000000000001</v>
      </c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</row>
    <row r="251" spans="1:24" ht="15.75" customHeight="1">
      <c r="A251" s="83"/>
      <c r="B251" s="218">
        <v>-0.6</v>
      </c>
      <c r="C251" s="218">
        <v>2.86</v>
      </c>
      <c r="D251" s="218">
        <v>8.0000000000000004E-4</v>
      </c>
      <c r="E251" s="218">
        <v>7.0800000000000002E-2</v>
      </c>
      <c r="F251" s="218">
        <v>199.19</v>
      </c>
      <c r="G251" s="218">
        <v>398.25</v>
      </c>
      <c r="H251" s="218">
        <v>0.99709999999999999</v>
      </c>
      <c r="I251" s="218">
        <v>1.7274</v>
      </c>
      <c r="J251" s="218">
        <v>1.3393999999999999</v>
      </c>
      <c r="K251" s="218">
        <v>0.89449999999999996</v>
      </c>
      <c r="L251" s="214"/>
      <c r="M251" s="214"/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</row>
    <row r="252" spans="1:24" ht="15.75" customHeight="1">
      <c r="A252" s="83"/>
      <c r="B252" s="218">
        <v>-0.5</v>
      </c>
      <c r="C252" s="218">
        <v>2.88</v>
      </c>
      <c r="D252" s="218">
        <v>8.0000000000000004E-4</v>
      </c>
      <c r="E252" s="218">
        <v>7.0499999999999993E-2</v>
      </c>
      <c r="F252" s="218">
        <v>199.33</v>
      </c>
      <c r="G252" s="218">
        <v>398.31</v>
      </c>
      <c r="H252" s="218">
        <v>0.99760000000000004</v>
      </c>
      <c r="I252" s="218">
        <v>1.7274</v>
      </c>
      <c r="J252" s="218">
        <v>1.3396999999999999</v>
      </c>
      <c r="K252" s="218">
        <v>0.89500000000000002</v>
      </c>
      <c r="L252" s="214"/>
      <c r="M252" s="214"/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</row>
    <row r="253" spans="1:24" ht="15.75" customHeight="1">
      <c r="A253" s="83"/>
      <c r="B253" s="218">
        <v>-0.4</v>
      </c>
      <c r="C253" s="218">
        <v>2.89</v>
      </c>
      <c r="D253" s="218">
        <v>8.0000000000000004E-4</v>
      </c>
      <c r="E253" s="218">
        <v>7.0300000000000001E-2</v>
      </c>
      <c r="F253" s="218">
        <v>199.46</v>
      </c>
      <c r="G253" s="218">
        <v>398.37</v>
      </c>
      <c r="H253" s="218">
        <v>0.998</v>
      </c>
      <c r="I253" s="218">
        <v>1.7273000000000001</v>
      </c>
      <c r="J253" s="218">
        <v>1.34</v>
      </c>
      <c r="K253" s="218">
        <v>0.89539999999999997</v>
      </c>
      <c r="L253" s="214"/>
      <c r="M253" s="214"/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</row>
    <row r="254" spans="1:24" ht="15.75" customHeight="1">
      <c r="A254" s="83"/>
      <c r="B254" s="218">
        <v>-0.3</v>
      </c>
      <c r="C254" s="218">
        <v>2.9</v>
      </c>
      <c r="D254" s="218">
        <v>8.0000000000000004E-4</v>
      </c>
      <c r="E254" s="218">
        <v>7.0000000000000007E-2</v>
      </c>
      <c r="F254" s="218">
        <v>199.6</v>
      </c>
      <c r="G254" s="218">
        <v>398.43</v>
      </c>
      <c r="H254" s="218">
        <v>0.99850000000000005</v>
      </c>
      <c r="I254" s="218">
        <v>1.7273000000000001</v>
      </c>
      <c r="J254" s="218">
        <v>1.3402000000000001</v>
      </c>
      <c r="K254" s="218">
        <v>0.89590000000000003</v>
      </c>
      <c r="L254" s="214"/>
      <c r="M254" s="214"/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</row>
    <row r="255" spans="1:24" ht="15.75" customHeight="1">
      <c r="A255" s="83"/>
      <c r="B255" s="218">
        <v>-0.2</v>
      </c>
      <c r="C255" s="218">
        <v>2.91</v>
      </c>
      <c r="D255" s="218">
        <v>8.0000000000000004E-4</v>
      </c>
      <c r="E255" s="218">
        <v>6.9800000000000001E-2</v>
      </c>
      <c r="F255" s="218">
        <v>199.73</v>
      </c>
      <c r="G255" s="218">
        <v>398.49</v>
      </c>
      <c r="H255" s="218">
        <v>0.999</v>
      </c>
      <c r="I255" s="218">
        <v>1.7272000000000001</v>
      </c>
      <c r="J255" s="218">
        <v>1.3405</v>
      </c>
      <c r="K255" s="218">
        <v>0.89629999999999999</v>
      </c>
      <c r="L255" s="214"/>
      <c r="M255" s="214"/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</row>
    <row r="256" spans="1:24" ht="15.75" customHeight="1">
      <c r="A256" s="83"/>
      <c r="B256" s="218">
        <v>-0.1</v>
      </c>
      <c r="C256" s="218">
        <v>2.92</v>
      </c>
      <c r="D256" s="218">
        <v>8.0000000000000004E-4</v>
      </c>
      <c r="E256" s="218">
        <v>6.9599999999999995E-2</v>
      </c>
      <c r="F256" s="218">
        <v>199.87</v>
      </c>
      <c r="G256" s="218">
        <v>398.55</v>
      </c>
      <c r="H256" s="218">
        <v>0.99950000000000006</v>
      </c>
      <c r="I256" s="218">
        <v>1.7271000000000001</v>
      </c>
      <c r="J256" s="218">
        <v>1.3408</v>
      </c>
      <c r="K256" s="218">
        <v>0.89680000000000004</v>
      </c>
      <c r="L256" s="214"/>
      <c r="M256" s="214"/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</row>
    <row r="257" spans="1:24" ht="15.75" customHeight="1">
      <c r="A257" s="83"/>
      <c r="B257" s="218">
        <v>0</v>
      </c>
      <c r="C257" s="218">
        <v>2.93</v>
      </c>
      <c r="D257" s="218">
        <v>8.0000000000000004E-4</v>
      </c>
      <c r="E257" s="218">
        <v>6.93E-2</v>
      </c>
      <c r="F257" s="218">
        <v>200</v>
      </c>
      <c r="G257" s="218">
        <v>398.6</v>
      </c>
      <c r="H257" s="218">
        <v>1</v>
      </c>
      <c r="I257" s="218">
        <v>1.7271000000000001</v>
      </c>
      <c r="J257" s="218">
        <v>1.341</v>
      </c>
      <c r="K257" s="218">
        <v>0.8972</v>
      </c>
      <c r="L257" s="214"/>
      <c r="M257" s="214"/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</row>
    <row r="258" spans="1:24" ht="15.75" customHeight="1">
      <c r="A258" s="83"/>
      <c r="B258" s="218">
        <v>0.1</v>
      </c>
      <c r="C258" s="218">
        <v>2.94</v>
      </c>
      <c r="D258" s="218">
        <v>8.0000000000000004E-4</v>
      </c>
      <c r="E258" s="218">
        <v>6.9099999999999995E-2</v>
      </c>
      <c r="F258" s="218">
        <v>200.13</v>
      </c>
      <c r="G258" s="218">
        <v>398.66</v>
      </c>
      <c r="H258" s="218">
        <v>1.0004999999999999</v>
      </c>
      <c r="I258" s="218">
        <v>1.7270000000000001</v>
      </c>
      <c r="J258" s="218">
        <v>1.3412999999999999</v>
      </c>
      <c r="K258" s="218">
        <v>0.89770000000000005</v>
      </c>
      <c r="L258" s="214"/>
      <c r="M258" s="214"/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</row>
    <row r="259" spans="1:24" ht="15.75" customHeight="1">
      <c r="A259" s="83"/>
      <c r="B259" s="218">
        <v>0.2</v>
      </c>
      <c r="C259" s="218">
        <v>2.95</v>
      </c>
      <c r="D259" s="218">
        <v>8.0000000000000004E-4</v>
      </c>
      <c r="E259" s="218">
        <v>6.88E-2</v>
      </c>
      <c r="F259" s="218">
        <v>200.27</v>
      </c>
      <c r="G259" s="218">
        <v>398.72</v>
      </c>
      <c r="H259" s="218">
        <v>1.0009999999999999</v>
      </c>
      <c r="I259" s="218">
        <v>1.7270000000000001</v>
      </c>
      <c r="J259" s="218">
        <v>1.3415999999999999</v>
      </c>
      <c r="K259" s="218">
        <v>0.89810000000000001</v>
      </c>
      <c r="L259" s="214"/>
      <c r="M259" s="214"/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</row>
    <row r="260" spans="1:24" ht="15.75" customHeight="1">
      <c r="A260" s="83"/>
      <c r="B260" s="218">
        <v>0.3</v>
      </c>
      <c r="C260" s="218">
        <v>2.96</v>
      </c>
      <c r="D260" s="218">
        <v>8.0000000000000004E-4</v>
      </c>
      <c r="E260" s="218">
        <v>6.8599999999999994E-2</v>
      </c>
      <c r="F260" s="218">
        <v>200.4</v>
      </c>
      <c r="G260" s="218">
        <v>398.78</v>
      </c>
      <c r="H260" s="218">
        <v>1.0015000000000001</v>
      </c>
      <c r="I260" s="218">
        <v>1.7269000000000001</v>
      </c>
      <c r="J260" s="218">
        <v>1.3419000000000001</v>
      </c>
      <c r="K260" s="218">
        <v>0.89859999999999995</v>
      </c>
      <c r="L260" s="214"/>
      <c r="M260" s="214"/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</row>
    <row r="261" spans="1:24" ht="15.75" customHeight="1">
      <c r="A261" s="83"/>
      <c r="B261" s="218">
        <v>0.4</v>
      </c>
      <c r="C261" s="218">
        <v>2.97</v>
      </c>
      <c r="D261" s="218">
        <v>8.0000000000000004E-4</v>
      </c>
      <c r="E261" s="218">
        <v>6.83E-2</v>
      </c>
      <c r="F261" s="218">
        <v>200.54</v>
      </c>
      <c r="G261" s="218">
        <v>398.84</v>
      </c>
      <c r="H261" s="218">
        <v>1.002</v>
      </c>
      <c r="I261" s="218">
        <v>1.7269000000000001</v>
      </c>
      <c r="J261" s="218">
        <v>1.3421000000000001</v>
      </c>
      <c r="K261" s="218">
        <v>0.89900000000000002</v>
      </c>
      <c r="L261" s="214"/>
      <c r="M261" s="214"/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</row>
    <row r="262" spans="1:24" ht="15.75" customHeight="1">
      <c r="A262" s="83"/>
      <c r="B262" s="218">
        <v>0.5</v>
      </c>
      <c r="C262" s="218">
        <v>2.98</v>
      </c>
      <c r="D262" s="218">
        <v>8.0000000000000004E-4</v>
      </c>
      <c r="E262" s="218">
        <v>6.8099999999999994E-2</v>
      </c>
      <c r="F262" s="218">
        <v>200.67</v>
      </c>
      <c r="G262" s="218">
        <v>398.89</v>
      </c>
      <c r="H262" s="218">
        <v>1.0024</v>
      </c>
      <c r="I262" s="218">
        <v>1.7267999999999999</v>
      </c>
      <c r="J262" s="218">
        <v>1.3424</v>
      </c>
      <c r="K262" s="218">
        <v>0.89949999999999997</v>
      </c>
      <c r="L262" s="214"/>
      <c r="M262" s="214"/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</row>
    <row r="263" spans="1:24" ht="15.75" customHeight="1">
      <c r="A263" s="83"/>
      <c r="B263" s="218">
        <v>0.6</v>
      </c>
      <c r="C263" s="218">
        <v>2.99</v>
      </c>
      <c r="D263" s="218">
        <v>8.0000000000000004E-4</v>
      </c>
      <c r="E263" s="218">
        <v>6.7900000000000002E-2</v>
      </c>
      <c r="F263" s="218">
        <v>200.81</v>
      </c>
      <c r="G263" s="218">
        <v>398.95</v>
      </c>
      <c r="H263" s="218">
        <v>1.0028999999999999</v>
      </c>
      <c r="I263" s="218">
        <v>1.7267999999999999</v>
      </c>
      <c r="J263" s="218">
        <v>1.3427</v>
      </c>
      <c r="K263" s="218">
        <v>0.9</v>
      </c>
      <c r="L263" s="214"/>
      <c r="M263" s="214"/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</row>
    <row r="264" spans="1:24" ht="15.75" customHeight="1">
      <c r="A264" s="83"/>
      <c r="B264" s="218">
        <v>0.7</v>
      </c>
      <c r="C264" s="218">
        <v>3</v>
      </c>
      <c r="D264" s="218">
        <v>8.0000000000000004E-4</v>
      </c>
      <c r="E264" s="218">
        <v>6.7599999999999993E-2</v>
      </c>
      <c r="F264" s="218">
        <v>200.94</v>
      </c>
      <c r="G264" s="218">
        <v>399.01</v>
      </c>
      <c r="H264" s="218">
        <v>1.0034000000000001</v>
      </c>
      <c r="I264" s="218">
        <v>1.7266999999999999</v>
      </c>
      <c r="J264" s="218">
        <v>1.343</v>
      </c>
      <c r="K264" s="218">
        <v>0.90039999999999998</v>
      </c>
      <c r="L264" s="214"/>
      <c r="M264" s="214"/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</row>
    <row r="265" spans="1:24" ht="15.75" customHeight="1">
      <c r="A265" s="83"/>
      <c r="B265" s="218">
        <v>0.8</v>
      </c>
      <c r="C265" s="218">
        <v>3.01</v>
      </c>
      <c r="D265" s="218">
        <v>8.0000000000000004E-4</v>
      </c>
      <c r="E265" s="218">
        <v>6.7400000000000002E-2</v>
      </c>
      <c r="F265" s="218">
        <v>201.08</v>
      </c>
      <c r="G265" s="218">
        <v>399.07</v>
      </c>
      <c r="H265" s="218">
        <v>1.0039</v>
      </c>
      <c r="I265" s="218">
        <v>1.7265999999999999</v>
      </c>
      <c r="J265" s="218">
        <v>1.3431999999999999</v>
      </c>
      <c r="K265" s="218">
        <v>0.90090000000000003</v>
      </c>
      <c r="L265" s="214"/>
      <c r="M265" s="214"/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</row>
    <row r="266" spans="1:24" ht="15.75" customHeight="1">
      <c r="A266" s="83"/>
      <c r="B266" s="218">
        <v>0.9</v>
      </c>
      <c r="C266" s="218">
        <v>3.02</v>
      </c>
      <c r="D266" s="218">
        <v>8.0000000000000004E-4</v>
      </c>
      <c r="E266" s="218">
        <v>6.7199999999999996E-2</v>
      </c>
      <c r="F266" s="218">
        <v>201.21</v>
      </c>
      <c r="G266" s="218">
        <v>399.13</v>
      </c>
      <c r="H266" s="218">
        <v>1.0044</v>
      </c>
      <c r="I266" s="218">
        <v>1.7265999999999999</v>
      </c>
      <c r="J266" s="218">
        <v>1.3434999999999999</v>
      </c>
      <c r="K266" s="218">
        <v>0.90129999999999999</v>
      </c>
      <c r="L266" s="214"/>
      <c r="M266" s="214"/>
      <c r="N266" s="214"/>
      <c r="O266" s="214"/>
      <c r="P266" s="214"/>
      <c r="Q266" s="214"/>
      <c r="R266" s="214"/>
      <c r="S266" s="214"/>
      <c r="T266" s="214"/>
      <c r="U266" s="214"/>
      <c r="V266" s="214"/>
      <c r="W266" s="214"/>
      <c r="X266" s="214"/>
    </row>
    <row r="267" spans="1:24" ht="15.75" customHeight="1">
      <c r="A267" s="83"/>
      <c r="B267" s="218">
        <v>1</v>
      </c>
      <c r="C267" s="218">
        <v>3.04</v>
      </c>
      <c r="D267" s="218">
        <v>8.0000000000000004E-4</v>
      </c>
      <c r="E267" s="218">
        <v>6.6900000000000001E-2</v>
      </c>
      <c r="F267" s="218">
        <v>201.34</v>
      </c>
      <c r="G267" s="218">
        <v>399.19</v>
      </c>
      <c r="H267" s="218">
        <v>1.0048999999999999</v>
      </c>
      <c r="I267" s="218">
        <v>1.7264999999999999</v>
      </c>
      <c r="J267" s="218">
        <v>1.3438000000000001</v>
      </c>
      <c r="K267" s="218">
        <v>0.90180000000000005</v>
      </c>
      <c r="L267" s="214"/>
      <c r="M267" s="214"/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</row>
    <row r="268" spans="1:24" ht="15.75" customHeight="1">
      <c r="A268" s="83"/>
      <c r="B268" s="218">
        <v>1.1000000000000001</v>
      </c>
      <c r="C268" s="218">
        <v>3.05</v>
      </c>
      <c r="D268" s="218">
        <v>8.0000000000000004E-4</v>
      </c>
      <c r="E268" s="218">
        <v>6.6699999999999995E-2</v>
      </c>
      <c r="F268" s="218">
        <v>201.48</v>
      </c>
      <c r="G268" s="218">
        <v>399.24</v>
      </c>
      <c r="H268" s="218">
        <v>1.0054000000000001</v>
      </c>
      <c r="I268" s="218">
        <v>1.7264999999999999</v>
      </c>
      <c r="J268" s="218">
        <v>1.3441000000000001</v>
      </c>
      <c r="K268" s="218">
        <v>0.90229999999999999</v>
      </c>
      <c r="L268" s="214"/>
      <c r="M268" s="214"/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</row>
    <row r="269" spans="1:24" ht="15.75" customHeight="1">
      <c r="A269" s="83"/>
      <c r="B269" s="218">
        <v>1.2</v>
      </c>
      <c r="C269" s="218">
        <v>3.06</v>
      </c>
      <c r="D269" s="218">
        <v>8.0000000000000004E-4</v>
      </c>
      <c r="E269" s="218">
        <v>6.6500000000000004E-2</v>
      </c>
      <c r="F269" s="218">
        <v>201.61</v>
      </c>
      <c r="G269" s="218">
        <v>399.3</v>
      </c>
      <c r="H269" s="218">
        <v>1.0059</v>
      </c>
      <c r="I269" s="218">
        <v>1.7263999999999999</v>
      </c>
      <c r="J269" s="218">
        <v>1.3443000000000001</v>
      </c>
      <c r="K269" s="218">
        <v>0.90269999999999995</v>
      </c>
      <c r="L269" s="214"/>
      <c r="M269" s="214"/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</row>
    <row r="270" spans="1:24" ht="15.75" customHeight="1">
      <c r="A270" s="83"/>
      <c r="B270" s="218">
        <v>1.3</v>
      </c>
      <c r="C270" s="218">
        <v>3.07</v>
      </c>
      <c r="D270" s="218">
        <v>8.0000000000000004E-4</v>
      </c>
      <c r="E270" s="218">
        <v>6.6199999999999995E-2</v>
      </c>
      <c r="F270" s="218">
        <v>201.75</v>
      </c>
      <c r="G270" s="218">
        <v>399.36</v>
      </c>
      <c r="H270" s="218">
        <v>1.0063</v>
      </c>
      <c r="I270" s="218">
        <v>1.7263999999999999</v>
      </c>
      <c r="J270" s="218">
        <v>1.3446</v>
      </c>
      <c r="K270" s="218">
        <v>0.9032</v>
      </c>
      <c r="L270" s="214"/>
      <c r="M270" s="214"/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</row>
    <row r="271" spans="1:24" ht="15.75" customHeight="1">
      <c r="A271" s="83"/>
      <c r="B271" s="218">
        <v>1.4</v>
      </c>
      <c r="C271" s="218">
        <v>3.08</v>
      </c>
      <c r="D271" s="218">
        <v>8.0000000000000004E-4</v>
      </c>
      <c r="E271" s="218">
        <v>6.6000000000000003E-2</v>
      </c>
      <c r="F271" s="218">
        <v>201.88</v>
      </c>
      <c r="G271" s="218">
        <v>399.42</v>
      </c>
      <c r="H271" s="218">
        <v>1.0067999999999999</v>
      </c>
      <c r="I271" s="218">
        <v>1.7262999999999999</v>
      </c>
      <c r="J271" s="218">
        <v>1.3449</v>
      </c>
      <c r="K271" s="218">
        <v>0.90359999999999996</v>
      </c>
      <c r="L271" s="214"/>
      <c r="M271" s="214"/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</row>
    <row r="272" spans="1:24" ht="15.75" customHeight="1">
      <c r="A272" s="83"/>
      <c r="B272" s="218">
        <v>1.5</v>
      </c>
      <c r="C272" s="218">
        <v>3.09</v>
      </c>
      <c r="D272" s="218">
        <v>8.0000000000000004E-4</v>
      </c>
      <c r="E272" s="218">
        <v>6.5799999999999997E-2</v>
      </c>
      <c r="F272" s="218">
        <v>202.02</v>
      </c>
      <c r="G272" s="218">
        <v>399.48</v>
      </c>
      <c r="H272" s="218">
        <v>1.0073000000000001</v>
      </c>
      <c r="I272" s="218">
        <v>1.7262999999999999</v>
      </c>
      <c r="J272" s="218">
        <v>1.3452</v>
      </c>
      <c r="K272" s="218">
        <v>0.90410000000000001</v>
      </c>
      <c r="L272" s="214"/>
      <c r="M272" s="214"/>
      <c r="N272" s="214"/>
      <c r="O272" s="214"/>
      <c r="P272" s="214"/>
      <c r="Q272" s="214"/>
      <c r="R272" s="214"/>
      <c r="S272" s="214"/>
      <c r="T272" s="214"/>
      <c r="U272" s="214"/>
      <c r="V272" s="214"/>
      <c r="W272" s="214"/>
      <c r="X272" s="214"/>
    </row>
    <row r="273" spans="1:24" ht="15.75" customHeight="1">
      <c r="A273" s="83"/>
      <c r="B273" s="218">
        <v>1.6</v>
      </c>
      <c r="C273" s="218">
        <v>3.1</v>
      </c>
      <c r="D273" s="218">
        <v>8.0000000000000004E-4</v>
      </c>
      <c r="E273" s="218">
        <v>6.5600000000000006E-2</v>
      </c>
      <c r="F273" s="218">
        <v>202.15</v>
      </c>
      <c r="G273" s="218">
        <v>399.53</v>
      </c>
      <c r="H273" s="218">
        <v>1.0078</v>
      </c>
      <c r="I273" s="218">
        <v>1.7262</v>
      </c>
      <c r="J273" s="218">
        <v>1.3453999999999999</v>
      </c>
      <c r="K273" s="218">
        <v>0.90459999999999996</v>
      </c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</row>
    <row r="274" spans="1:24" ht="15.75" customHeight="1">
      <c r="A274" s="83"/>
      <c r="B274" s="218">
        <v>1.7</v>
      </c>
      <c r="C274" s="218">
        <v>3.11</v>
      </c>
      <c r="D274" s="218">
        <v>8.0000000000000004E-4</v>
      </c>
      <c r="E274" s="218">
        <v>6.5299999999999997E-2</v>
      </c>
      <c r="F274" s="218">
        <v>202.29</v>
      </c>
      <c r="G274" s="218">
        <v>399.59</v>
      </c>
      <c r="H274" s="218">
        <v>1.0083</v>
      </c>
      <c r="I274" s="218">
        <v>1.7262</v>
      </c>
      <c r="J274" s="218">
        <v>1.3456999999999999</v>
      </c>
      <c r="K274" s="218">
        <v>0.90500000000000003</v>
      </c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</row>
    <row r="275" spans="1:24" ht="15.75" customHeight="1">
      <c r="A275" s="83"/>
      <c r="B275" s="218">
        <v>1.8</v>
      </c>
      <c r="C275" s="218">
        <v>3.12</v>
      </c>
      <c r="D275" s="218">
        <v>8.0000000000000004E-4</v>
      </c>
      <c r="E275" s="218">
        <v>6.5100000000000005E-2</v>
      </c>
      <c r="F275" s="218">
        <v>202.42</v>
      </c>
      <c r="G275" s="218">
        <v>399.65</v>
      </c>
      <c r="H275" s="218">
        <v>1.0087999999999999</v>
      </c>
      <c r="I275" s="218">
        <v>1.7261</v>
      </c>
      <c r="J275" s="218">
        <v>1.3460000000000001</v>
      </c>
      <c r="K275" s="218">
        <v>0.90549999999999997</v>
      </c>
      <c r="L275" s="214"/>
      <c r="M275" s="214"/>
      <c r="N275" s="214"/>
      <c r="O275" s="214"/>
      <c r="P275" s="214"/>
      <c r="Q275" s="214"/>
      <c r="R275" s="214"/>
      <c r="S275" s="214"/>
      <c r="T275" s="214"/>
      <c r="U275" s="214"/>
      <c r="V275" s="214"/>
      <c r="W275" s="214"/>
      <c r="X275" s="214"/>
    </row>
    <row r="276" spans="1:24" ht="15.75" customHeight="1">
      <c r="A276" s="83"/>
      <c r="B276" s="218">
        <v>1.9</v>
      </c>
      <c r="C276" s="218">
        <v>3.13</v>
      </c>
      <c r="D276" s="218">
        <v>8.0000000000000004E-4</v>
      </c>
      <c r="E276" s="218">
        <v>6.4899999999999999E-2</v>
      </c>
      <c r="F276" s="218">
        <v>202.56</v>
      </c>
      <c r="G276" s="218">
        <v>399.71</v>
      </c>
      <c r="H276" s="218">
        <v>1.0093000000000001</v>
      </c>
      <c r="I276" s="218">
        <v>1.7261</v>
      </c>
      <c r="J276" s="218">
        <v>1.3463000000000001</v>
      </c>
      <c r="K276" s="218">
        <v>0.90590000000000004</v>
      </c>
      <c r="L276" s="214"/>
      <c r="M276" s="214"/>
      <c r="N276" s="214"/>
      <c r="O276" s="214"/>
      <c r="P276" s="214"/>
      <c r="Q276" s="214"/>
      <c r="R276" s="214"/>
      <c r="S276" s="214"/>
      <c r="T276" s="214"/>
      <c r="U276" s="214"/>
      <c r="V276" s="214"/>
      <c r="W276" s="214"/>
      <c r="X276" s="214"/>
    </row>
    <row r="277" spans="1:24" ht="15.75" customHeight="1">
      <c r="A277" s="83"/>
      <c r="B277" s="218">
        <v>2</v>
      </c>
      <c r="C277" s="218">
        <v>3.15</v>
      </c>
      <c r="D277" s="218">
        <v>8.0000000000000004E-4</v>
      </c>
      <c r="E277" s="218">
        <v>6.4699999999999994E-2</v>
      </c>
      <c r="F277" s="218">
        <v>202.69</v>
      </c>
      <c r="G277" s="218">
        <v>399.77</v>
      </c>
      <c r="H277" s="218">
        <v>1.0098</v>
      </c>
      <c r="I277" s="218">
        <v>1.726</v>
      </c>
      <c r="J277" s="218">
        <v>1.3466</v>
      </c>
      <c r="K277" s="218">
        <v>0.90639999999999998</v>
      </c>
      <c r="L277" s="214"/>
      <c r="M277" s="214"/>
      <c r="N277" s="214"/>
      <c r="O277" s="214"/>
      <c r="P277" s="214"/>
      <c r="Q277" s="214"/>
      <c r="R277" s="214"/>
      <c r="S277" s="214"/>
      <c r="T277" s="214"/>
      <c r="U277" s="214"/>
      <c r="V277" s="214"/>
      <c r="W277" s="214"/>
      <c r="X277" s="214"/>
    </row>
    <row r="278" spans="1:24" ht="15.75" customHeight="1">
      <c r="A278" s="83"/>
      <c r="B278" s="218">
        <v>2.1</v>
      </c>
      <c r="C278" s="218">
        <v>3.16</v>
      </c>
      <c r="D278" s="218">
        <v>8.0000000000000004E-4</v>
      </c>
      <c r="E278" s="218">
        <v>6.4399999999999999E-2</v>
      </c>
      <c r="F278" s="218">
        <v>202.83</v>
      </c>
      <c r="G278" s="218">
        <v>399.82</v>
      </c>
      <c r="H278" s="218">
        <v>1.0102</v>
      </c>
      <c r="I278" s="218">
        <v>1.7259</v>
      </c>
      <c r="J278" s="218">
        <v>1.3468</v>
      </c>
      <c r="K278" s="218">
        <v>0.90690000000000004</v>
      </c>
      <c r="L278" s="214"/>
      <c r="M278" s="214"/>
      <c r="N278" s="214"/>
      <c r="O278" s="214"/>
      <c r="P278" s="214"/>
      <c r="Q278" s="214"/>
      <c r="R278" s="214"/>
      <c r="S278" s="214"/>
      <c r="T278" s="214"/>
      <c r="U278" s="214"/>
      <c r="V278" s="214"/>
      <c r="W278" s="214"/>
      <c r="X278" s="214"/>
    </row>
    <row r="279" spans="1:24" ht="15.75" customHeight="1">
      <c r="A279" s="83"/>
      <c r="B279" s="218">
        <v>2.2000000000000002</v>
      </c>
      <c r="C279" s="218">
        <v>3.17</v>
      </c>
      <c r="D279" s="218">
        <v>8.0000000000000004E-4</v>
      </c>
      <c r="E279" s="218">
        <v>6.4199999999999993E-2</v>
      </c>
      <c r="F279" s="218">
        <v>202.96</v>
      </c>
      <c r="G279" s="218">
        <v>399.88</v>
      </c>
      <c r="H279" s="218">
        <v>1.0106999999999999</v>
      </c>
      <c r="I279" s="218">
        <v>1.7259</v>
      </c>
      <c r="J279" s="218">
        <v>1.3471</v>
      </c>
      <c r="K279" s="218">
        <v>0.9073</v>
      </c>
      <c r="L279" s="214"/>
      <c r="M279" s="214"/>
      <c r="N279" s="214"/>
      <c r="O279" s="214"/>
      <c r="P279" s="214"/>
      <c r="Q279" s="214"/>
      <c r="R279" s="214"/>
      <c r="S279" s="214"/>
      <c r="T279" s="214"/>
      <c r="U279" s="214"/>
      <c r="V279" s="214"/>
      <c r="W279" s="214"/>
      <c r="X279" s="214"/>
    </row>
    <row r="280" spans="1:24" ht="15.75" customHeight="1">
      <c r="A280" s="83"/>
      <c r="B280" s="218">
        <v>2.2999999999999998</v>
      </c>
      <c r="C280" s="218">
        <v>3.18</v>
      </c>
      <c r="D280" s="218">
        <v>8.0000000000000004E-4</v>
      </c>
      <c r="E280" s="218">
        <v>6.4000000000000001E-2</v>
      </c>
      <c r="F280" s="218">
        <v>203.1</v>
      </c>
      <c r="G280" s="218">
        <v>399.94</v>
      </c>
      <c r="H280" s="218">
        <v>1.0112000000000001</v>
      </c>
      <c r="I280" s="218">
        <v>1.7258</v>
      </c>
      <c r="J280" s="218">
        <v>1.3473999999999999</v>
      </c>
      <c r="K280" s="218">
        <v>0.90780000000000005</v>
      </c>
      <c r="L280" s="214"/>
      <c r="M280" s="214"/>
      <c r="N280" s="214"/>
      <c r="O280" s="214"/>
      <c r="P280" s="214"/>
      <c r="Q280" s="214"/>
      <c r="R280" s="214"/>
      <c r="S280" s="214"/>
      <c r="T280" s="214"/>
      <c r="U280" s="214"/>
      <c r="V280" s="214"/>
      <c r="W280" s="214"/>
      <c r="X280" s="214"/>
    </row>
    <row r="281" spans="1:24" ht="15.75" customHeight="1">
      <c r="A281" s="83"/>
      <c r="B281" s="218">
        <v>2.4</v>
      </c>
      <c r="C281" s="218">
        <v>3.19</v>
      </c>
      <c r="D281" s="218">
        <v>8.0000000000000004E-4</v>
      </c>
      <c r="E281" s="218">
        <v>6.3799999999999996E-2</v>
      </c>
      <c r="F281" s="218">
        <v>203.23</v>
      </c>
      <c r="G281" s="218">
        <v>400</v>
      </c>
      <c r="H281" s="218">
        <v>1.0117</v>
      </c>
      <c r="I281" s="218">
        <v>1.7258</v>
      </c>
      <c r="J281" s="218">
        <v>1.3476999999999999</v>
      </c>
      <c r="K281" s="218">
        <v>0.9083</v>
      </c>
      <c r="L281" s="214"/>
      <c r="M281" s="214"/>
      <c r="N281" s="214"/>
      <c r="O281" s="214"/>
      <c r="P281" s="214"/>
      <c r="Q281" s="214"/>
      <c r="R281" s="214"/>
      <c r="S281" s="214"/>
      <c r="T281" s="214"/>
      <c r="U281" s="214"/>
      <c r="V281" s="214"/>
      <c r="W281" s="214"/>
      <c r="X281" s="214"/>
    </row>
    <row r="282" spans="1:24" ht="15.75" customHeight="1">
      <c r="A282" s="83"/>
      <c r="B282" s="218">
        <v>2.5</v>
      </c>
      <c r="C282" s="218">
        <v>3.2</v>
      </c>
      <c r="D282" s="218">
        <v>8.0000000000000004E-4</v>
      </c>
      <c r="E282" s="218">
        <v>6.3600000000000004E-2</v>
      </c>
      <c r="F282" s="218">
        <v>203.37</v>
      </c>
      <c r="G282" s="218">
        <v>400.06</v>
      </c>
      <c r="H282" s="218">
        <v>1.0122</v>
      </c>
      <c r="I282" s="218">
        <v>1.7257</v>
      </c>
      <c r="J282" s="218">
        <v>1.3480000000000001</v>
      </c>
      <c r="K282" s="218">
        <v>0.90869999999999995</v>
      </c>
      <c r="L282" s="214"/>
      <c r="M282" s="214"/>
      <c r="N282" s="214"/>
      <c r="O282" s="214"/>
      <c r="P282" s="214"/>
      <c r="Q282" s="214"/>
      <c r="R282" s="214"/>
      <c r="S282" s="214"/>
      <c r="T282" s="214"/>
      <c r="U282" s="214"/>
      <c r="V282" s="214"/>
      <c r="W282" s="214"/>
      <c r="X282" s="214"/>
    </row>
    <row r="283" spans="1:24" ht="15.75" customHeight="1">
      <c r="A283" s="83"/>
      <c r="B283" s="218">
        <v>2.6</v>
      </c>
      <c r="C283" s="218">
        <v>3.21</v>
      </c>
      <c r="D283" s="218">
        <v>8.0000000000000004E-4</v>
      </c>
      <c r="E283" s="218">
        <v>6.3299999999999995E-2</v>
      </c>
      <c r="F283" s="218">
        <v>203.5</v>
      </c>
      <c r="G283" s="218">
        <v>400.11</v>
      </c>
      <c r="H283" s="218">
        <v>1.0126999999999999</v>
      </c>
      <c r="I283" s="218">
        <v>1.7257</v>
      </c>
      <c r="J283" s="218">
        <v>1.3483000000000001</v>
      </c>
      <c r="K283" s="218">
        <v>0.90920000000000001</v>
      </c>
      <c r="L283" s="214"/>
      <c r="M283" s="214"/>
      <c r="N283" s="214"/>
      <c r="O283" s="214"/>
      <c r="P283" s="214"/>
      <c r="Q283" s="214"/>
      <c r="R283" s="214"/>
      <c r="S283" s="214"/>
      <c r="T283" s="214"/>
      <c r="U283" s="214"/>
      <c r="V283" s="214"/>
      <c r="W283" s="214"/>
      <c r="X283" s="214"/>
    </row>
    <row r="284" spans="1:24" ht="15.75" customHeight="1">
      <c r="A284" s="83"/>
      <c r="B284" s="218">
        <v>2.7</v>
      </c>
      <c r="C284" s="218">
        <v>3.23</v>
      </c>
      <c r="D284" s="218">
        <v>8.0000000000000004E-4</v>
      </c>
      <c r="E284" s="218">
        <v>6.3100000000000003E-2</v>
      </c>
      <c r="F284" s="218">
        <v>203.64</v>
      </c>
      <c r="G284" s="218">
        <v>400.17</v>
      </c>
      <c r="H284" s="218">
        <v>1.0132000000000001</v>
      </c>
      <c r="I284" s="218">
        <v>1.7256</v>
      </c>
      <c r="J284" s="218">
        <v>1.3485</v>
      </c>
      <c r="K284" s="218">
        <v>0.90969999999999995</v>
      </c>
      <c r="L284" s="214"/>
      <c r="M284" s="214"/>
      <c r="N284" s="214"/>
      <c r="O284" s="214"/>
      <c r="P284" s="214"/>
      <c r="Q284" s="214"/>
      <c r="R284" s="214"/>
      <c r="S284" s="214"/>
      <c r="T284" s="214"/>
      <c r="U284" s="214"/>
      <c r="V284" s="214"/>
      <c r="W284" s="214"/>
      <c r="X284" s="214"/>
    </row>
    <row r="285" spans="1:24" ht="15.75" customHeight="1">
      <c r="A285" s="83"/>
      <c r="B285" s="218">
        <v>2.8</v>
      </c>
      <c r="C285" s="218">
        <v>3.24</v>
      </c>
      <c r="D285" s="218">
        <v>8.0000000000000004E-4</v>
      </c>
      <c r="E285" s="218">
        <v>6.2899999999999998E-2</v>
      </c>
      <c r="F285" s="218">
        <v>203.77</v>
      </c>
      <c r="G285" s="218">
        <v>400.23</v>
      </c>
      <c r="H285" s="218">
        <v>1.0137</v>
      </c>
      <c r="I285" s="218">
        <v>1.7256</v>
      </c>
      <c r="J285" s="218">
        <v>1.3488</v>
      </c>
      <c r="K285" s="218">
        <v>0.91010000000000002</v>
      </c>
      <c r="L285" s="214"/>
      <c r="M285" s="214"/>
      <c r="N285" s="214"/>
      <c r="O285" s="214"/>
      <c r="P285" s="214"/>
      <c r="Q285" s="214"/>
      <c r="R285" s="214"/>
      <c r="S285" s="214"/>
      <c r="T285" s="214"/>
      <c r="U285" s="214"/>
      <c r="V285" s="214"/>
      <c r="W285" s="214"/>
      <c r="X285" s="214"/>
    </row>
    <row r="286" spans="1:24" ht="15.75" customHeight="1">
      <c r="A286" s="83"/>
      <c r="B286" s="218">
        <v>2.9</v>
      </c>
      <c r="C286" s="218">
        <v>3.25</v>
      </c>
      <c r="D286" s="218">
        <v>8.0000000000000004E-4</v>
      </c>
      <c r="E286" s="218">
        <v>6.2700000000000006E-2</v>
      </c>
      <c r="F286" s="218">
        <v>203.91</v>
      </c>
      <c r="G286" s="218">
        <v>400.29</v>
      </c>
      <c r="H286" s="218">
        <v>1.0141</v>
      </c>
      <c r="I286" s="218">
        <v>1.7255</v>
      </c>
      <c r="J286" s="218">
        <v>1.3491</v>
      </c>
      <c r="K286" s="218">
        <v>0.91059999999999997</v>
      </c>
      <c r="L286" s="214"/>
      <c r="M286" s="214"/>
      <c r="N286" s="214"/>
      <c r="O286" s="214"/>
      <c r="P286" s="214"/>
      <c r="Q286" s="214"/>
      <c r="R286" s="214"/>
      <c r="S286" s="214"/>
      <c r="T286" s="214"/>
      <c r="U286" s="214"/>
      <c r="V286" s="214"/>
      <c r="W286" s="214"/>
      <c r="X286" s="214"/>
    </row>
    <row r="287" spans="1:24" ht="15.75" customHeight="1">
      <c r="A287" s="83"/>
      <c r="B287" s="218">
        <v>3</v>
      </c>
      <c r="C287" s="218">
        <v>3.26</v>
      </c>
      <c r="D287" s="218">
        <v>8.0000000000000004E-4</v>
      </c>
      <c r="E287" s="218">
        <v>6.25E-2</v>
      </c>
      <c r="F287" s="218">
        <v>204.04</v>
      </c>
      <c r="G287" s="218">
        <v>400.34</v>
      </c>
      <c r="H287" s="218">
        <v>1.0145999999999999</v>
      </c>
      <c r="I287" s="218">
        <v>1.7255</v>
      </c>
      <c r="J287" s="218">
        <v>1.3493999999999999</v>
      </c>
      <c r="K287" s="218">
        <v>0.91110000000000002</v>
      </c>
      <c r="L287" s="214"/>
      <c r="M287" s="214"/>
      <c r="N287" s="214"/>
      <c r="O287" s="214"/>
      <c r="P287" s="214"/>
      <c r="Q287" s="214"/>
      <c r="R287" s="214"/>
      <c r="S287" s="214"/>
      <c r="T287" s="214"/>
      <c r="U287" s="214"/>
      <c r="V287" s="214"/>
      <c r="W287" s="214"/>
      <c r="X287" s="214"/>
    </row>
    <row r="288" spans="1:24" ht="15.75" customHeight="1">
      <c r="A288" s="83"/>
      <c r="B288" s="218">
        <v>3.1</v>
      </c>
      <c r="C288" s="218">
        <v>3.27</v>
      </c>
      <c r="D288" s="218">
        <v>8.0000000000000004E-4</v>
      </c>
      <c r="E288" s="218">
        <v>6.2300000000000001E-2</v>
      </c>
      <c r="F288" s="218">
        <v>204.18</v>
      </c>
      <c r="G288" s="218">
        <v>400.4</v>
      </c>
      <c r="H288" s="218">
        <v>1.0150999999999999</v>
      </c>
      <c r="I288" s="218">
        <v>1.7254</v>
      </c>
      <c r="J288" s="218">
        <v>1.3496999999999999</v>
      </c>
      <c r="K288" s="218">
        <v>0.91159999999999997</v>
      </c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</row>
    <row r="289" spans="1:24" ht="15.75" customHeight="1">
      <c r="A289" s="83"/>
      <c r="B289" s="218">
        <v>3.2</v>
      </c>
      <c r="C289" s="218">
        <v>3.28</v>
      </c>
      <c r="D289" s="218">
        <v>8.0000000000000004E-4</v>
      </c>
      <c r="E289" s="218">
        <v>6.2100000000000002E-2</v>
      </c>
      <c r="F289" s="218">
        <v>204.31</v>
      </c>
      <c r="G289" s="218">
        <v>400.46</v>
      </c>
      <c r="H289" s="218">
        <v>1.0156000000000001</v>
      </c>
      <c r="I289" s="218">
        <v>1.7254</v>
      </c>
      <c r="J289" s="218">
        <v>1.35</v>
      </c>
      <c r="K289" s="218">
        <v>0.91200000000000003</v>
      </c>
      <c r="L289" s="214"/>
      <c r="M289" s="214"/>
      <c r="N289" s="214"/>
      <c r="O289" s="214"/>
      <c r="P289" s="214"/>
      <c r="Q289" s="214"/>
      <c r="R289" s="214"/>
      <c r="S289" s="214"/>
      <c r="T289" s="214"/>
      <c r="U289" s="214"/>
      <c r="V289" s="214"/>
      <c r="W289" s="214"/>
      <c r="X289" s="214"/>
    </row>
    <row r="290" spans="1:24" ht="15.75" customHeight="1">
      <c r="A290" s="83"/>
      <c r="B290" s="218">
        <v>3.3</v>
      </c>
      <c r="C290" s="218">
        <v>3.29</v>
      </c>
      <c r="D290" s="218">
        <v>8.0000000000000004E-4</v>
      </c>
      <c r="E290" s="218">
        <v>6.1800000000000001E-2</v>
      </c>
      <c r="F290" s="218">
        <v>204.45</v>
      </c>
      <c r="G290" s="218">
        <v>400.52</v>
      </c>
      <c r="H290" s="218">
        <v>1.0161</v>
      </c>
      <c r="I290" s="218">
        <v>1.7253000000000001</v>
      </c>
      <c r="J290" s="218">
        <v>1.3502000000000001</v>
      </c>
      <c r="K290" s="218">
        <v>0.91249999999999998</v>
      </c>
      <c r="L290" s="214"/>
      <c r="M290" s="214"/>
      <c r="N290" s="214"/>
      <c r="O290" s="214"/>
      <c r="P290" s="214"/>
      <c r="Q290" s="214"/>
      <c r="R290" s="214"/>
      <c r="S290" s="214"/>
      <c r="T290" s="214"/>
      <c r="U290" s="214"/>
      <c r="V290" s="214"/>
      <c r="W290" s="214"/>
      <c r="X290" s="214"/>
    </row>
    <row r="291" spans="1:24" ht="15.75" customHeight="1">
      <c r="A291" s="83"/>
      <c r="B291" s="218">
        <v>3.4</v>
      </c>
      <c r="C291" s="218">
        <v>3.31</v>
      </c>
      <c r="D291" s="218">
        <v>8.0000000000000004E-4</v>
      </c>
      <c r="E291" s="218">
        <v>6.1600000000000002E-2</v>
      </c>
      <c r="F291" s="218">
        <v>204.58</v>
      </c>
      <c r="G291" s="218">
        <v>400.57</v>
      </c>
      <c r="H291" s="218">
        <v>1.0165999999999999</v>
      </c>
      <c r="I291" s="218">
        <v>1.7253000000000001</v>
      </c>
      <c r="J291" s="218">
        <v>1.3505</v>
      </c>
      <c r="K291" s="218">
        <v>0.91300000000000003</v>
      </c>
      <c r="L291" s="214"/>
      <c r="M291" s="214"/>
      <c r="N291" s="214"/>
      <c r="O291" s="214"/>
      <c r="P291" s="214"/>
      <c r="Q291" s="214"/>
      <c r="R291" s="214"/>
      <c r="S291" s="214"/>
      <c r="T291" s="214"/>
      <c r="U291" s="214"/>
      <c r="V291" s="214"/>
      <c r="W291" s="214"/>
      <c r="X291" s="214"/>
    </row>
    <row r="292" spans="1:24" ht="15.75" customHeight="1">
      <c r="A292" s="83"/>
      <c r="B292" s="218">
        <v>3.5</v>
      </c>
      <c r="C292" s="218">
        <v>3.32</v>
      </c>
      <c r="D292" s="218">
        <v>8.0000000000000004E-4</v>
      </c>
      <c r="E292" s="218">
        <v>6.1400000000000003E-2</v>
      </c>
      <c r="F292" s="218">
        <v>204.72</v>
      </c>
      <c r="G292" s="218">
        <v>400.63</v>
      </c>
      <c r="H292" s="218">
        <v>1.0170999999999999</v>
      </c>
      <c r="I292" s="218">
        <v>1.7252000000000001</v>
      </c>
      <c r="J292" s="218">
        <v>1.3508</v>
      </c>
      <c r="K292" s="218">
        <v>0.91339999999999999</v>
      </c>
      <c r="L292" s="214"/>
      <c r="M292" s="214"/>
      <c r="N292" s="214"/>
      <c r="O292" s="214"/>
      <c r="P292" s="214"/>
      <c r="Q292" s="214"/>
      <c r="R292" s="214"/>
      <c r="S292" s="214"/>
      <c r="T292" s="214"/>
      <c r="U292" s="214"/>
      <c r="V292" s="214"/>
      <c r="W292" s="214"/>
      <c r="X292" s="214"/>
    </row>
    <row r="293" spans="1:24" ht="15.75" customHeight="1">
      <c r="A293" s="83"/>
      <c r="B293" s="218">
        <v>3.6</v>
      </c>
      <c r="C293" s="218">
        <v>3.33</v>
      </c>
      <c r="D293" s="218">
        <v>8.0000000000000004E-4</v>
      </c>
      <c r="E293" s="218">
        <v>6.1199999999999997E-2</v>
      </c>
      <c r="F293" s="218">
        <v>204.85</v>
      </c>
      <c r="G293" s="218">
        <v>400.69</v>
      </c>
      <c r="H293" s="218">
        <v>1.0175000000000001</v>
      </c>
      <c r="I293" s="218">
        <v>1.7252000000000001</v>
      </c>
      <c r="J293" s="218">
        <v>1.3511</v>
      </c>
      <c r="K293" s="218">
        <v>0.91390000000000005</v>
      </c>
      <c r="L293" s="214"/>
      <c r="M293" s="214"/>
      <c r="N293" s="214"/>
      <c r="O293" s="214"/>
      <c r="P293" s="214"/>
      <c r="Q293" s="214"/>
      <c r="R293" s="214"/>
      <c r="S293" s="214"/>
      <c r="T293" s="214"/>
      <c r="U293" s="214"/>
      <c r="V293" s="214"/>
      <c r="W293" s="214"/>
      <c r="X293" s="214"/>
    </row>
    <row r="294" spans="1:24" ht="15.75" customHeight="1">
      <c r="A294" s="83"/>
      <c r="B294" s="218">
        <v>3.7</v>
      </c>
      <c r="C294" s="218">
        <v>3.34</v>
      </c>
      <c r="D294" s="218">
        <v>8.0000000000000004E-4</v>
      </c>
      <c r="E294" s="218">
        <v>6.0999999999999999E-2</v>
      </c>
      <c r="F294" s="218">
        <v>204.99</v>
      </c>
      <c r="G294" s="218">
        <v>400.75</v>
      </c>
      <c r="H294" s="218">
        <v>1.018</v>
      </c>
      <c r="I294" s="218">
        <v>1.7251000000000001</v>
      </c>
      <c r="J294" s="218">
        <v>1.3513999999999999</v>
      </c>
      <c r="K294" s="218">
        <v>0.91439999999999999</v>
      </c>
      <c r="L294" s="214"/>
      <c r="M294" s="214"/>
      <c r="N294" s="214"/>
      <c r="O294" s="214"/>
      <c r="P294" s="214"/>
      <c r="Q294" s="214"/>
      <c r="R294" s="214"/>
      <c r="S294" s="214"/>
      <c r="T294" s="214"/>
      <c r="U294" s="214"/>
      <c r="V294" s="214"/>
      <c r="W294" s="214"/>
      <c r="X294" s="214"/>
    </row>
    <row r="295" spans="1:24" ht="15.75" customHeight="1">
      <c r="A295" s="83"/>
      <c r="B295" s="218">
        <v>3.8</v>
      </c>
      <c r="C295" s="218">
        <v>3.35</v>
      </c>
      <c r="D295" s="218">
        <v>8.0000000000000004E-4</v>
      </c>
      <c r="E295" s="218">
        <v>6.08E-2</v>
      </c>
      <c r="F295" s="218">
        <v>205.13</v>
      </c>
      <c r="G295" s="218">
        <v>400.8</v>
      </c>
      <c r="H295" s="218">
        <v>1.0185</v>
      </c>
      <c r="I295" s="218">
        <v>1.7251000000000001</v>
      </c>
      <c r="J295" s="218">
        <v>1.3516999999999999</v>
      </c>
      <c r="K295" s="218">
        <v>0.91490000000000005</v>
      </c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</row>
    <row r="296" spans="1:24" ht="15.75" customHeight="1">
      <c r="A296" s="83"/>
      <c r="B296" s="218">
        <v>3.9</v>
      </c>
      <c r="C296" s="218">
        <v>3.36</v>
      </c>
      <c r="D296" s="218">
        <v>8.0000000000000004E-4</v>
      </c>
      <c r="E296" s="218">
        <v>6.0600000000000001E-2</v>
      </c>
      <c r="F296" s="218">
        <v>205.26</v>
      </c>
      <c r="G296" s="218">
        <v>400.86</v>
      </c>
      <c r="H296" s="218">
        <v>1.0189999999999999</v>
      </c>
      <c r="I296" s="218">
        <v>1.7250000000000001</v>
      </c>
      <c r="J296" s="218">
        <v>1.3520000000000001</v>
      </c>
      <c r="K296" s="218">
        <v>0.9153</v>
      </c>
      <c r="L296" s="214"/>
      <c r="M296" s="214"/>
      <c r="N296" s="214"/>
      <c r="O296" s="214"/>
      <c r="P296" s="214"/>
      <c r="Q296" s="214"/>
      <c r="R296" s="214"/>
      <c r="S296" s="214"/>
      <c r="T296" s="214"/>
      <c r="U296" s="214"/>
      <c r="V296" s="214"/>
      <c r="W296" s="214"/>
      <c r="X296" s="214"/>
    </row>
    <row r="297" spans="1:24" ht="15.75" customHeight="1">
      <c r="A297" s="83"/>
      <c r="B297" s="218">
        <v>4</v>
      </c>
      <c r="C297" s="218">
        <v>3.38</v>
      </c>
      <c r="D297" s="218">
        <v>8.0000000000000004E-4</v>
      </c>
      <c r="E297" s="218">
        <v>6.0400000000000002E-2</v>
      </c>
      <c r="F297" s="218">
        <v>205.4</v>
      </c>
      <c r="G297" s="218">
        <v>400.92</v>
      </c>
      <c r="H297" s="218">
        <v>1.0195000000000001</v>
      </c>
      <c r="I297" s="218">
        <v>1.7250000000000001</v>
      </c>
      <c r="J297" s="218">
        <v>1.3522000000000001</v>
      </c>
      <c r="K297" s="218">
        <v>0.91579999999999995</v>
      </c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</row>
    <row r="298" spans="1:24" ht="15.75" customHeight="1">
      <c r="A298" s="83"/>
      <c r="B298" s="218">
        <v>4.0999999999999996</v>
      </c>
      <c r="C298" s="218">
        <v>3.39</v>
      </c>
      <c r="D298" s="218">
        <v>8.0000000000000004E-4</v>
      </c>
      <c r="E298" s="218">
        <v>6.0199999999999997E-2</v>
      </c>
      <c r="F298" s="218">
        <v>205.53</v>
      </c>
      <c r="G298" s="218">
        <v>400.98</v>
      </c>
      <c r="H298" s="218">
        <v>1.02</v>
      </c>
      <c r="I298" s="218">
        <v>1.7249000000000001</v>
      </c>
      <c r="J298" s="218">
        <v>1.3525</v>
      </c>
      <c r="K298" s="218">
        <v>0.9163</v>
      </c>
      <c r="L298" s="214"/>
      <c r="M298" s="214"/>
      <c r="N298" s="214"/>
      <c r="O298" s="214"/>
      <c r="P298" s="214"/>
      <c r="Q298" s="214"/>
      <c r="R298" s="214"/>
      <c r="S298" s="214"/>
      <c r="T298" s="214"/>
      <c r="U298" s="214"/>
      <c r="V298" s="214"/>
      <c r="W298" s="214"/>
      <c r="X298" s="214"/>
    </row>
    <row r="299" spans="1:24" ht="15.75" customHeight="1">
      <c r="A299" s="83"/>
      <c r="B299" s="218">
        <v>4.2</v>
      </c>
      <c r="C299" s="218">
        <v>3.4</v>
      </c>
      <c r="D299" s="218">
        <v>8.0000000000000004E-4</v>
      </c>
      <c r="E299" s="218">
        <v>0.06</v>
      </c>
      <c r="F299" s="218">
        <v>205.67</v>
      </c>
      <c r="G299" s="218">
        <v>401.03</v>
      </c>
      <c r="H299" s="218">
        <v>1.0205</v>
      </c>
      <c r="I299" s="218">
        <v>1.7249000000000001</v>
      </c>
      <c r="J299" s="218">
        <v>1.3528</v>
      </c>
      <c r="K299" s="218">
        <v>0.91679999999999995</v>
      </c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</row>
    <row r="300" spans="1:24" ht="15.75" customHeight="1">
      <c r="A300" s="83"/>
      <c r="B300" s="218">
        <v>4.3</v>
      </c>
      <c r="C300" s="218">
        <v>3.41</v>
      </c>
      <c r="D300" s="218">
        <v>8.0000000000000004E-4</v>
      </c>
      <c r="E300" s="218">
        <v>5.9799999999999999E-2</v>
      </c>
      <c r="F300" s="218">
        <v>205.8</v>
      </c>
      <c r="G300" s="218">
        <v>401.09</v>
      </c>
      <c r="H300" s="218">
        <v>1.0208999999999999</v>
      </c>
      <c r="I300" s="218">
        <v>1.7248000000000001</v>
      </c>
      <c r="J300" s="218">
        <v>1.3531</v>
      </c>
      <c r="K300" s="218">
        <v>0.91720000000000002</v>
      </c>
      <c r="L300" s="214"/>
      <c r="M300" s="214"/>
      <c r="N300" s="214"/>
      <c r="O300" s="214"/>
      <c r="P300" s="214"/>
      <c r="Q300" s="214"/>
      <c r="R300" s="214"/>
      <c r="S300" s="214"/>
      <c r="T300" s="214"/>
      <c r="U300" s="214"/>
      <c r="V300" s="214"/>
      <c r="W300" s="214"/>
      <c r="X300" s="214"/>
    </row>
    <row r="301" spans="1:24" ht="15.75" customHeight="1">
      <c r="A301" s="83"/>
      <c r="B301" s="218">
        <v>4.4000000000000004</v>
      </c>
      <c r="C301" s="218">
        <v>3.42</v>
      </c>
      <c r="D301" s="218">
        <v>8.0000000000000004E-4</v>
      </c>
      <c r="E301" s="218">
        <v>5.96E-2</v>
      </c>
      <c r="F301" s="218">
        <v>205.94</v>
      </c>
      <c r="G301" s="218">
        <v>401.15</v>
      </c>
      <c r="H301" s="218">
        <v>1.0214000000000001</v>
      </c>
      <c r="I301" s="218">
        <v>1.7248000000000001</v>
      </c>
      <c r="J301" s="218">
        <v>1.3533999999999999</v>
      </c>
      <c r="K301" s="218">
        <v>0.91769999999999996</v>
      </c>
      <c r="L301" s="214"/>
      <c r="M301" s="214"/>
      <c r="N301" s="214"/>
      <c r="O301" s="214"/>
      <c r="P301" s="214"/>
      <c r="Q301" s="214"/>
      <c r="R301" s="214"/>
      <c r="S301" s="214"/>
      <c r="T301" s="214"/>
      <c r="U301" s="214"/>
      <c r="V301" s="214"/>
      <c r="W301" s="214"/>
      <c r="X301" s="214"/>
    </row>
    <row r="302" spans="1:24" ht="15.75" customHeight="1">
      <c r="A302" s="83"/>
      <c r="B302" s="218">
        <v>4.5</v>
      </c>
      <c r="C302" s="218">
        <v>3.44</v>
      </c>
      <c r="D302" s="218">
        <v>8.0000000000000004E-4</v>
      </c>
      <c r="E302" s="218">
        <v>5.9400000000000001E-2</v>
      </c>
      <c r="F302" s="218">
        <v>206.07</v>
      </c>
      <c r="G302" s="218">
        <v>401.21</v>
      </c>
      <c r="H302" s="218">
        <v>1.0219</v>
      </c>
      <c r="I302" s="218">
        <v>1.7246999999999999</v>
      </c>
      <c r="J302" s="218">
        <v>1.3536999999999999</v>
      </c>
      <c r="K302" s="218">
        <v>0.91820000000000002</v>
      </c>
      <c r="L302" s="214"/>
      <c r="M302" s="214"/>
      <c r="N302" s="214"/>
      <c r="O302" s="214"/>
      <c r="P302" s="214"/>
      <c r="Q302" s="214"/>
      <c r="R302" s="214"/>
      <c r="S302" s="214"/>
      <c r="T302" s="214"/>
      <c r="U302" s="214"/>
      <c r="V302" s="214"/>
      <c r="W302" s="214"/>
      <c r="X302" s="214"/>
    </row>
    <row r="303" spans="1:24" ht="15.75" customHeight="1">
      <c r="A303" s="83"/>
      <c r="B303" s="218">
        <v>4.5999999999999996</v>
      </c>
      <c r="C303" s="218">
        <v>3.45</v>
      </c>
      <c r="D303" s="218">
        <v>8.0000000000000004E-4</v>
      </c>
      <c r="E303" s="218">
        <v>5.9200000000000003E-2</v>
      </c>
      <c r="F303" s="218">
        <v>206.21</v>
      </c>
      <c r="G303" s="218">
        <v>401.26</v>
      </c>
      <c r="H303" s="218">
        <v>1.0224</v>
      </c>
      <c r="I303" s="218">
        <v>1.7246999999999999</v>
      </c>
      <c r="J303" s="218">
        <v>1.3540000000000001</v>
      </c>
      <c r="K303" s="218">
        <v>0.91869999999999996</v>
      </c>
      <c r="L303" s="214"/>
      <c r="M303" s="214"/>
      <c r="N303" s="214"/>
      <c r="O303" s="214"/>
      <c r="P303" s="214"/>
      <c r="Q303" s="214"/>
      <c r="R303" s="214"/>
      <c r="S303" s="214"/>
      <c r="T303" s="214"/>
      <c r="U303" s="214"/>
      <c r="V303" s="214"/>
      <c r="W303" s="214"/>
      <c r="X303" s="214"/>
    </row>
    <row r="304" spans="1:24" ht="15.75" customHeight="1">
      <c r="A304" s="83"/>
      <c r="B304" s="218">
        <v>4.7</v>
      </c>
      <c r="C304" s="218">
        <v>3.46</v>
      </c>
      <c r="D304" s="218">
        <v>8.0000000000000004E-4</v>
      </c>
      <c r="E304" s="218">
        <v>5.8999999999999997E-2</v>
      </c>
      <c r="F304" s="218">
        <v>206.35</v>
      </c>
      <c r="G304" s="218">
        <v>401.32</v>
      </c>
      <c r="H304" s="218">
        <v>1.0228999999999999</v>
      </c>
      <c r="I304" s="218">
        <v>1.7245999999999999</v>
      </c>
      <c r="J304" s="218">
        <v>1.3543000000000001</v>
      </c>
      <c r="K304" s="218">
        <v>0.91920000000000002</v>
      </c>
      <c r="L304" s="214"/>
      <c r="M304" s="214"/>
      <c r="N304" s="214"/>
      <c r="O304" s="214"/>
      <c r="P304" s="214"/>
      <c r="Q304" s="214"/>
      <c r="R304" s="214"/>
      <c r="S304" s="214"/>
      <c r="T304" s="214"/>
      <c r="U304" s="214"/>
      <c r="V304" s="214"/>
      <c r="W304" s="214"/>
      <c r="X304" s="214"/>
    </row>
    <row r="305" spans="1:24" ht="15.75" customHeight="1">
      <c r="A305" s="83"/>
      <c r="B305" s="218">
        <v>4.8</v>
      </c>
      <c r="C305" s="218">
        <v>3.47</v>
      </c>
      <c r="D305" s="218">
        <v>8.0000000000000004E-4</v>
      </c>
      <c r="E305" s="218">
        <v>5.8799999999999998E-2</v>
      </c>
      <c r="F305" s="218">
        <v>206.48</v>
      </c>
      <c r="G305" s="218">
        <v>401.38</v>
      </c>
      <c r="H305" s="218">
        <v>1.0234000000000001</v>
      </c>
      <c r="I305" s="218">
        <v>1.7245999999999999</v>
      </c>
      <c r="J305" s="218">
        <v>1.3546</v>
      </c>
      <c r="K305" s="218">
        <v>0.91959999999999997</v>
      </c>
      <c r="L305" s="214"/>
      <c r="M305" s="214"/>
      <c r="N305" s="214"/>
      <c r="O305" s="214"/>
      <c r="P305" s="214"/>
      <c r="Q305" s="214"/>
      <c r="R305" s="214"/>
      <c r="S305" s="214"/>
      <c r="T305" s="214"/>
      <c r="U305" s="214"/>
      <c r="V305" s="214"/>
      <c r="W305" s="214"/>
      <c r="X305" s="214"/>
    </row>
    <row r="306" spans="1:24" ht="15.75" customHeight="1">
      <c r="A306" s="83"/>
      <c r="B306" s="218">
        <v>4.9000000000000004</v>
      </c>
      <c r="C306" s="218">
        <v>3.48</v>
      </c>
      <c r="D306" s="218">
        <v>8.0000000000000004E-4</v>
      </c>
      <c r="E306" s="218">
        <v>5.8599999999999999E-2</v>
      </c>
      <c r="F306" s="218">
        <v>206.62</v>
      </c>
      <c r="G306" s="218">
        <v>401.44</v>
      </c>
      <c r="H306" s="218">
        <v>1.0239</v>
      </c>
      <c r="I306" s="218">
        <v>1.7244999999999999</v>
      </c>
      <c r="J306" s="218">
        <v>1.3549</v>
      </c>
      <c r="K306" s="218">
        <v>0.92010000000000003</v>
      </c>
      <c r="L306" s="214"/>
      <c r="M306" s="214"/>
      <c r="N306" s="214"/>
      <c r="O306" s="214"/>
      <c r="P306" s="214"/>
      <c r="Q306" s="214"/>
      <c r="R306" s="214"/>
      <c r="S306" s="214"/>
      <c r="T306" s="214"/>
      <c r="U306" s="214"/>
      <c r="V306" s="214"/>
      <c r="W306" s="214"/>
      <c r="X306" s="214"/>
    </row>
    <row r="307" spans="1:24" ht="15.75" customHeight="1">
      <c r="A307" s="83"/>
      <c r="B307" s="218">
        <v>5</v>
      </c>
      <c r="C307" s="218">
        <v>3.5</v>
      </c>
      <c r="D307" s="218">
        <v>8.0000000000000004E-4</v>
      </c>
      <c r="E307" s="218">
        <v>5.8400000000000001E-2</v>
      </c>
      <c r="F307" s="218">
        <v>206.75</v>
      </c>
      <c r="G307" s="218">
        <v>401.49</v>
      </c>
      <c r="H307" s="218">
        <v>1.0243</v>
      </c>
      <c r="I307" s="218">
        <v>1.7244999999999999</v>
      </c>
      <c r="J307" s="218">
        <v>1.3552</v>
      </c>
      <c r="K307" s="218">
        <v>0.92059999999999997</v>
      </c>
      <c r="L307" s="214"/>
      <c r="M307" s="214"/>
      <c r="N307" s="214"/>
      <c r="O307" s="214"/>
      <c r="P307" s="214"/>
      <c r="Q307" s="214"/>
      <c r="R307" s="214"/>
      <c r="S307" s="214"/>
      <c r="T307" s="214"/>
      <c r="U307" s="214"/>
      <c r="V307" s="214"/>
      <c r="W307" s="214"/>
      <c r="X307" s="214"/>
    </row>
    <row r="308" spans="1:24" ht="15.75" customHeight="1">
      <c r="A308" s="83"/>
      <c r="B308" s="218">
        <v>5.0999999999999996</v>
      </c>
      <c r="C308" s="218">
        <v>3.51</v>
      </c>
      <c r="D308" s="218">
        <v>8.0000000000000004E-4</v>
      </c>
      <c r="E308" s="218">
        <v>5.8200000000000002E-2</v>
      </c>
      <c r="F308" s="218">
        <v>206.89</v>
      </c>
      <c r="G308" s="218">
        <v>401.55</v>
      </c>
      <c r="H308" s="218">
        <v>1.0247999999999999</v>
      </c>
      <c r="I308" s="218">
        <v>1.7243999999999999</v>
      </c>
      <c r="J308" s="218">
        <v>1.3553999999999999</v>
      </c>
      <c r="K308" s="218">
        <v>0.92110000000000003</v>
      </c>
      <c r="L308" s="214"/>
      <c r="M308" s="214"/>
      <c r="N308" s="214"/>
      <c r="O308" s="214"/>
      <c r="P308" s="214"/>
      <c r="Q308" s="214"/>
      <c r="R308" s="214"/>
      <c r="S308" s="214"/>
      <c r="T308" s="214"/>
      <c r="U308" s="214"/>
      <c r="V308" s="214"/>
      <c r="W308" s="214"/>
      <c r="X308" s="214"/>
    </row>
    <row r="309" spans="1:24" ht="15.75" customHeight="1">
      <c r="A309" s="83"/>
      <c r="B309" s="218">
        <v>5.2</v>
      </c>
      <c r="C309" s="218">
        <v>3.52</v>
      </c>
      <c r="D309" s="218">
        <v>8.0000000000000004E-4</v>
      </c>
      <c r="E309" s="218">
        <v>5.8000000000000003E-2</v>
      </c>
      <c r="F309" s="218">
        <v>207.02</v>
      </c>
      <c r="G309" s="218">
        <v>401.61</v>
      </c>
      <c r="H309" s="218">
        <v>1.0253000000000001</v>
      </c>
      <c r="I309" s="218">
        <v>1.7243999999999999</v>
      </c>
      <c r="J309" s="218">
        <v>1.3556999999999999</v>
      </c>
      <c r="K309" s="218">
        <v>0.92159999999999997</v>
      </c>
      <c r="L309" s="214"/>
      <c r="M309" s="214"/>
      <c r="N309" s="214"/>
      <c r="O309" s="214"/>
      <c r="P309" s="214"/>
      <c r="Q309" s="214"/>
      <c r="R309" s="214"/>
      <c r="S309" s="214"/>
      <c r="T309" s="214"/>
      <c r="U309" s="214"/>
      <c r="V309" s="214"/>
      <c r="W309" s="214"/>
      <c r="X309" s="214"/>
    </row>
    <row r="310" spans="1:24" ht="15.75" customHeight="1">
      <c r="A310" s="83"/>
      <c r="B310" s="218">
        <v>5.3</v>
      </c>
      <c r="C310" s="218">
        <v>3.53</v>
      </c>
      <c r="D310" s="218">
        <v>8.0000000000000004E-4</v>
      </c>
      <c r="E310" s="218">
        <v>5.7799999999999997E-2</v>
      </c>
      <c r="F310" s="218">
        <v>207.16</v>
      </c>
      <c r="G310" s="218">
        <v>401.66</v>
      </c>
      <c r="H310" s="218">
        <v>1.0258</v>
      </c>
      <c r="I310" s="218">
        <v>1.7242999999999999</v>
      </c>
      <c r="J310" s="218">
        <v>1.3560000000000001</v>
      </c>
      <c r="K310" s="218">
        <v>0.92200000000000004</v>
      </c>
      <c r="L310" s="214"/>
      <c r="M310" s="214"/>
      <c r="N310" s="214"/>
      <c r="O310" s="214"/>
      <c r="P310" s="214"/>
      <c r="Q310" s="214"/>
      <c r="R310" s="214"/>
      <c r="S310" s="214"/>
      <c r="T310" s="214"/>
      <c r="U310" s="214"/>
      <c r="V310" s="214"/>
      <c r="W310" s="214"/>
      <c r="X310" s="214"/>
    </row>
    <row r="311" spans="1:24" ht="15.75" customHeight="1">
      <c r="A311" s="83"/>
      <c r="B311" s="218">
        <v>5.4</v>
      </c>
      <c r="C311" s="218">
        <v>3.55</v>
      </c>
      <c r="D311" s="218">
        <v>8.0000000000000004E-4</v>
      </c>
      <c r="E311" s="218">
        <v>5.7599999999999998E-2</v>
      </c>
      <c r="F311" s="218">
        <v>207.3</v>
      </c>
      <c r="G311" s="218">
        <v>401.72</v>
      </c>
      <c r="H311" s="218">
        <v>1.0263</v>
      </c>
      <c r="I311" s="218">
        <v>1.7242999999999999</v>
      </c>
      <c r="J311" s="218">
        <v>1.3563000000000001</v>
      </c>
      <c r="K311" s="218">
        <v>0.92249999999999999</v>
      </c>
      <c r="L311" s="214"/>
      <c r="M311" s="214"/>
      <c r="N311" s="214"/>
      <c r="O311" s="214"/>
      <c r="P311" s="214"/>
      <c r="Q311" s="214"/>
      <c r="R311" s="214"/>
      <c r="S311" s="214"/>
      <c r="T311" s="214"/>
      <c r="U311" s="214"/>
      <c r="V311" s="214"/>
      <c r="W311" s="214"/>
      <c r="X311" s="214"/>
    </row>
    <row r="312" spans="1:24" ht="15.75" customHeight="1">
      <c r="A312" s="83"/>
      <c r="B312" s="218">
        <v>5.5</v>
      </c>
      <c r="C312" s="218">
        <v>3.56</v>
      </c>
      <c r="D312" s="218">
        <v>8.0000000000000004E-4</v>
      </c>
      <c r="E312" s="218">
        <v>5.74E-2</v>
      </c>
      <c r="F312" s="218">
        <v>207.43</v>
      </c>
      <c r="G312" s="218">
        <v>401.78</v>
      </c>
      <c r="H312" s="218">
        <v>1.0267999999999999</v>
      </c>
      <c r="I312" s="218">
        <v>1.7242</v>
      </c>
      <c r="J312" s="218">
        <v>1.3566</v>
      </c>
      <c r="K312" s="218">
        <v>0.92300000000000004</v>
      </c>
      <c r="L312" s="214"/>
      <c r="M312" s="214"/>
      <c r="N312" s="214"/>
      <c r="O312" s="214"/>
      <c r="P312" s="214"/>
      <c r="Q312" s="214"/>
      <c r="R312" s="214"/>
      <c r="S312" s="214"/>
      <c r="T312" s="214"/>
      <c r="U312" s="214"/>
      <c r="V312" s="214"/>
      <c r="W312" s="214"/>
      <c r="X312" s="214"/>
    </row>
    <row r="313" spans="1:24" ht="15.75" customHeight="1">
      <c r="A313" s="83"/>
      <c r="B313" s="218">
        <v>5.6</v>
      </c>
      <c r="C313" s="218">
        <v>3.57</v>
      </c>
      <c r="D313" s="218">
        <v>8.0000000000000004E-4</v>
      </c>
      <c r="E313" s="218">
        <v>5.7200000000000001E-2</v>
      </c>
      <c r="F313" s="218">
        <v>207.57</v>
      </c>
      <c r="G313" s="218">
        <v>401.83</v>
      </c>
      <c r="H313" s="218">
        <v>1.0271999999999999</v>
      </c>
      <c r="I313" s="218">
        <v>1.7242</v>
      </c>
      <c r="J313" s="218">
        <v>1.3569</v>
      </c>
      <c r="K313" s="218">
        <v>0.92349999999999999</v>
      </c>
      <c r="L313" s="214"/>
      <c r="M313" s="214"/>
      <c r="N313" s="214"/>
      <c r="O313" s="214"/>
      <c r="P313" s="214"/>
      <c r="Q313" s="214"/>
      <c r="R313" s="214"/>
      <c r="S313" s="214"/>
      <c r="T313" s="214"/>
      <c r="U313" s="214"/>
      <c r="V313" s="214"/>
      <c r="W313" s="214"/>
      <c r="X313" s="214"/>
    </row>
    <row r="314" spans="1:24" ht="15.75" customHeight="1">
      <c r="A314" s="83"/>
      <c r="B314" s="218">
        <v>5.7</v>
      </c>
      <c r="C314" s="218">
        <v>3.58</v>
      </c>
      <c r="D314" s="218">
        <v>8.0000000000000004E-4</v>
      </c>
      <c r="E314" s="218">
        <v>5.7000000000000002E-2</v>
      </c>
      <c r="F314" s="218">
        <v>207.7</v>
      </c>
      <c r="G314" s="218">
        <v>401.89</v>
      </c>
      <c r="H314" s="218">
        <v>1.0277000000000001</v>
      </c>
      <c r="I314" s="218">
        <v>1.7241</v>
      </c>
      <c r="J314" s="218">
        <v>1.3572</v>
      </c>
      <c r="K314" s="218">
        <v>0.92400000000000004</v>
      </c>
      <c r="L314" s="214"/>
      <c r="M314" s="214"/>
      <c r="N314" s="214"/>
      <c r="O314" s="214"/>
      <c r="P314" s="214"/>
      <c r="Q314" s="214"/>
      <c r="R314" s="214"/>
      <c r="S314" s="214"/>
      <c r="T314" s="214"/>
      <c r="U314" s="214"/>
      <c r="V314" s="214"/>
      <c r="W314" s="214"/>
      <c r="X314" s="214"/>
    </row>
    <row r="315" spans="1:24" ht="15.75" customHeight="1">
      <c r="A315" s="83"/>
      <c r="B315" s="218">
        <v>5.8</v>
      </c>
      <c r="C315" s="218">
        <v>3.59</v>
      </c>
      <c r="D315" s="218">
        <v>8.0000000000000004E-4</v>
      </c>
      <c r="E315" s="218">
        <v>5.6800000000000003E-2</v>
      </c>
      <c r="F315" s="218">
        <v>207.84</v>
      </c>
      <c r="G315" s="218">
        <v>401.95</v>
      </c>
      <c r="H315" s="218">
        <v>1.0282</v>
      </c>
      <c r="I315" s="218">
        <v>1.7241</v>
      </c>
      <c r="J315" s="218">
        <v>1.3574999999999999</v>
      </c>
      <c r="K315" s="218">
        <v>0.92449999999999999</v>
      </c>
      <c r="L315" s="214"/>
      <c r="M315" s="214"/>
      <c r="N315" s="214"/>
      <c r="O315" s="214"/>
      <c r="P315" s="214"/>
      <c r="Q315" s="214"/>
      <c r="R315" s="214"/>
      <c r="S315" s="214"/>
      <c r="T315" s="214"/>
      <c r="U315" s="214"/>
      <c r="V315" s="214"/>
      <c r="W315" s="214"/>
      <c r="X315" s="214"/>
    </row>
    <row r="316" spans="1:24" ht="15.75" customHeight="1">
      <c r="A316" s="83"/>
      <c r="B316" s="218">
        <v>5.9</v>
      </c>
      <c r="C316" s="218">
        <v>3.61</v>
      </c>
      <c r="D316" s="218">
        <v>8.0000000000000004E-4</v>
      </c>
      <c r="E316" s="218">
        <v>5.6599999999999998E-2</v>
      </c>
      <c r="F316" s="218">
        <v>207.98</v>
      </c>
      <c r="G316" s="218">
        <v>402.01</v>
      </c>
      <c r="H316" s="218">
        <v>1.0286999999999999</v>
      </c>
      <c r="I316" s="218">
        <v>1.724</v>
      </c>
      <c r="J316" s="218">
        <v>1.3577999999999999</v>
      </c>
      <c r="K316" s="218">
        <v>0.92500000000000004</v>
      </c>
      <c r="L316" s="214"/>
      <c r="M316" s="214"/>
      <c r="N316" s="214"/>
      <c r="O316" s="214"/>
      <c r="P316" s="214"/>
      <c r="Q316" s="214"/>
      <c r="R316" s="214"/>
      <c r="S316" s="214"/>
      <c r="T316" s="214"/>
      <c r="U316" s="214"/>
      <c r="V316" s="214"/>
      <c r="W316" s="214"/>
      <c r="X316" s="214"/>
    </row>
    <row r="317" spans="1:24" ht="15.75" customHeight="1">
      <c r="A317" s="83"/>
      <c r="B317" s="218">
        <v>6</v>
      </c>
      <c r="C317" s="218">
        <v>3.62</v>
      </c>
      <c r="D317" s="218">
        <v>8.0000000000000004E-4</v>
      </c>
      <c r="E317" s="218">
        <v>5.6399999999999999E-2</v>
      </c>
      <c r="F317" s="218">
        <v>208.11</v>
      </c>
      <c r="G317" s="218">
        <v>402.06</v>
      </c>
      <c r="H317" s="218">
        <v>1.0291999999999999</v>
      </c>
      <c r="I317" s="218">
        <v>1.724</v>
      </c>
      <c r="J317" s="218">
        <v>1.3581000000000001</v>
      </c>
      <c r="K317" s="218">
        <v>0.9254</v>
      </c>
      <c r="L317" s="214"/>
      <c r="M317" s="214"/>
      <c r="N317" s="214"/>
      <c r="O317" s="214"/>
      <c r="P317" s="214"/>
      <c r="Q317" s="214"/>
      <c r="R317" s="214"/>
      <c r="S317" s="214"/>
      <c r="T317" s="214"/>
      <c r="U317" s="214"/>
      <c r="V317" s="214"/>
      <c r="W317" s="214"/>
      <c r="X317" s="214"/>
    </row>
    <row r="318" spans="1:24" ht="15.75" customHeight="1">
      <c r="A318" s="83"/>
      <c r="B318" s="218">
        <v>6.1</v>
      </c>
      <c r="C318" s="218">
        <v>3.63</v>
      </c>
      <c r="D318" s="218">
        <v>8.0000000000000004E-4</v>
      </c>
      <c r="E318" s="218">
        <v>5.6300000000000003E-2</v>
      </c>
      <c r="F318" s="218">
        <v>208.25</v>
      </c>
      <c r="G318" s="218">
        <v>402.12</v>
      </c>
      <c r="H318" s="218">
        <v>1.0297000000000001</v>
      </c>
      <c r="I318" s="218">
        <v>1.7239</v>
      </c>
      <c r="J318" s="218">
        <v>1.3584000000000001</v>
      </c>
      <c r="K318" s="218">
        <v>0.92589999999999995</v>
      </c>
      <c r="L318" s="214"/>
      <c r="M318" s="214"/>
      <c r="N318" s="214"/>
      <c r="O318" s="214"/>
      <c r="P318" s="214"/>
      <c r="Q318" s="214"/>
      <c r="R318" s="214"/>
      <c r="S318" s="214"/>
      <c r="T318" s="214"/>
      <c r="U318" s="214"/>
      <c r="V318" s="214"/>
      <c r="W318" s="214"/>
      <c r="X318" s="214"/>
    </row>
    <row r="319" spans="1:24" ht="15.75" customHeight="1">
      <c r="A319" s="83"/>
      <c r="B319" s="218">
        <v>6.2</v>
      </c>
      <c r="C319" s="218">
        <v>3.64</v>
      </c>
      <c r="D319" s="218">
        <v>8.0000000000000004E-4</v>
      </c>
      <c r="E319" s="218">
        <v>5.6099999999999997E-2</v>
      </c>
      <c r="F319" s="218">
        <v>208.38</v>
      </c>
      <c r="G319" s="218">
        <v>402.18</v>
      </c>
      <c r="H319" s="218">
        <v>1.0301</v>
      </c>
      <c r="I319" s="218">
        <v>1.7239</v>
      </c>
      <c r="J319" s="218">
        <v>1.3587</v>
      </c>
      <c r="K319" s="218">
        <v>0.9264</v>
      </c>
      <c r="L319" s="214"/>
      <c r="M319" s="214"/>
      <c r="N319" s="214"/>
      <c r="O319" s="214"/>
      <c r="P319" s="214"/>
      <c r="Q319" s="214"/>
      <c r="R319" s="214"/>
      <c r="S319" s="214"/>
      <c r="T319" s="214"/>
      <c r="U319" s="214"/>
      <c r="V319" s="214"/>
      <c r="W319" s="214"/>
      <c r="X319" s="214"/>
    </row>
    <row r="320" spans="1:24" ht="15.75" customHeight="1">
      <c r="A320" s="83"/>
      <c r="B320" s="218">
        <v>6.3</v>
      </c>
      <c r="C320" s="218">
        <v>3.66</v>
      </c>
      <c r="D320" s="218">
        <v>8.0000000000000004E-4</v>
      </c>
      <c r="E320" s="218">
        <v>5.5899999999999998E-2</v>
      </c>
      <c r="F320" s="218">
        <v>208.52</v>
      </c>
      <c r="G320" s="218">
        <v>402.23</v>
      </c>
      <c r="H320" s="218">
        <v>1.0306</v>
      </c>
      <c r="I320" s="218">
        <v>1.7238</v>
      </c>
      <c r="J320" s="218">
        <v>1.359</v>
      </c>
      <c r="K320" s="218">
        <v>0.92689999999999995</v>
      </c>
      <c r="L320" s="214"/>
      <c r="M320" s="214"/>
      <c r="N320" s="214"/>
      <c r="O320" s="214"/>
      <c r="P320" s="214"/>
      <c r="Q320" s="214"/>
      <c r="R320" s="214"/>
      <c r="S320" s="214"/>
      <c r="T320" s="214"/>
      <c r="U320" s="214"/>
      <c r="V320" s="214"/>
      <c r="W320" s="214"/>
      <c r="X320" s="214"/>
    </row>
    <row r="321" spans="1:24" ht="15.75" customHeight="1">
      <c r="A321" s="83"/>
      <c r="B321" s="218">
        <v>6.4</v>
      </c>
      <c r="C321" s="218">
        <v>3.67</v>
      </c>
      <c r="D321" s="218">
        <v>8.0000000000000004E-4</v>
      </c>
      <c r="E321" s="218">
        <v>5.57E-2</v>
      </c>
      <c r="F321" s="218">
        <v>208.66</v>
      </c>
      <c r="G321" s="218">
        <v>402.29</v>
      </c>
      <c r="H321" s="218">
        <v>1.0310999999999999</v>
      </c>
      <c r="I321" s="218">
        <v>1.7238</v>
      </c>
      <c r="J321" s="218">
        <v>1.3593</v>
      </c>
      <c r="K321" s="218">
        <v>0.9274</v>
      </c>
      <c r="L321" s="214"/>
      <c r="M321" s="214"/>
      <c r="N321" s="214"/>
      <c r="O321" s="214"/>
      <c r="P321" s="214"/>
      <c r="Q321" s="214"/>
      <c r="R321" s="214"/>
      <c r="S321" s="214"/>
      <c r="T321" s="214"/>
      <c r="U321" s="214"/>
      <c r="V321" s="214"/>
      <c r="W321" s="214"/>
      <c r="X321" s="214"/>
    </row>
    <row r="322" spans="1:24" ht="15.75" customHeight="1">
      <c r="A322" s="83"/>
      <c r="B322" s="218">
        <v>6.5</v>
      </c>
      <c r="C322" s="218">
        <v>3.68</v>
      </c>
      <c r="D322" s="218">
        <v>8.0000000000000004E-4</v>
      </c>
      <c r="E322" s="218">
        <v>5.5500000000000001E-2</v>
      </c>
      <c r="F322" s="218">
        <v>208.79</v>
      </c>
      <c r="G322" s="218">
        <v>402.35</v>
      </c>
      <c r="H322" s="218">
        <v>1.0316000000000001</v>
      </c>
      <c r="I322" s="218">
        <v>1.7237</v>
      </c>
      <c r="J322" s="218">
        <v>1.3595999999999999</v>
      </c>
      <c r="K322" s="218">
        <v>0.92789999999999995</v>
      </c>
      <c r="L322" s="214"/>
      <c r="M322" s="214"/>
      <c r="N322" s="214"/>
      <c r="O322" s="214"/>
      <c r="P322" s="214"/>
      <c r="Q322" s="214"/>
      <c r="R322" s="214"/>
      <c r="S322" s="214"/>
      <c r="T322" s="214"/>
      <c r="U322" s="214"/>
      <c r="V322" s="214"/>
      <c r="W322" s="214"/>
      <c r="X322" s="214"/>
    </row>
    <row r="323" spans="1:24" ht="15.75" customHeight="1">
      <c r="A323" s="83"/>
      <c r="B323" s="218">
        <v>6.6</v>
      </c>
      <c r="C323" s="218">
        <v>3.7</v>
      </c>
      <c r="D323" s="218">
        <v>8.0000000000000004E-4</v>
      </c>
      <c r="E323" s="218">
        <v>5.5300000000000002E-2</v>
      </c>
      <c r="F323" s="218">
        <v>208.93</v>
      </c>
      <c r="G323" s="218">
        <v>402.4</v>
      </c>
      <c r="H323" s="218">
        <v>1.0321</v>
      </c>
      <c r="I323" s="218">
        <v>1.7237</v>
      </c>
      <c r="J323" s="218">
        <v>1.3599000000000001</v>
      </c>
      <c r="K323" s="218">
        <v>0.9284</v>
      </c>
      <c r="L323" s="214"/>
      <c r="M323" s="214"/>
      <c r="N323" s="214"/>
      <c r="O323" s="214"/>
      <c r="P323" s="214"/>
      <c r="Q323" s="214"/>
      <c r="R323" s="214"/>
      <c r="S323" s="214"/>
      <c r="T323" s="214"/>
      <c r="U323" s="214"/>
      <c r="V323" s="214"/>
      <c r="W323" s="214"/>
      <c r="X323" s="214"/>
    </row>
    <row r="324" spans="1:24" ht="15.75" customHeight="1">
      <c r="A324" s="83"/>
      <c r="B324" s="218">
        <v>6.7</v>
      </c>
      <c r="C324" s="218">
        <v>3.71</v>
      </c>
      <c r="D324" s="218">
        <v>8.0000000000000004E-4</v>
      </c>
      <c r="E324" s="218">
        <v>5.5100000000000003E-2</v>
      </c>
      <c r="F324" s="218">
        <v>209.06</v>
      </c>
      <c r="G324" s="218">
        <v>402.46</v>
      </c>
      <c r="H324" s="218">
        <v>1.0326</v>
      </c>
      <c r="I324" s="218">
        <v>1.7236</v>
      </c>
      <c r="J324" s="218">
        <v>1.3602000000000001</v>
      </c>
      <c r="K324" s="218">
        <v>0.92889999999999995</v>
      </c>
      <c r="L324" s="214"/>
      <c r="M324" s="214"/>
      <c r="N324" s="214"/>
      <c r="O324" s="214"/>
      <c r="P324" s="214"/>
      <c r="Q324" s="214"/>
      <c r="R324" s="214"/>
      <c r="S324" s="214"/>
      <c r="T324" s="214"/>
      <c r="U324" s="214"/>
      <c r="V324" s="214"/>
      <c r="W324" s="214"/>
      <c r="X324" s="214"/>
    </row>
    <row r="325" spans="1:24" ht="15.75" customHeight="1">
      <c r="A325" s="83"/>
      <c r="B325" s="218">
        <v>6.8</v>
      </c>
      <c r="C325" s="218">
        <v>3.72</v>
      </c>
      <c r="D325" s="218">
        <v>8.0000000000000004E-4</v>
      </c>
      <c r="E325" s="218">
        <v>5.5E-2</v>
      </c>
      <c r="F325" s="218">
        <v>209.2</v>
      </c>
      <c r="G325" s="218">
        <v>402.52</v>
      </c>
      <c r="H325" s="218">
        <v>1.0329999999999999</v>
      </c>
      <c r="I325" s="218">
        <v>1.7236</v>
      </c>
      <c r="J325" s="218">
        <v>1.3605</v>
      </c>
      <c r="K325" s="218">
        <v>0.9294</v>
      </c>
      <c r="L325" s="214"/>
      <c r="M325" s="214"/>
      <c r="N325" s="214"/>
      <c r="O325" s="214"/>
      <c r="P325" s="214"/>
      <c r="Q325" s="214"/>
      <c r="R325" s="214"/>
      <c r="S325" s="214"/>
      <c r="T325" s="214"/>
      <c r="U325" s="214"/>
      <c r="V325" s="214"/>
      <c r="W325" s="214"/>
      <c r="X325" s="214"/>
    </row>
    <row r="326" spans="1:24" ht="15.75" customHeight="1">
      <c r="A326" s="83"/>
      <c r="B326" s="218">
        <v>6.9</v>
      </c>
      <c r="C326" s="218">
        <v>3.73</v>
      </c>
      <c r="D326" s="218">
        <v>8.0000000000000004E-4</v>
      </c>
      <c r="E326" s="218">
        <v>5.4800000000000001E-2</v>
      </c>
      <c r="F326" s="218">
        <v>209.34</v>
      </c>
      <c r="G326" s="218">
        <v>402.57</v>
      </c>
      <c r="H326" s="218">
        <v>1.0335000000000001</v>
      </c>
      <c r="I326" s="218">
        <v>1.7235</v>
      </c>
      <c r="J326" s="218">
        <v>1.3608</v>
      </c>
      <c r="K326" s="218">
        <v>0.92989999999999995</v>
      </c>
      <c r="L326" s="214"/>
      <c r="M326" s="214"/>
      <c r="N326" s="214"/>
      <c r="O326" s="214"/>
      <c r="P326" s="214"/>
      <c r="Q326" s="214"/>
      <c r="R326" s="214"/>
      <c r="S326" s="214"/>
      <c r="T326" s="214"/>
      <c r="U326" s="214"/>
      <c r="V326" s="214"/>
      <c r="W326" s="214"/>
      <c r="X326" s="214"/>
    </row>
    <row r="327" spans="1:24" ht="15.75" customHeight="1">
      <c r="A327" s="83"/>
      <c r="B327" s="218">
        <v>7</v>
      </c>
      <c r="C327" s="218">
        <v>3.75</v>
      </c>
      <c r="D327" s="218">
        <v>8.0000000000000004E-4</v>
      </c>
      <c r="E327" s="218">
        <v>5.4600000000000003E-2</v>
      </c>
      <c r="F327" s="218">
        <v>209.47</v>
      </c>
      <c r="G327" s="218">
        <v>402.63</v>
      </c>
      <c r="H327" s="218">
        <v>1.034</v>
      </c>
      <c r="I327" s="218">
        <v>1.7235</v>
      </c>
      <c r="J327" s="218">
        <v>1.3611</v>
      </c>
      <c r="K327" s="218">
        <v>0.9304</v>
      </c>
      <c r="L327" s="214"/>
      <c r="M327" s="214"/>
      <c r="N327" s="214"/>
      <c r="O327" s="214"/>
      <c r="P327" s="214"/>
      <c r="Q327" s="214"/>
      <c r="R327" s="214"/>
      <c r="S327" s="214"/>
      <c r="T327" s="214"/>
      <c r="U327" s="214"/>
      <c r="V327" s="214"/>
      <c r="W327" s="214"/>
      <c r="X327" s="214"/>
    </row>
    <row r="328" spans="1:24" ht="15.75" customHeight="1">
      <c r="A328" s="83"/>
      <c r="B328" s="218">
        <v>7.1</v>
      </c>
      <c r="C328" s="218">
        <v>3.76</v>
      </c>
      <c r="D328" s="218">
        <v>8.0000000000000004E-4</v>
      </c>
      <c r="E328" s="218">
        <v>5.4399999999999997E-2</v>
      </c>
      <c r="F328" s="218">
        <v>209.61</v>
      </c>
      <c r="G328" s="218">
        <v>402.69</v>
      </c>
      <c r="H328" s="218">
        <v>1.0345</v>
      </c>
      <c r="I328" s="218">
        <v>1.7234</v>
      </c>
      <c r="J328" s="218">
        <v>1.3613999999999999</v>
      </c>
      <c r="K328" s="218">
        <v>0.93079999999999996</v>
      </c>
      <c r="L328" s="214"/>
      <c r="M328" s="214"/>
      <c r="N328" s="214"/>
      <c r="O328" s="214"/>
      <c r="P328" s="214"/>
      <c r="Q328" s="214"/>
      <c r="R328" s="214"/>
      <c r="S328" s="214"/>
      <c r="T328" s="214"/>
      <c r="U328" s="214"/>
      <c r="V328" s="214"/>
      <c r="W328" s="214"/>
      <c r="X328" s="214"/>
    </row>
    <row r="329" spans="1:24" ht="15.75" customHeight="1">
      <c r="A329" s="83"/>
      <c r="B329" s="218">
        <v>7.2</v>
      </c>
      <c r="C329" s="218">
        <v>3.77</v>
      </c>
      <c r="D329" s="218">
        <v>8.0000000000000004E-4</v>
      </c>
      <c r="E329" s="218">
        <v>5.4199999999999998E-2</v>
      </c>
      <c r="F329" s="218">
        <v>209.75</v>
      </c>
      <c r="G329" s="218">
        <v>402.74</v>
      </c>
      <c r="H329" s="218">
        <v>1.0349999999999999</v>
      </c>
      <c r="I329" s="218">
        <v>1.7234</v>
      </c>
      <c r="J329" s="218">
        <v>1.3616999999999999</v>
      </c>
      <c r="K329" s="218">
        <v>0.93130000000000002</v>
      </c>
      <c r="L329" s="214"/>
      <c r="M329" s="214"/>
      <c r="N329" s="214"/>
      <c r="O329" s="214"/>
      <c r="P329" s="214"/>
      <c r="Q329" s="214"/>
      <c r="R329" s="214"/>
      <c r="S329" s="214"/>
      <c r="T329" s="214"/>
      <c r="U329" s="214"/>
      <c r="V329" s="214"/>
      <c r="W329" s="214"/>
      <c r="X329" s="214"/>
    </row>
    <row r="330" spans="1:24" ht="15.75" customHeight="1">
      <c r="A330" s="83"/>
      <c r="B330" s="218">
        <v>7.3</v>
      </c>
      <c r="C330" s="218">
        <v>3.78</v>
      </c>
      <c r="D330" s="218">
        <v>8.0000000000000004E-4</v>
      </c>
      <c r="E330" s="218">
        <v>5.3999999999999999E-2</v>
      </c>
      <c r="F330" s="218">
        <v>209.88</v>
      </c>
      <c r="G330" s="218">
        <v>402.8</v>
      </c>
      <c r="H330" s="218">
        <v>1.0355000000000001</v>
      </c>
      <c r="I330" s="218">
        <v>1.7233000000000001</v>
      </c>
      <c r="J330" s="218">
        <v>1.3620000000000001</v>
      </c>
      <c r="K330" s="218">
        <v>0.93179999999999996</v>
      </c>
      <c r="L330" s="214"/>
      <c r="M330" s="214"/>
      <c r="N330" s="214"/>
      <c r="O330" s="214"/>
      <c r="P330" s="214"/>
      <c r="Q330" s="214"/>
      <c r="R330" s="214"/>
      <c r="S330" s="214"/>
      <c r="T330" s="214"/>
      <c r="U330" s="214"/>
      <c r="V330" s="214"/>
      <c r="W330" s="214"/>
      <c r="X330" s="214"/>
    </row>
    <row r="331" spans="1:24" ht="15.75" customHeight="1">
      <c r="A331" s="83"/>
      <c r="B331" s="218">
        <v>7.4</v>
      </c>
      <c r="C331" s="218">
        <v>3.8</v>
      </c>
      <c r="D331" s="218">
        <v>8.0000000000000004E-4</v>
      </c>
      <c r="E331" s="218">
        <v>5.3900000000000003E-2</v>
      </c>
      <c r="F331" s="218">
        <v>210.02</v>
      </c>
      <c r="G331" s="218">
        <v>402.86</v>
      </c>
      <c r="H331" s="218">
        <v>1.0359</v>
      </c>
      <c r="I331" s="218">
        <v>1.7233000000000001</v>
      </c>
      <c r="J331" s="218">
        <v>1.3623000000000001</v>
      </c>
      <c r="K331" s="218">
        <v>0.93230000000000002</v>
      </c>
      <c r="L331" s="214"/>
      <c r="M331" s="214"/>
      <c r="N331" s="214"/>
      <c r="O331" s="214"/>
      <c r="P331" s="214"/>
      <c r="Q331" s="214"/>
      <c r="R331" s="214"/>
      <c r="S331" s="214"/>
      <c r="T331" s="214"/>
      <c r="U331" s="214"/>
      <c r="V331" s="214"/>
      <c r="W331" s="214"/>
      <c r="X331" s="214"/>
    </row>
    <row r="332" spans="1:24" ht="15.75" customHeight="1">
      <c r="A332" s="83"/>
      <c r="B332" s="218">
        <v>7.5</v>
      </c>
      <c r="C332" s="218">
        <v>3.81</v>
      </c>
      <c r="D332" s="218">
        <v>8.0000000000000004E-4</v>
      </c>
      <c r="E332" s="218">
        <v>5.3699999999999998E-2</v>
      </c>
      <c r="F332" s="218">
        <v>210.16</v>
      </c>
      <c r="G332" s="218">
        <v>402.91</v>
      </c>
      <c r="H332" s="218">
        <v>1.0364</v>
      </c>
      <c r="I332" s="218">
        <v>1.7233000000000001</v>
      </c>
      <c r="J332" s="218">
        <v>1.3626</v>
      </c>
      <c r="K332" s="218">
        <v>0.93279999999999996</v>
      </c>
      <c r="L332" s="214"/>
      <c r="M332" s="214"/>
      <c r="N332" s="214"/>
      <c r="O332" s="214"/>
      <c r="P332" s="214"/>
      <c r="Q332" s="214"/>
      <c r="R332" s="214"/>
      <c r="S332" s="214"/>
      <c r="T332" s="214"/>
      <c r="U332" s="214"/>
      <c r="V332" s="214"/>
      <c r="W332" s="214"/>
      <c r="X332" s="214"/>
    </row>
    <row r="333" spans="1:24" ht="15.75" customHeight="1">
      <c r="A333" s="83"/>
      <c r="B333" s="218">
        <v>7.6</v>
      </c>
      <c r="C333" s="218">
        <v>3.82</v>
      </c>
      <c r="D333" s="218">
        <v>8.0000000000000004E-4</v>
      </c>
      <c r="E333" s="218">
        <v>5.3499999999999999E-2</v>
      </c>
      <c r="F333" s="218">
        <v>210.29</v>
      </c>
      <c r="G333" s="218">
        <v>402.97</v>
      </c>
      <c r="H333" s="218">
        <v>1.0368999999999999</v>
      </c>
      <c r="I333" s="218">
        <v>1.7232000000000001</v>
      </c>
      <c r="J333" s="218">
        <v>1.3629</v>
      </c>
      <c r="K333" s="218">
        <v>0.93330000000000002</v>
      </c>
      <c r="L333" s="214"/>
      <c r="M333" s="214"/>
      <c r="N333" s="214"/>
      <c r="O333" s="214"/>
      <c r="P333" s="214"/>
      <c r="Q333" s="214"/>
      <c r="R333" s="214"/>
      <c r="S333" s="214"/>
      <c r="T333" s="214"/>
      <c r="U333" s="214"/>
      <c r="V333" s="214"/>
      <c r="W333" s="214"/>
      <c r="X333" s="214"/>
    </row>
    <row r="334" spans="1:24" ht="15.75" customHeight="1">
      <c r="A334" s="83"/>
      <c r="B334" s="218">
        <v>7.7</v>
      </c>
      <c r="C334" s="218">
        <v>3.84</v>
      </c>
      <c r="D334" s="218">
        <v>8.0000000000000004E-4</v>
      </c>
      <c r="E334" s="218">
        <v>5.33E-2</v>
      </c>
      <c r="F334" s="218">
        <v>210.43</v>
      </c>
      <c r="G334" s="218">
        <v>403.03</v>
      </c>
      <c r="H334" s="218">
        <v>1.0374000000000001</v>
      </c>
      <c r="I334" s="218">
        <v>1.7232000000000001</v>
      </c>
      <c r="J334" s="218">
        <v>1.3632</v>
      </c>
      <c r="K334" s="218">
        <v>0.93379999999999996</v>
      </c>
      <c r="L334" s="214"/>
      <c r="M334" s="214"/>
      <c r="N334" s="214"/>
      <c r="O334" s="214"/>
      <c r="P334" s="214"/>
      <c r="Q334" s="214"/>
      <c r="R334" s="214"/>
      <c r="S334" s="214"/>
      <c r="T334" s="214"/>
      <c r="U334" s="214"/>
      <c r="V334" s="214"/>
      <c r="W334" s="214"/>
      <c r="X334" s="214"/>
    </row>
    <row r="335" spans="1:24" ht="15.75" customHeight="1">
      <c r="A335" s="83"/>
      <c r="B335" s="218">
        <v>7.8</v>
      </c>
      <c r="C335" s="218">
        <v>3.85</v>
      </c>
      <c r="D335" s="218">
        <v>8.0000000000000004E-4</v>
      </c>
      <c r="E335" s="218">
        <v>5.3199999999999997E-2</v>
      </c>
      <c r="F335" s="218">
        <v>210.56</v>
      </c>
      <c r="G335" s="218">
        <v>403.08</v>
      </c>
      <c r="H335" s="218">
        <v>1.0379</v>
      </c>
      <c r="I335" s="218">
        <v>1.7231000000000001</v>
      </c>
      <c r="J335" s="218">
        <v>1.3634999999999999</v>
      </c>
      <c r="K335" s="218">
        <v>0.93430000000000002</v>
      </c>
      <c r="L335" s="214"/>
      <c r="M335" s="214"/>
      <c r="N335" s="214"/>
      <c r="O335" s="214"/>
      <c r="P335" s="214"/>
      <c r="Q335" s="214"/>
      <c r="R335" s="214"/>
      <c r="S335" s="214"/>
      <c r="T335" s="214"/>
      <c r="U335" s="214"/>
      <c r="V335" s="214"/>
      <c r="W335" s="214"/>
      <c r="X335" s="214"/>
    </row>
    <row r="336" spans="1:24" ht="15.75" customHeight="1">
      <c r="A336" s="83"/>
      <c r="B336" s="218">
        <v>7.9</v>
      </c>
      <c r="C336" s="218">
        <v>3.86</v>
      </c>
      <c r="D336" s="218">
        <v>8.0000000000000004E-4</v>
      </c>
      <c r="E336" s="218">
        <v>5.2999999999999999E-2</v>
      </c>
      <c r="F336" s="218">
        <v>210.7</v>
      </c>
      <c r="G336" s="218">
        <v>403.14</v>
      </c>
      <c r="H336" s="218">
        <v>1.0384</v>
      </c>
      <c r="I336" s="218">
        <v>1.7231000000000001</v>
      </c>
      <c r="J336" s="218">
        <v>1.3637999999999999</v>
      </c>
      <c r="K336" s="218">
        <v>0.93479999999999996</v>
      </c>
      <c r="L336" s="214"/>
      <c r="M336" s="214"/>
      <c r="N336" s="214"/>
      <c r="O336" s="214"/>
      <c r="P336" s="214"/>
      <c r="Q336" s="214"/>
      <c r="R336" s="214"/>
      <c r="S336" s="214"/>
      <c r="T336" s="214"/>
      <c r="U336" s="214"/>
      <c r="V336" s="214"/>
      <c r="W336" s="214"/>
      <c r="X336" s="214"/>
    </row>
    <row r="337" spans="1:24" ht="15.75" customHeight="1">
      <c r="A337" s="83"/>
      <c r="B337" s="218">
        <v>8</v>
      </c>
      <c r="C337" s="218">
        <v>3.88</v>
      </c>
      <c r="D337" s="218">
        <v>8.0000000000000004E-4</v>
      </c>
      <c r="E337" s="218">
        <v>5.28E-2</v>
      </c>
      <c r="F337" s="218">
        <v>210.84</v>
      </c>
      <c r="G337" s="218">
        <v>403.2</v>
      </c>
      <c r="H337" s="218">
        <v>1.0387999999999999</v>
      </c>
      <c r="I337" s="218">
        <v>1.7230000000000001</v>
      </c>
      <c r="J337" s="218">
        <v>1.3641000000000001</v>
      </c>
      <c r="K337" s="218">
        <v>0.93530000000000002</v>
      </c>
      <c r="L337" s="214"/>
      <c r="M337" s="214"/>
      <c r="N337" s="214"/>
      <c r="O337" s="214"/>
      <c r="P337" s="214"/>
      <c r="Q337" s="214"/>
      <c r="R337" s="214"/>
      <c r="S337" s="214"/>
      <c r="T337" s="214"/>
      <c r="U337" s="214"/>
      <c r="V337" s="214"/>
      <c r="W337" s="214"/>
      <c r="X337" s="214"/>
    </row>
    <row r="338" spans="1:24" ht="15.75" customHeight="1">
      <c r="A338" s="83"/>
      <c r="B338" s="218">
        <v>8.1</v>
      </c>
      <c r="C338" s="218">
        <v>3.89</v>
      </c>
      <c r="D338" s="218">
        <v>8.0000000000000004E-4</v>
      </c>
      <c r="E338" s="218">
        <v>5.2600000000000001E-2</v>
      </c>
      <c r="F338" s="218">
        <v>210.97</v>
      </c>
      <c r="G338" s="218">
        <v>403.25</v>
      </c>
      <c r="H338" s="218">
        <v>1.0392999999999999</v>
      </c>
      <c r="I338" s="218">
        <v>1.7230000000000001</v>
      </c>
      <c r="J338" s="218">
        <v>1.3644000000000001</v>
      </c>
      <c r="K338" s="218">
        <v>0.93579999999999997</v>
      </c>
      <c r="L338" s="214"/>
      <c r="M338" s="214"/>
      <c r="N338" s="214"/>
      <c r="O338" s="214"/>
      <c r="P338" s="214"/>
      <c r="Q338" s="214"/>
      <c r="R338" s="214"/>
      <c r="S338" s="214"/>
      <c r="T338" s="214"/>
      <c r="U338" s="214"/>
      <c r="V338" s="214"/>
      <c r="W338" s="214"/>
      <c r="X338" s="214"/>
    </row>
    <row r="339" spans="1:24" ht="15.75" customHeight="1">
      <c r="A339" s="83"/>
      <c r="B339" s="218">
        <v>8.1999999999999993</v>
      </c>
      <c r="C339" s="218">
        <v>3.9</v>
      </c>
      <c r="D339" s="218">
        <v>8.0000000000000004E-4</v>
      </c>
      <c r="E339" s="218">
        <v>5.2499999999999998E-2</v>
      </c>
      <c r="F339" s="218">
        <v>211.11</v>
      </c>
      <c r="G339" s="218">
        <v>403.31</v>
      </c>
      <c r="H339" s="218">
        <v>1.0398000000000001</v>
      </c>
      <c r="I339" s="218">
        <v>1.7229000000000001</v>
      </c>
      <c r="J339" s="218">
        <v>1.3648</v>
      </c>
      <c r="K339" s="218">
        <v>0.93630000000000002</v>
      </c>
      <c r="L339" s="214"/>
      <c r="M339" s="214"/>
      <c r="N339" s="214"/>
      <c r="O339" s="214"/>
      <c r="P339" s="214"/>
      <c r="Q339" s="214"/>
      <c r="R339" s="214"/>
      <c r="S339" s="214"/>
      <c r="T339" s="214"/>
      <c r="U339" s="214"/>
      <c r="V339" s="214"/>
      <c r="W339" s="214"/>
      <c r="X339" s="214"/>
    </row>
    <row r="340" spans="1:24" ht="15.75" customHeight="1">
      <c r="A340" s="83"/>
      <c r="B340" s="218">
        <v>8.3000000000000007</v>
      </c>
      <c r="C340" s="218">
        <v>3.92</v>
      </c>
      <c r="D340" s="218">
        <v>8.0000000000000004E-4</v>
      </c>
      <c r="E340" s="218">
        <v>5.2299999999999999E-2</v>
      </c>
      <c r="F340" s="218">
        <v>211.25</v>
      </c>
      <c r="G340" s="218">
        <v>403.36</v>
      </c>
      <c r="H340" s="218">
        <v>1.0403</v>
      </c>
      <c r="I340" s="218">
        <v>1.7229000000000001</v>
      </c>
      <c r="J340" s="218">
        <v>1.3651</v>
      </c>
      <c r="K340" s="218">
        <v>0.93679999999999997</v>
      </c>
      <c r="L340" s="214"/>
      <c r="M340" s="214"/>
      <c r="N340" s="214"/>
      <c r="O340" s="214"/>
      <c r="P340" s="214"/>
      <c r="Q340" s="214"/>
      <c r="R340" s="214"/>
      <c r="S340" s="214"/>
      <c r="T340" s="214"/>
      <c r="U340" s="214"/>
      <c r="V340" s="214"/>
      <c r="W340" s="214"/>
      <c r="X340" s="214"/>
    </row>
    <row r="341" spans="1:24" ht="15.75" customHeight="1">
      <c r="A341" s="83"/>
      <c r="B341" s="218">
        <v>8.4</v>
      </c>
      <c r="C341" s="218">
        <v>3.93</v>
      </c>
      <c r="D341" s="218">
        <v>8.0000000000000004E-4</v>
      </c>
      <c r="E341" s="218">
        <v>5.21E-2</v>
      </c>
      <c r="F341" s="218">
        <v>211.38</v>
      </c>
      <c r="G341" s="218">
        <v>403.42</v>
      </c>
      <c r="H341" s="218">
        <v>1.0407999999999999</v>
      </c>
      <c r="I341" s="218">
        <v>1.7228000000000001</v>
      </c>
      <c r="J341" s="218">
        <v>1.3653999999999999</v>
      </c>
      <c r="K341" s="218">
        <v>0.93730000000000002</v>
      </c>
      <c r="L341" s="214"/>
      <c r="M341" s="214"/>
      <c r="N341" s="214"/>
      <c r="O341" s="214"/>
      <c r="P341" s="214"/>
      <c r="Q341" s="214"/>
      <c r="R341" s="214"/>
      <c r="S341" s="214"/>
      <c r="T341" s="214"/>
      <c r="U341" s="214"/>
      <c r="V341" s="214"/>
      <c r="W341" s="214"/>
      <c r="X341" s="214"/>
    </row>
    <row r="342" spans="1:24" ht="15.75" customHeight="1">
      <c r="A342" s="83"/>
      <c r="B342" s="218">
        <v>8.5</v>
      </c>
      <c r="C342" s="218">
        <v>3.94</v>
      </c>
      <c r="D342" s="218">
        <v>8.0000000000000004E-4</v>
      </c>
      <c r="E342" s="218">
        <v>5.1900000000000002E-2</v>
      </c>
      <c r="F342" s="218">
        <v>211.52</v>
      </c>
      <c r="G342" s="218">
        <v>403.48</v>
      </c>
      <c r="H342" s="218">
        <v>1.0412999999999999</v>
      </c>
      <c r="I342" s="218">
        <v>1.7228000000000001</v>
      </c>
      <c r="J342" s="218">
        <v>1.3656999999999999</v>
      </c>
      <c r="K342" s="218">
        <v>0.93779999999999997</v>
      </c>
      <c r="L342" s="214"/>
      <c r="M342" s="214"/>
      <c r="N342" s="214"/>
      <c r="O342" s="214"/>
      <c r="P342" s="214"/>
      <c r="Q342" s="214"/>
      <c r="R342" s="214"/>
      <c r="S342" s="214"/>
      <c r="T342" s="214"/>
      <c r="U342" s="214"/>
      <c r="V342" s="214"/>
      <c r="W342" s="214"/>
      <c r="X342" s="214"/>
    </row>
    <row r="343" spans="1:24" ht="15.75" customHeight="1">
      <c r="A343" s="83"/>
      <c r="B343" s="218">
        <v>8.6</v>
      </c>
      <c r="C343" s="218">
        <v>3.96</v>
      </c>
      <c r="D343" s="218">
        <v>8.0000000000000004E-4</v>
      </c>
      <c r="E343" s="218">
        <v>5.1799999999999999E-2</v>
      </c>
      <c r="F343" s="218">
        <v>211.66</v>
      </c>
      <c r="G343" s="218">
        <v>403.53</v>
      </c>
      <c r="H343" s="218">
        <v>1.0417000000000001</v>
      </c>
      <c r="I343" s="218">
        <v>1.7226999999999999</v>
      </c>
      <c r="J343" s="218">
        <v>1.3660000000000001</v>
      </c>
      <c r="K343" s="218">
        <v>0.93830000000000002</v>
      </c>
      <c r="L343" s="214"/>
      <c r="M343" s="214"/>
      <c r="N343" s="214"/>
      <c r="O343" s="214"/>
      <c r="P343" s="214"/>
      <c r="Q343" s="214"/>
      <c r="R343" s="214"/>
      <c r="S343" s="214"/>
      <c r="T343" s="214"/>
      <c r="U343" s="214"/>
      <c r="V343" s="214"/>
      <c r="W343" s="214"/>
      <c r="X343" s="214"/>
    </row>
    <row r="344" spans="1:24" ht="15.75" customHeight="1">
      <c r="A344" s="83"/>
      <c r="B344" s="218">
        <v>8.6999999999999993</v>
      </c>
      <c r="C344" s="218">
        <v>3.97</v>
      </c>
      <c r="D344" s="218">
        <v>8.0000000000000004E-4</v>
      </c>
      <c r="E344" s="218">
        <v>5.16E-2</v>
      </c>
      <c r="F344" s="218">
        <v>211.8</v>
      </c>
      <c r="G344" s="218">
        <v>403.59</v>
      </c>
      <c r="H344" s="218">
        <v>1.0422</v>
      </c>
      <c r="I344" s="218">
        <v>1.7226999999999999</v>
      </c>
      <c r="J344" s="218">
        <v>1.3663000000000001</v>
      </c>
      <c r="K344" s="218">
        <v>0.93879999999999997</v>
      </c>
      <c r="L344" s="214"/>
      <c r="M344" s="214"/>
      <c r="N344" s="214"/>
      <c r="O344" s="214"/>
      <c r="P344" s="214"/>
      <c r="Q344" s="214"/>
      <c r="R344" s="214"/>
      <c r="S344" s="214"/>
      <c r="T344" s="214"/>
      <c r="U344" s="214"/>
      <c r="V344" s="214"/>
      <c r="W344" s="214"/>
      <c r="X344" s="214"/>
    </row>
    <row r="345" spans="1:24" ht="15.75" customHeight="1">
      <c r="A345" s="83"/>
      <c r="B345" s="218">
        <v>8.8000000000000007</v>
      </c>
      <c r="C345" s="218">
        <v>3.98</v>
      </c>
      <c r="D345" s="218">
        <v>8.0000000000000004E-4</v>
      </c>
      <c r="E345" s="218">
        <v>5.1400000000000001E-2</v>
      </c>
      <c r="F345" s="218">
        <v>211.93</v>
      </c>
      <c r="G345" s="218">
        <v>403.65</v>
      </c>
      <c r="H345" s="218">
        <v>1.0427</v>
      </c>
      <c r="I345" s="218">
        <v>1.7226999999999999</v>
      </c>
      <c r="J345" s="218">
        <v>1.3666</v>
      </c>
      <c r="K345" s="218">
        <v>0.93930000000000002</v>
      </c>
      <c r="L345" s="214"/>
      <c r="M345" s="214"/>
      <c r="N345" s="214"/>
      <c r="O345" s="214"/>
      <c r="P345" s="214"/>
      <c r="Q345" s="214"/>
      <c r="R345" s="214"/>
      <c r="S345" s="214"/>
      <c r="T345" s="214"/>
      <c r="U345" s="214"/>
      <c r="V345" s="214"/>
      <c r="W345" s="214"/>
      <c r="X345" s="214"/>
    </row>
    <row r="346" spans="1:24" ht="15.75" customHeight="1">
      <c r="A346" s="83"/>
      <c r="B346" s="218">
        <v>8.9</v>
      </c>
      <c r="C346" s="218">
        <v>4</v>
      </c>
      <c r="D346" s="218">
        <v>8.0000000000000004E-4</v>
      </c>
      <c r="E346" s="218">
        <v>5.1299999999999998E-2</v>
      </c>
      <c r="F346" s="218">
        <v>212.07</v>
      </c>
      <c r="G346" s="218">
        <v>403.7</v>
      </c>
      <c r="H346" s="218">
        <v>1.0431999999999999</v>
      </c>
      <c r="I346" s="218">
        <v>1.7225999999999999</v>
      </c>
      <c r="J346" s="218">
        <v>1.3669</v>
      </c>
      <c r="K346" s="218">
        <v>0.93989999999999996</v>
      </c>
      <c r="L346" s="214"/>
      <c r="M346" s="214"/>
      <c r="N346" s="214"/>
      <c r="O346" s="214"/>
      <c r="P346" s="214"/>
      <c r="Q346" s="214"/>
      <c r="R346" s="214"/>
      <c r="S346" s="214"/>
      <c r="T346" s="214"/>
      <c r="U346" s="214"/>
      <c r="V346" s="214"/>
      <c r="W346" s="214"/>
      <c r="X346" s="214"/>
    </row>
    <row r="347" spans="1:24" ht="15.75" customHeight="1">
      <c r="A347" s="83"/>
      <c r="B347" s="218">
        <v>9</v>
      </c>
      <c r="C347" s="218">
        <v>4.01</v>
      </c>
      <c r="D347" s="218">
        <v>8.0000000000000004E-4</v>
      </c>
      <c r="E347" s="218">
        <v>5.11E-2</v>
      </c>
      <c r="F347" s="218">
        <v>212.21</v>
      </c>
      <c r="G347" s="218">
        <v>403.76</v>
      </c>
      <c r="H347" s="218">
        <v>1.0437000000000001</v>
      </c>
      <c r="I347" s="218">
        <v>1.7225999999999999</v>
      </c>
      <c r="J347" s="218">
        <v>1.3672</v>
      </c>
      <c r="K347" s="218">
        <v>0.94040000000000001</v>
      </c>
      <c r="L347" s="214"/>
      <c r="M347" s="214"/>
      <c r="N347" s="214"/>
      <c r="O347" s="214"/>
      <c r="P347" s="214"/>
      <c r="Q347" s="214"/>
      <c r="R347" s="214"/>
      <c r="S347" s="214"/>
      <c r="T347" s="214"/>
      <c r="U347" s="214"/>
      <c r="V347" s="214"/>
      <c r="W347" s="214"/>
      <c r="X347" s="214"/>
    </row>
    <row r="348" spans="1:24" ht="15.75" customHeight="1">
      <c r="A348" s="83"/>
      <c r="B348" s="218">
        <v>9.1</v>
      </c>
      <c r="C348" s="218">
        <v>4.0199999999999996</v>
      </c>
      <c r="D348" s="218">
        <v>8.0000000000000004E-4</v>
      </c>
      <c r="E348" s="218">
        <v>5.0900000000000001E-2</v>
      </c>
      <c r="F348" s="218">
        <v>212.34</v>
      </c>
      <c r="G348" s="218">
        <v>403.81</v>
      </c>
      <c r="H348" s="218">
        <v>1.0441</v>
      </c>
      <c r="I348" s="218">
        <v>1.7224999999999999</v>
      </c>
      <c r="J348" s="218">
        <v>1.3674999999999999</v>
      </c>
      <c r="K348" s="218">
        <v>0.94089999999999996</v>
      </c>
      <c r="L348" s="214"/>
      <c r="M348" s="214"/>
      <c r="N348" s="214"/>
      <c r="O348" s="214"/>
      <c r="P348" s="214"/>
      <c r="Q348" s="214"/>
      <c r="R348" s="214"/>
      <c r="S348" s="214"/>
      <c r="T348" s="214"/>
      <c r="U348" s="214"/>
      <c r="V348" s="214"/>
      <c r="W348" s="214"/>
      <c r="X348" s="214"/>
    </row>
    <row r="349" spans="1:24" ht="15.75" customHeight="1">
      <c r="A349" s="83"/>
      <c r="B349" s="218">
        <v>9.1999999999999993</v>
      </c>
      <c r="C349" s="218">
        <v>4.04</v>
      </c>
      <c r="D349" s="218">
        <v>8.0000000000000004E-4</v>
      </c>
      <c r="E349" s="218">
        <v>5.0799999999999998E-2</v>
      </c>
      <c r="F349" s="218">
        <v>212.48</v>
      </c>
      <c r="G349" s="218">
        <v>403.87</v>
      </c>
      <c r="H349" s="218">
        <v>1.0446</v>
      </c>
      <c r="I349" s="218">
        <v>1.7224999999999999</v>
      </c>
      <c r="J349" s="218">
        <v>1.3678999999999999</v>
      </c>
      <c r="K349" s="218">
        <v>0.94140000000000001</v>
      </c>
      <c r="L349" s="214"/>
      <c r="M349" s="214"/>
      <c r="N349" s="214"/>
      <c r="O349" s="214"/>
      <c r="P349" s="214"/>
      <c r="Q349" s="214"/>
      <c r="R349" s="214"/>
      <c r="S349" s="214"/>
      <c r="T349" s="214"/>
      <c r="U349" s="214"/>
      <c r="V349" s="214"/>
      <c r="W349" s="214"/>
      <c r="X349" s="214"/>
    </row>
    <row r="350" spans="1:24" ht="15.75" customHeight="1">
      <c r="A350" s="83"/>
      <c r="B350" s="218">
        <v>9.3000000000000007</v>
      </c>
      <c r="C350" s="218">
        <v>4.05</v>
      </c>
      <c r="D350" s="218">
        <v>8.0000000000000004E-4</v>
      </c>
      <c r="E350" s="218">
        <v>5.0599999999999999E-2</v>
      </c>
      <c r="F350" s="218">
        <v>212.62</v>
      </c>
      <c r="G350" s="218">
        <v>403.93</v>
      </c>
      <c r="H350" s="218">
        <v>1.0450999999999999</v>
      </c>
      <c r="I350" s="218">
        <v>1.7223999999999999</v>
      </c>
      <c r="J350" s="218">
        <v>1.3682000000000001</v>
      </c>
      <c r="K350" s="218">
        <v>0.94189999999999996</v>
      </c>
      <c r="L350" s="214"/>
      <c r="M350" s="214"/>
      <c r="N350" s="214"/>
      <c r="O350" s="214"/>
      <c r="P350" s="214"/>
      <c r="Q350" s="214"/>
      <c r="R350" s="214"/>
      <c r="S350" s="214"/>
      <c r="T350" s="214"/>
      <c r="U350" s="214"/>
      <c r="V350" s="214"/>
      <c r="W350" s="214"/>
      <c r="X350" s="214"/>
    </row>
    <row r="351" spans="1:24" ht="15.75" customHeight="1">
      <c r="A351" s="83"/>
      <c r="B351" s="218">
        <v>9.4</v>
      </c>
      <c r="C351" s="218">
        <v>4.0599999999999996</v>
      </c>
      <c r="D351" s="218">
        <v>8.0000000000000004E-4</v>
      </c>
      <c r="E351" s="218">
        <v>5.04E-2</v>
      </c>
      <c r="F351" s="218">
        <v>212.75</v>
      </c>
      <c r="G351" s="218">
        <v>403.98</v>
      </c>
      <c r="H351" s="218">
        <v>1.0456000000000001</v>
      </c>
      <c r="I351" s="218">
        <v>1.7223999999999999</v>
      </c>
      <c r="J351" s="218">
        <v>1.3685</v>
      </c>
      <c r="K351" s="218">
        <v>0.94240000000000002</v>
      </c>
      <c r="L351" s="214"/>
      <c r="M351" s="214"/>
      <c r="N351" s="214"/>
      <c r="O351" s="214"/>
      <c r="P351" s="214"/>
      <c r="Q351" s="214"/>
      <c r="R351" s="214"/>
      <c r="S351" s="214"/>
      <c r="T351" s="214"/>
      <c r="U351" s="214"/>
      <c r="V351" s="214"/>
      <c r="W351" s="214"/>
      <c r="X351" s="214"/>
    </row>
    <row r="352" spans="1:24" ht="15.75" customHeight="1">
      <c r="A352" s="83"/>
      <c r="B352" s="218">
        <v>9.5</v>
      </c>
      <c r="C352" s="218">
        <v>4.08</v>
      </c>
      <c r="D352" s="218">
        <v>8.0000000000000004E-4</v>
      </c>
      <c r="E352" s="218">
        <v>5.0299999999999997E-2</v>
      </c>
      <c r="F352" s="218">
        <v>212.89</v>
      </c>
      <c r="G352" s="218">
        <v>404.04</v>
      </c>
      <c r="H352" s="218">
        <v>1.0461</v>
      </c>
      <c r="I352" s="218">
        <v>1.7222999999999999</v>
      </c>
      <c r="J352" s="218">
        <v>1.3688</v>
      </c>
      <c r="K352" s="218">
        <v>0.94289999999999996</v>
      </c>
      <c r="L352" s="214"/>
      <c r="M352" s="214"/>
      <c r="N352" s="214"/>
      <c r="O352" s="214"/>
      <c r="P352" s="214"/>
      <c r="Q352" s="214"/>
      <c r="R352" s="214"/>
      <c r="S352" s="214"/>
      <c r="T352" s="214"/>
      <c r="U352" s="214"/>
      <c r="V352" s="214"/>
      <c r="W352" s="214"/>
      <c r="X352" s="214"/>
    </row>
    <row r="353" spans="1:24" ht="15.75" customHeight="1">
      <c r="A353" s="83"/>
      <c r="B353" s="218">
        <v>9.6</v>
      </c>
      <c r="C353" s="218">
        <v>4.09</v>
      </c>
      <c r="D353" s="218">
        <v>8.0000000000000004E-4</v>
      </c>
      <c r="E353" s="218">
        <v>5.0099999999999999E-2</v>
      </c>
      <c r="F353" s="218">
        <v>213.03</v>
      </c>
      <c r="G353" s="218">
        <v>404.09</v>
      </c>
      <c r="H353" s="218">
        <v>1.0465</v>
      </c>
      <c r="I353" s="218">
        <v>1.7222999999999999</v>
      </c>
      <c r="J353" s="218">
        <v>1.3691</v>
      </c>
      <c r="K353" s="218">
        <v>0.94340000000000002</v>
      </c>
      <c r="L353" s="214"/>
      <c r="M353" s="214"/>
      <c r="N353" s="214"/>
      <c r="O353" s="214"/>
      <c r="P353" s="214"/>
      <c r="Q353" s="214"/>
      <c r="R353" s="214"/>
      <c r="S353" s="214"/>
      <c r="T353" s="214"/>
      <c r="U353" s="214"/>
      <c r="V353" s="214"/>
      <c r="W353" s="214"/>
      <c r="X353" s="214"/>
    </row>
    <row r="354" spans="1:24" ht="15.75" customHeight="1">
      <c r="A354" s="83"/>
      <c r="B354" s="218">
        <v>9.6999999999999993</v>
      </c>
      <c r="C354" s="218">
        <v>4.0999999999999996</v>
      </c>
      <c r="D354" s="218">
        <v>8.0000000000000004E-4</v>
      </c>
      <c r="E354" s="218">
        <v>4.99E-2</v>
      </c>
      <c r="F354" s="218">
        <v>213.17</v>
      </c>
      <c r="G354" s="218">
        <v>404.15</v>
      </c>
      <c r="H354" s="218">
        <v>1.0469999999999999</v>
      </c>
      <c r="I354" s="218">
        <v>1.7222</v>
      </c>
      <c r="J354" s="218">
        <v>1.3694</v>
      </c>
      <c r="K354" s="218">
        <v>0.94389999999999996</v>
      </c>
      <c r="L354" s="214"/>
      <c r="M354" s="214"/>
      <c r="N354" s="214"/>
      <c r="O354" s="214"/>
      <c r="P354" s="214"/>
      <c r="Q354" s="214"/>
      <c r="R354" s="214"/>
      <c r="S354" s="214"/>
      <c r="T354" s="214"/>
      <c r="U354" s="214"/>
      <c r="V354" s="214"/>
      <c r="W354" s="214"/>
      <c r="X354" s="214"/>
    </row>
    <row r="355" spans="1:24" ht="15.75" customHeight="1">
      <c r="A355" s="83"/>
      <c r="B355" s="218">
        <v>9.8000000000000007</v>
      </c>
      <c r="C355" s="218">
        <v>4.12</v>
      </c>
      <c r="D355" s="218">
        <v>8.0000000000000004E-4</v>
      </c>
      <c r="E355" s="218">
        <v>4.9799999999999997E-2</v>
      </c>
      <c r="F355" s="218">
        <v>213.3</v>
      </c>
      <c r="G355" s="218">
        <v>404.21</v>
      </c>
      <c r="H355" s="218">
        <v>1.0475000000000001</v>
      </c>
      <c r="I355" s="218">
        <v>1.7222</v>
      </c>
      <c r="J355" s="218">
        <v>1.3696999999999999</v>
      </c>
      <c r="K355" s="218">
        <v>0.94440000000000002</v>
      </c>
      <c r="L355" s="214"/>
      <c r="M355" s="214"/>
      <c r="N355" s="214"/>
      <c r="O355" s="214"/>
      <c r="P355" s="214"/>
      <c r="Q355" s="214"/>
      <c r="R355" s="214"/>
      <c r="S355" s="214"/>
      <c r="T355" s="214"/>
      <c r="U355" s="214"/>
      <c r="V355" s="214"/>
      <c r="W355" s="214"/>
      <c r="X355" s="214"/>
    </row>
    <row r="356" spans="1:24" ht="15.75" customHeight="1">
      <c r="A356" s="83"/>
      <c r="B356" s="218">
        <v>9.9</v>
      </c>
      <c r="C356" s="218">
        <v>4.13</v>
      </c>
      <c r="D356" s="218">
        <v>8.0000000000000004E-4</v>
      </c>
      <c r="E356" s="218">
        <v>4.9599999999999998E-2</v>
      </c>
      <c r="F356" s="218">
        <v>213.44</v>
      </c>
      <c r="G356" s="218">
        <v>404.26</v>
      </c>
      <c r="H356" s="218">
        <v>1.048</v>
      </c>
      <c r="I356" s="218">
        <v>1.7222</v>
      </c>
      <c r="J356" s="218">
        <v>1.3701000000000001</v>
      </c>
      <c r="K356" s="218">
        <v>0.94489999999999996</v>
      </c>
      <c r="L356" s="214"/>
      <c r="M356" s="214"/>
      <c r="N356" s="214"/>
      <c r="O356" s="214"/>
      <c r="P356" s="214"/>
      <c r="Q356" s="214"/>
      <c r="R356" s="214"/>
      <c r="S356" s="214"/>
      <c r="T356" s="214"/>
      <c r="U356" s="214"/>
      <c r="V356" s="214"/>
      <c r="W356" s="214"/>
      <c r="X356" s="214"/>
    </row>
    <row r="357" spans="1:24" ht="15.75" customHeight="1">
      <c r="A357" s="83"/>
      <c r="B357" s="218">
        <v>10</v>
      </c>
      <c r="C357" s="218">
        <v>4.1500000000000004</v>
      </c>
      <c r="D357" s="218">
        <v>8.0000000000000004E-4</v>
      </c>
      <c r="E357" s="218">
        <v>4.9399999999999999E-2</v>
      </c>
      <c r="F357" s="218">
        <v>213.58</v>
      </c>
      <c r="G357" s="218">
        <v>404.32</v>
      </c>
      <c r="H357" s="218">
        <v>1.0485</v>
      </c>
      <c r="I357" s="218">
        <v>1.7221</v>
      </c>
      <c r="J357" s="218">
        <v>1.3704000000000001</v>
      </c>
      <c r="K357" s="218">
        <v>0.94550000000000001</v>
      </c>
      <c r="L357" s="214"/>
      <c r="M357" s="214"/>
      <c r="N357" s="214"/>
      <c r="O357" s="214"/>
      <c r="P357" s="214"/>
      <c r="Q357" s="214"/>
      <c r="R357" s="214"/>
      <c r="S357" s="214"/>
      <c r="T357" s="214"/>
      <c r="U357" s="214"/>
      <c r="V357" s="214"/>
      <c r="W357" s="214"/>
      <c r="X357" s="214"/>
    </row>
    <row r="358" spans="1:24" ht="15.75" customHeight="1">
      <c r="A358" s="83"/>
      <c r="B358" s="218">
        <v>10.1</v>
      </c>
      <c r="C358" s="218">
        <v>4.16</v>
      </c>
      <c r="D358" s="218">
        <v>8.0000000000000004E-4</v>
      </c>
      <c r="E358" s="218">
        <v>4.9299999999999997E-2</v>
      </c>
      <c r="F358" s="218">
        <v>213.71</v>
      </c>
      <c r="G358" s="218">
        <v>404.37</v>
      </c>
      <c r="H358" s="218">
        <v>1.0489999999999999</v>
      </c>
      <c r="I358" s="218">
        <v>1.7221</v>
      </c>
      <c r="J358" s="218">
        <v>1.3707</v>
      </c>
      <c r="K358" s="218">
        <v>0.94599999999999995</v>
      </c>
      <c r="L358" s="214"/>
      <c r="M358" s="214"/>
      <c r="N358" s="214"/>
      <c r="O358" s="214"/>
      <c r="P358" s="214"/>
      <c r="Q358" s="214"/>
      <c r="R358" s="214"/>
      <c r="S358" s="214"/>
      <c r="T358" s="214"/>
      <c r="U358" s="214"/>
      <c r="V358" s="214"/>
      <c r="W358" s="214"/>
      <c r="X358" s="214"/>
    </row>
    <row r="359" spans="1:24" ht="15.75" customHeight="1">
      <c r="A359" s="83"/>
      <c r="B359" s="218">
        <v>10.199999999999999</v>
      </c>
      <c r="C359" s="218">
        <v>4.17</v>
      </c>
      <c r="D359" s="218">
        <v>8.0000000000000004E-4</v>
      </c>
      <c r="E359" s="218">
        <v>4.9099999999999998E-2</v>
      </c>
      <c r="F359" s="218">
        <v>213.85</v>
      </c>
      <c r="G359" s="218">
        <v>404.43</v>
      </c>
      <c r="H359" s="218">
        <v>1.0494000000000001</v>
      </c>
      <c r="I359" s="218">
        <v>1.722</v>
      </c>
      <c r="J359" s="218">
        <v>1.371</v>
      </c>
      <c r="K359" s="218">
        <v>0.94650000000000001</v>
      </c>
      <c r="L359" s="214"/>
      <c r="M359" s="214"/>
      <c r="N359" s="214"/>
      <c r="O359" s="214"/>
      <c r="P359" s="214"/>
      <c r="Q359" s="214"/>
      <c r="R359" s="214"/>
      <c r="S359" s="214"/>
      <c r="T359" s="214"/>
      <c r="U359" s="214"/>
      <c r="V359" s="214"/>
      <c r="W359" s="214"/>
      <c r="X359" s="214"/>
    </row>
    <row r="360" spans="1:24" ht="15.75" customHeight="1">
      <c r="A360" s="83"/>
      <c r="B360" s="218">
        <v>10.3</v>
      </c>
      <c r="C360" s="218">
        <v>4.1900000000000004</v>
      </c>
      <c r="D360" s="218">
        <v>8.0000000000000004E-4</v>
      </c>
      <c r="E360" s="218">
        <v>4.9000000000000002E-2</v>
      </c>
      <c r="F360" s="218">
        <v>213.99</v>
      </c>
      <c r="G360" s="218">
        <v>404.49</v>
      </c>
      <c r="H360" s="218">
        <v>1.0499000000000001</v>
      </c>
      <c r="I360" s="218">
        <v>1.722</v>
      </c>
      <c r="J360" s="218">
        <v>1.3713</v>
      </c>
      <c r="K360" s="218">
        <v>0.94699999999999995</v>
      </c>
      <c r="L360" s="214"/>
      <c r="M360" s="214"/>
      <c r="N360" s="214"/>
      <c r="O360" s="214"/>
      <c r="P360" s="214"/>
      <c r="Q360" s="214"/>
      <c r="R360" s="214"/>
      <c r="S360" s="214"/>
      <c r="T360" s="214"/>
      <c r="U360" s="214"/>
      <c r="V360" s="214"/>
      <c r="W360" s="214"/>
      <c r="X360" s="214"/>
    </row>
    <row r="361" spans="1:24" ht="15.75" customHeight="1">
      <c r="A361" s="83"/>
      <c r="B361" s="218">
        <v>10.4</v>
      </c>
      <c r="C361" s="218">
        <v>4.2</v>
      </c>
      <c r="D361" s="218">
        <v>8.0000000000000004E-4</v>
      </c>
      <c r="E361" s="218">
        <v>4.8800000000000003E-2</v>
      </c>
      <c r="F361" s="218">
        <v>214.13</v>
      </c>
      <c r="G361" s="218">
        <v>404.54</v>
      </c>
      <c r="H361" s="218">
        <v>1.0504</v>
      </c>
      <c r="I361" s="218">
        <v>1.7219</v>
      </c>
      <c r="J361" s="218">
        <v>1.3715999999999999</v>
      </c>
      <c r="K361" s="218">
        <v>0.94750000000000001</v>
      </c>
      <c r="L361" s="214"/>
      <c r="M361" s="214"/>
      <c r="N361" s="214"/>
      <c r="O361" s="214"/>
      <c r="P361" s="214"/>
      <c r="Q361" s="214"/>
      <c r="R361" s="214"/>
      <c r="S361" s="214"/>
      <c r="T361" s="214"/>
      <c r="U361" s="214"/>
      <c r="V361" s="214"/>
      <c r="W361" s="214"/>
      <c r="X361" s="214"/>
    </row>
    <row r="362" spans="1:24" ht="15.75" customHeight="1">
      <c r="A362" s="83"/>
      <c r="B362" s="218">
        <v>10.5</v>
      </c>
      <c r="C362" s="218">
        <v>4.22</v>
      </c>
      <c r="D362" s="218">
        <v>8.0000000000000004E-4</v>
      </c>
      <c r="E362" s="218">
        <v>4.8599999999999997E-2</v>
      </c>
      <c r="F362" s="218">
        <v>214.26</v>
      </c>
      <c r="G362" s="218">
        <v>404.6</v>
      </c>
      <c r="H362" s="218">
        <v>1.0508999999999999</v>
      </c>
      <c r="I362" s="218">
        <v>1.7219</v>
      </c>
      <c r="J362" s="218">
        <v>1.3720000000000001</v>
      </c>
      <c r="K362" s="218">
        <v>0.94799999999999995</v>
      </c>
      <c r="L362" s="214"/>
      <c r="M362" s="214"/>
      <c r="N362" s="214"/>
      <c r="O362" s="214"/>
      <c r="P362" s="214"/>
      <c r="Q362" s="214"/>
      <c r="R362" s="214"/>
      <c r="S362" s="214"/>
      <c r="T362" s="214"/>
      <c r="U362" s="214"/>
      <c r="V362" s="214"/>
      <c r="W362" s="214"/>
      <c r="X362" s="214"/>
    </row>
    <row r="363" spans="1:24" ht="15.75" customHeight="1">
      <c r="A363" s="83"/>
      <c r="B363" s="218">
        <v>10.6</v>
      </c>
      <c r="C363" s="218">
        <v>4.2300000000000004</v>
      </c>
      <c r="D363" s="218">
        <v>8.0000000000000004E-4</v>
      </c>
      <c r="E363" s="218">
        <v>4.8500000000000001E-2</v>
      </c>
      <c r="F363" s="218">
        <v>214.4</v>
      </c>
      <c r="G363" s="218">
        <v>404.65</v>
      </c>
      <c r="H363" s="218">
        <v>1.0513999999999999</v>
      </c>
      <c r="I363" s="218">
        <v>1.7218</v>
      </c>
      <c r="J363" s="218">
        <v>1.3723000000000001</v>
      </c>
      <c r="K363" s="218">
        <v>0.9486</v>
      </c>
      <c r="L363" s="214"/>
      <c r="M363" s="214"/>
      <c r="N363" s="214"/>
      <c r="O363" s="214"/>
      <c r="P363" s="214"/>
      <c r="Q363" s="214"/>
      <c r="R363" s="214"/>
      <c r="S363" s="214"/>
      <c r="T363" s="214"/>
      <c r="U363" s="214"/>
      <c r="V363" s="214"/>
      <c r="W363" s="214"/>
      <c r="X363" s="214"/>
    </row>
    <row r="364" spans="1:24" ht="15.75" customHeight="1">
      <c r="A364" s="83"/>
      <c r="B364" s="218">
        <v>10.7</v>
      </c>
      <c r="C364" s="218">
        <v>4.24</v>
      </c>
      <c r="D364" s="218">
        <v>8.0000000000000004E-4</v>
      </c>
      <c r="E364" s="218">
        <v>4.8300000000000003E-2</v>
      </c>
      <c r="F364" s="218">
        <v>214.54</v>
      </c>
      <c r="G364" s="218">
        <v>404.71</v>
      </c>
      <c r="H364" s="218">
        <v>1.0518000000000001</v>
      </c>
      <c r="I364" s="218">
        <v>1.7218</v>
      </c>
      <c r="J364" s="218">
        <v>1.3726</v>
      </c>
      <c r="K364" s="218">
        <v>0.94910000000000005</v>
      </c>
      <c r="L364" s="214"/>
      <c r="M364" s="214"/>
      <c r="N364" s="214"/>
      <c r="O364" s="214"/>
      <c r="P364" s="214"/>
      <c r="Q364" s="214"/>
      <c r="R364" s="214"/>
      <c r="S364" s="214"/>
      <c r="T364" s="214"/>
      <c r="U364" s="214"/>
      <c r="V364" s="214"/>
      <c r="W364" s="214"/>
      <c r="X364" s="214"/>
    </row>
    <row r="365" spans="1:24" ht="15.75" customHeight="1">
      <c r="A365" s="83"/>
      <c r="B365" s="218">
        <v>10.8</v>
      </c>
      <c r="C365" s="218">
        <v>4.26</v>
      </c>
      <c r="D365" s="218">
        <v>8.0000000000000004E-4</v>
      </c>
      <c r="E365" s="218">
        <v>4.82E-2</v>
      </c>
      <c r="F365" s="218">
        <v>214.68</v>
      </c>
      <c r="G365" s="218">
        <v>404.76</v>
      </c>
      <c r="H365" s="218">
        <v>1.0523</v>
      </c>
      <c r="I365" s="218">
        <v>1.7218</v>
      </c>
      <c r="J365" s="218">
        <v>1.3729</v>
      </c>
      <c r="K365" s="218">
        <v>0.9496</v>
      </c>
      <c r="L365" s="214"/>
      <c r="M365" s="214"/>
      <c r="N365" s="214"/>
      <c r="O365" s="214"/>
      <c r="P365" s="214"/>
      <c r="Q365" s="214"/>
      <c r="R365" s="214"/>
      <c r="S365" s="214"/>
      <c r="T365" s="214"/>
      <c r="U365" s="214"/>
      <c r="V365" s="214"/>
      <c r="W365" s="214"/>
      <c r="X365" s="214"/>
    </row>
    <row r="366" spans="1:24" ht="15.75" customHeight="1">
      <c r="A366" s="83"/>
      <c r="B366" s="218">
        <v>10.9</v>
      </c>
      <c r="C366" s="218">
        <v>4.2699999999999996</v>
      </c>
      <c r="D366" s="218">
        <v>8.0000000000000004E-4</v>
      </c>
      <c r="E366" s="218">
        <v>4.8000000000000001E-2</v>
      </c>
      <c r="F366" s="218">
        <v>214.81</v>
      </c>
      <c r="G366" s="218">
        <v>404.82</v>
      </c>
      <c r="H366" s="218">
        <v>1.0528</v>
      </c>
      <c r="I366" s="218">
        <v>1.7217</v>
      </c>
      <c r="J366" s="218">
        <v>1.3732</v>
      </c>
      <c r="K366" s="218">
        <v>0.95009999999999994</v>
      </c>
      <c r="L366" s="214"/>
      <c r="M366" s="214"/>
      <c r="N366" s="214"/>
      <c r="O366" s="214"/>
      <c r="P366" s="214"/>
      <c r="Q366" s="214"/>
      <c r="R366" s="214"/>
      <c r="S366" s="214"/>
      <c r="T366" s="214"/>
      <c r="U366" s="214"/>
      <c r="V366" s="214"/>
      <c r="W366" s="214"/>
      <c r="X366" s="214"/>
    </row>
    <row r="367" spans="1:24" ht="15.75" customHeight="1">
      <c r="A367" s="83"/>
      <c r="B367" s="218">
        <v>11</v>
      </c>
      <c r="C367" s="218">
        <v>4.29</v>
      </c>
      <c r="D367" s="218">
        <v>8.0000000000000004E-4</v>
      </c>
      <c r="E367" s="218">
        <v>4.7899999999999998E-2</v>
      </c>
      <c r="F367" s="218">
        <v>214.95</v>
      </c>
      <c r="G367" s="218">
        <v>404.88</v>
      </c>
      <c r="H367" s="218">
        <v>1.0532999999999999</v>
      </c>
      <c r="I367" s="218">
        <v>1.7217</v>
      </c>
      <c r="J367" s="218">
        <v>1.3735999999999999</v>
      </c>
      <c r="K367" s="218">
        <v>0.9506</v>
      </c>
      <c r="L367" s="214"/>
      <c r="M367" s="214"/>
      <c r="N367" s="214"/>
      <c r="O367" s="214"/>
      <c r="P367" s="214"/>
      <c r="Q367" s="214"/>
      <c r="R367" s="214"/>
      <c r="S367" s="214"/>
      <c r="T367" s="214"/>
      <c r="U367" s="214"/>
      <c r="V367" s="214"/>
      <c r="W367" s="214"/>
      <c r="X367" s="214"/>
    </row>
    <row r="368" spans="1:24" ht="15.75" customHeight="1">
      <c r="A368" s="83"/>
      <c r="B368" s="218">
        <v>11.1</v>
      </c>
      <c r="C368" s="218">
        <v>4.3</v>
      </c>
      <c r="D368" s="218">
        <v>8.0000000000000004E-4</v>
      </c>
      <c r="E368" s="218">
        <v>4.7699999999999999E-2</v>
      </c>
      <c r="F368" s="218">
        <v>215.09</v>
      </c>
      <c r="G368" s="218">
        <v>404.93</v>
      </c>
      <c r="H368" s="218">
        <v>1.0538000000000001</v>
      </c>
      <c r="I368" s="218">
        <v>1.7216</v>
      </c>
      <c r="J368" s="218">
        <v>1.3738999999999999</v>
      </c>
      <c r="K368" s="218">
        <v>0.95120000000000005</v>
      </c>
      <c r="L368" s="214"/>
      <c r="M368" s="214"/>
      <c r="N368" s="214"/>
      <c r="O368" s="214"/>
      <c r="P368" s="214"/>
      <c r="Q368" s="214"/>
      <c r="R368" s="214"/>
      <c r="S368" s="214"/>
      <c r="T368" s="214"/>
      <c r="U368" s="214"/>
      <c r="V368" s="214"/>
      <c r="W368" s="214"/>
      <c r="X368" s="214"/>
    </row>
    <row r="369" spans="1:24" ht="15.75" customHeight="1">
      <c r="A369" s="83"/>
      <c r="B369" s="218">
        <v>11.2</v>
      </c>
      <c r="C369" s="218">
        <v>4.3099999999999996</v>
      </c>
      <c r="D369" s="218">
        <v>8.0000000000000004E-4</v>
      </c>
      <c r="E369" s="218">
        <v>4.7500000000000001E-2</v>
      </c>
      <c r="F369" s="218">
        <v>215.23</v>
      </c>
      <c r="G369" s="218">
        <v>404.99</v>
      </c>
      <c r="H369" s="218">
        <v>1.0542</v>
      </c>
      <c r="I369" s="218">
        <v>1.7216</v>
      </c>
      <c r="J369" s="218">
        <v>1.3742000000000001</v>
      </c>
      <c r="K369" s="218">
        <v>0.95169999999999999</v>
      </c>
      <c r="L369" s="214"/>
      <c r="M369" s="214"/>
      <c r="N369" s="214"/>
      <c r="O369" s="214"/>
      <c r="P369" s="214"/>
      <c r="Q369" s="214"/>
      <c r="R369" s="214"/>
      <c r="S369" s="214"/>
      <c r="T369" s="214"/>
      <c r="U369" s="214"/>
      <c r="V369" s="214"/>
      <c r="W369" s="214"/>
      <c r="X369" s="214"/>
    </row>
    <row r="370" spans="1:24" ht="15.75" customHeight="1">
      <c r="A370" s="83"/>
      <c r="B370" s="218">
        <v>11.3</v>
      </c>
      <c r="C370" s="218">
        <v>4.33</v>
      </c>
      <c r="D370" s="218">
        <v>8.0000000000000004E-4</v>
      </c>
      <c r="E370" s="218">
        <v>4.7399999999999998E-2</v>
      </c>
      <c r="F370" s="218">
        <v>215.36</v>
      </c>
      <c r="G370" s="218">
        <v>405.04</v>
      </c>
      <c r="H370" s="218">
        <v>1.0547</v>
      </c>
      <c r="I370" s="218">
        <v>1.7215</v>
      </c>
      <c r="J370" s="218">
        <v>1.3745000000000001</v>
      </c>
      <c r="K370" s="218">
        <v>0.95220000000000005</v>
      </c>
      <c r="L370" s="214"/>
      <c r="M370" s="214"/>
      <c r="N370" s="214"/>
      <c r="O370" s="214"/>
      <c r="P370" s="214"/>
      <c r="Q370" s="214"/>
      <c r="R370" s="214"/>
      <c r="S370" s="214"/>
      <c r="T370" s="214"/>
      <c r="U370" s="214"/>
      <c r="V370" s="214"/>
      <c r="W370" s="214"/>
      <c r="X370" s="214"/>
    </row>
    <row r="371" spans="1:24" ht="15.75" customHeight="1">
      <c r="A371" s="83"/>
      <c r="B371" s="218">
        <v>11.4</v>
      </c>
      <c r="C371" s="218">
        <v>4.34</v>
      </c>
      <c r="D371" s="218">
        <v>8.0000000000000004E-4</v>
      </c>
      <c r="E371" s="218">
        <v>4.7199999999999999E-2</v>
      </c>
      <c r="F371" s="218">
        <v>215.5</v>
      </c>
      <c r="G371" s="218">
        <v>405.1</v>
      </c>
      <c r="H371" s="218">
        <v>1.0551999999999999</v>
      </c>
      <c r="I371" s="218">
        <v>1.7215</v>
      </c>
      <c r="J371" s="218">
        <v>1.3749</v>
      </c>
      <c r="K371" s="218">
        <v>0.95269999999999999</v>
      </c>
      <c r="L371" s="214"/>
      <c r="M371" s="214"/>
      <c r="N371" s="214"/>
      <c r="O371" s="214"/>
      <c r="P371" s="214"/>
      <c r="Q371" s="214"/>
      <c r="R371" s="214"/>
      <c r="S371" s="214"/>
      <c r="T371" s="214"/>
      <c r="U371" s="214"/>
      <c r="V371" s="214"/>
      <c r="W371" s="214"/>
      <c r="X371" s="214"/>
    </row>
    <row r="372" spans="1:24" ht="15.75" customHeight="1">
      <c r="A372" s="83"/>
      <c r="B372" s="218">
        <v>11.5</v>
      </c>
      <c r="C372" s="218">
        <v>4.3600000000000003</v>
      </c>
      <c r="D372" s="218">
        <v>8.0000000000000004E-4</v>
      </c>
      <c r="E372" s="218">
        <v>4.7100000000000003E-2</v>
      </c>
      <c r="F372" s="218">
        <v>215.64</v>
      </c>
      <c r="G372" s="218">
        <v>405.15</v>
      </c>
      <c r="H372" s="218">
        <v>1.0557000000000001</v>
      </c>
      <c r="I372" s="218">
        <v>1.7215</v>
      </c>
      <c r="J372" s="218">
        <v>1.3752</v>
      </c>
      <c r="K372" s="218">
        <v>0.95320000000000005</v>
      </c>
      <c r="L372" s="214"/>
      <c r="M372" s="214"/>
      <c r="N372" s="214"/>
      <c r="O372" s="214"/>
      <c r="P372" s="214"/>
      <c r="Q372" s="214"/>
      <c r="R372" s="214"/>
      <c r="S372" s="214"/>
      <c r="T372" s="214"/>
      <c r="U372" s="214"/>
      <c r="V372" s="214"/>
      <c r="W372" s="214"/>
      <c r="X372" s="214"/>
    </row>
    <row r="373" spans="1:24" ht="15.75" customHeight="1">
      <c r="A373" s="83"/>
      <c r="B373" s="218">
        <v>11.6</v>
      </c>
      <c r="C373" s="218">
        <v>4.37</v>
      </c>
      <c r="D373" s="218">
        <v>8.0000000000000004E-4</v>
      </c>
      <c r="E373" s="218">
        <v>4.6899999999999997E-2</v>
      </c>
      <c r="F373" s="218">
        <v>215.78</v>
      </c>
      <c r="G373" s="218">
        <v>405.21</v>
      </c>
      <c r="H373" s="218">
        <v>1.0562</v>
      </c>
      <c r="I373" s="218">
        <v>1.7214</v>
      </c>
      <c r="J373" s="218">
        <v>1.3754999999999999</v>
      </c>
      <c r="K373" s="218">
        <v>0.95379999999999998</v>
      </c>
      <c r="L373" s="214"/>
      <c r="M373" s="214"/>
      <c r="N373" s="214"/>
      <c r="O373" s="214"/>
      <c r="P373" s="214"/>
      <c r="Q373" s="214"/>
      <c r="R373" s="214"/>
      <c r="S373" s="214"/>
      <c r="T373" s="214"/>
      <c r="U373" s="214"/>
      <c r="V373" s="214"/>
      <c r="W373" s="214"/>
      <c r="X373" s="214"/>
    </row>
    <row r="374" spans="1:24" ht="15.75" customHeight="1">
      <c r="A374" s="83"/>
      <c r="B374" s="218">
        <v>11.7</v>
      </c>
      <c r="C374" s="218">
        <v>4.3899999999999997</v>
      </c>
      <c r="D374" s="218">
        <v>8.0000000000000004E-4</v>
      </c>
      <c r="E374" s="218">
        <v>4.6800000000000001E-2</v>
      </c>
      <c r="F374" s="218">
        <v>215.92</v>
      </c>
      <c r="G374" s="218">
        <v>405.26</v>
      </c>
      <c r="H374" s="218">
        <v>1.0566</v>
      </c>
      <c r="I374" s="218">
        <v>1.7214</v>
      </c>
      <c r="J374" s="218">
        <v>1.3757999999999999</v>
      </c>
      <c r="K374" s="218">
        <v>0.95430000000000004</v>
      </c>
      <c r="L374" s="214"/>
      <c r="M374" s="214"/>
      <c r="N374" s="214"/>
      <c r="O374" s="214"/>
      <c r="P374" s="214"/>
      <c r="Q374" s="214"/>
      <c r="R374" s="214"/>
      <c r="S374" s="214"/>
      <c r="T374" s="214"/>
      <c r="U374" s="214"/>
      <c r="V374" s="214"/>
      <c r="W374" s="214"/>
      <c r="X374" s="214"/>
    </row>
    <row r="375" spans="1:24" ht="15.75" customHeight="1">
      <c r="A375" s="83"/>
      <c r="B375" s="218">
        <v>11.8</v>
      </c>
      <c r="C375" s="218">
        <v>4.4000000000000004</v>
      </c>
      <c r="D375" s="218">
        <v>8.0000000000000004E-4</v>
      </c>
      <c r="E375" s="218">
        <v>4.6600000000000003E-2</v>
      </c>
      <c r="F375" s="218">
        <v>216.05</v>
      </c>
      <c r="G375" s="218">
        <v>405.32</v>
      </c>
      <c r="H375" s="218">
        <v>1.0570999999999999</v>
      </c>
      <c r="I375" s="218">
        <v>1.7213000000000001</v>
      </c>
      <c r="J375" s="218">
        <v>1.3762000000000001</v>
      </c>
      <c r="K375" s="218">
        <v>0.95479999999999998</v>
      </c>
      <c r="L375" s="214"/>
      <c r="M375" s="214"/>
      <c r="N375" s="214"/>
      <c r="O375" s="214"/>
      <c r="P375" s="214"/>
      <c r="Q375" s="214"/>
      <c r="R375" s="214"/>
      <c r="S375" s="214"/>
      <c r="T375" s="214"/>
      <c r="U375" s="214"/>
      <c r="V375" s="214"/>
      <c r="W375" s="214"/>
      <c r="X375" s="214"/>
    </row>
    <row r="376" spans="1:24" ht="15.75" customHeight="1">
      <c r="A376" s="83"/>
      <c r="B376" s="218">
        <v>11.9</v>
      </c>
      <c r="C376" s="218">
        <v>4.42</v>
      </c>
      <c r="D376" s="218">
        <v>8.0000000000000004E-4</v>
      </c>
      <c r="E376" s="218">
        <v>4.65E-2</v>
      </c>
      <c r="F376" s="218">
        <v>216.19</v>
      </c>
      <c r="G376" s="218">
        <v>405.37</v>
      </c>
      <c r="H376" s="218">
        <v>1.0576000000000001</v>
      </c>
      <c r="I376" s="218">
        <v>1.7213000000000001</v>
      </c>
      <c r="J376" s="218">
        <v>1.3765000000000001</v>
      </c>
      <c r="K376" s="218">
        <v>0.95540000000000003</v>
      </c>
      <c r="L376" s="214"/>
      <c r="M376" s="214"/>
      <c r="N376" s="214"/>
      <c r="O376" s="214"/>
      <c r="P376" s="214"/>
      <c r="Q376" s="214"/>
      <c r="R376" s="214"/>
      <c r="S376" s="214"/>
      <c r="T376" s="214"/>
      <c r="U376" s="214"/>
      <c r="V376" s="214"/>
      <c r="W376" s="214"/>
      <c r="X376" s="214"/>
    </row>
    <row r="377" spans="1:24" ht="15.75" customHeight="1">
      <c r="A377" s="83"/>
      <c r="B377" s="218">
        <v>12</v>
      </c>
      <c r="C377" s="218">
        <v>4.43</v>
      </c>
      <c r="D377" s="218">
        <v>8.0000000000000004E-4</v>
      </c>
      <c r="E377" s="218">
        <v>4.6300000000000001E-2</v>
      </c>
      <c r="F377" s="218">
        <v>216.33</v>
      </c>
      <c r="G377" s="218">
        <v>405.43</v>
      </c>
      <c r="H377" s="218">
        <v>1.0581</v>
      </c>
      <c r="I377" s="218">
        <v>1.7212000000000001</v>
      </c>
      <c r="J377" s="218">
        <v>1.3768</v>
      </c>
      <c r="K377" s="218">
        <v>0.95589999999999997</v>
      </c>
      <c r="L377" s="214"/>
      <c r="M377" s="214"/>
      <c r="N377" s="214"/>
      <c r="O377" s="214"/>
      <c r="P377" s="214"/>
      <c r="Q377" s="214"/>
      <c r="R377" s="214"/>
      <c r="S377" s="214"/>
      <c r="T377" s="214"/>
      <c r="U377" s="214"/>
      <c r="V377" s="214"/>
      <c r="W377" s="214"/>
      <c r="X377" s="214"/>
    </row>
    <row r="378" spans="1:24" ht="15.75" customHeight="1">
      <c r="A378" s="83"/>
      <c r="B378" s="218">
        <v>12.1</v>
      </c>
      <c r="C378" s="218">
        <v>4.4400000000000004</v>
      </c>
      <c r="D378" s="218">
        <v>8.0000000000000004E-4</v>
      </c>
      <c r="E378" s="218">
        <v>4.6199999999999998E-2</v>
      </c>
      <c r="F378" s="218">
        <v>216.47</v>
      </c>
      <c r="G378" s="218">
        <v>405.48</v>
      </c>
      <c r="H378" s="218">
        <v>1.0586</v>
      </c>
      <c r="I378" s="218">
        <v>1.7212000000000001</v>
      </c>
      <c r="J378" s="218">
        <v>1.3771</v>
      </c>
      <c r="K378" s="218">
        <v>0.95640000000000003</v>
      </c>
      <c r="L378" s="214"/>
      <c r="M378" s="214"/>
      <c r="N378" s="214"/>
      <c r="O378" s="214"/>
      <c r="P378" s="214"/>
      <c r="Q378" s="214"/>
      <c r="R378" s="214"/>
      <c r="S378" s="214"/>
      <c r="T378" s="214"/>
      <c r="U378" s="214"/>
      <c r="V378" s="214"/>
      <c r="W378" s="214"/>
      <c r="X378" s="214"/>
    </row>
    <row r="379" spans="1:24" ht="15.75" customHeight="1">
      <c r="A379" s="83"/>
      <c r="B379" s="218">
        <v>12.2</v>
      </c>
      <c r="C379" s="218">
        <v>4.46</v>
      </c>
      <c r="D379" s="218">
        <v>8.0000000000000004E-4</v>
      </c>
      <c r="E379" s="218">
        <v>4.5999999999999999E-2</v>
      </c>
      <c r="F379" s="218">
        <v>216.6</v>
      </c>
      <c r="G379" s="218">
        <v>405.54</v>
      </c>
      <c r="H379" s="218">
        <v>1.0589999999999999</v>
      </c>
      <c r="I379" s="218">
        <v>1.7212000000000001</v>
      </c>
      <c r="J379" s="218">
        <v>1.3774999999999999</v>
      </c>
      <c r="K379" s="218">
        <v>0.95689999999999997</v>
      </c>
      <c r="L379" s="214"/>
      <c r="M379" s="214"/>
      <c r="N379" s="214"/>
      <c r="O379" s="214"/>
      <c r="P379" s="214"/>
      <c r="Q379" s="214"/>
      <c r="R379" s="214"/>
      <c r="S379" s="214"/>
      <c r="T379" s="214"/>
      <c r="U379" s="214"/>
      <c r="V379" s="214"/>
      <c r="W379" s="214"/>
      <c r="X379" s="214"/>
    </row>
    <row r="380" spans="1:24" ht="15.75" customHeight="1">
      <c r="A380" s="83"/>
      <c r="B380" s="218">
        <v>12.3</v>
      </c>
      <c r="C380" s="218">
        <v>4.47</v>
      </c>
      <c r="D380" s="218">
        <v>8.0000000000000004E-4</v>
      </c>
      <c r="E380" s="218">
        <v>4.5900000000000003E-2</v>
      </c>
      <c r="F380" s="218">
        <v>216.74</v>
      </c>
      <c r="G380" s="218">
        <v>405.59</v>
      </c>
      <c r="H380" s="218">
        <v>1.0595000000000001</v>
      </c>
      <c r="I380" s="218">
        <v>1.7211000000000001</v>
      </c>
      <c r="J380" s="218">
        <v>1.3777999999999999</v>
      </c>
      <c r="K380" s="218">
        <v>0.95750000000000002</v>
      </c>
      <c r="L380" s="214"/>
      <c r="M380" s="214"/>
      <c r="N380" s="214"/>
      <c r="O380" s="214"/>
      <c r="P380" s="214"/>
      <c r="Q380" s="214"/>
      <c r="R380" s="214"/>
      <c r="S380" s="214"/>
      <c r="T380" s="214"/>
      <c r="U380" s="214"/>
      <c r="V380" s="214"/>
      <c r="W380" s="214"/>
      <c r="X380" s="214"/>
    </row>
    <row r="381" spans="1:24" ht="15.75" customHeight="1">
      <c r="A381" s="83"/>
      <c r="B381" s="218">
        <v>12.4</v>
      </c>
      <c r="C381" s="218">
        <v>4.49</v>
      </c>
      <c r="D381" s="218">
        <v>8.0000000000000004E-4</v>
      </c>
      <c r="E381" s="218">
        <v>4.5699999999999998E-2</v>
      </c>
      <c r="F381" s="218">
        <v>216.88</v>
      </c>
      <c r="G381" s="218">
        <v>405.65</v>
      </c>
      <c r="H381" s="218">
        <v>1.06</v>
      </c>
      <c r="I381" s="218">
        <v>1.7211000000000001</v>
      </c>
      <c r="J381" s="218">
        <v>1.3781000000000001</v>
      </c>
      <c r="K381" s="218">
        <v>0.95799999999999996</v>
      </c>
      <c r="L381" s="214"/>
      <c r="M381" s="214"/>
      <c r="N381" s="214"/>
      <c r="O381" s="214"/>
      <c r="P381" s="214"/>
      <c r="Q381" s="214"/>
      <c r="R381" s="214"/>
      <c r="S381" s="214"/>
      <c r="T381" s="214"/>
      <c r="U381" s="214"/>
      <c r="V381" s="214"/>
      <c r="W381" s="214"/>
      <c r="X381" s="214"/>
    </row>
    <row r="382" spans="1:24" ht="15.75" customHeight="1">
      <c r="A382" s="83"/>
      <c r="B382" s="218">
        <v>12.5</v>
      </c>
      <c r="C382" s="218">
        <v>4.5</v>
      </c>
      <c r="D382" s="218">
        <v>8.0000000000000004E-4</v>
      </c>
      <c r="E382" s="218">
        <v>4.5600000000000002E-2</v>
      </c>
      <c r="F382" s="218">
        <v>217.02</v>
      </c>
      <c r="G382" s="218">
        <v>405.7</v>
      </c>
      <c r="H382" s="218">
        <v>1.0605</v>
      </c>
      <c r="I382" s="218">
        <v>1.7210000000000001</v>
      </c>
      <c r="J382" s="218">
        <v>1.3784000000000001</v>
      </c>
      <c r="K382" s="218">
        <v>0.95850000000000002</v>
      </c>
      <c r="L382" s="214"/>
      <c r="M382" s="214"/>
      <c r="N382" s="214"/>
      <c r="O382" s="214"/>
      <c r="P382" s="214"/>
      <c r="Q382" s="214"/>
      <c r="R382" s="214"/>
      <c r="S382" s="214"/>
      <c r="T382" s="214"/>
      <c r="U382" s="214"/>
      <c r="V382" s="214"/>
      <c r="W382" s="214"/>
      <c r="X382" s="214"/>
    </row>
    <row r="383" spans="1:24" ht="15.75" customHeight="1">
      <c r="A383" s="83"/>
      <c r="B383" s="218">
        <v>12.6</v>
      </c>
      <c r="C383" s="218">
        <v>4.5199999999999996</v>
      </c>
      <c r="D383" s="218">
        <v>8.0000000000000004E-4</v>
      </c>
      <c r="E383" s="218">
        <v>4.5400000000000003E-2</v>
      </c>
      <c r="F383" s="218">
        <v>217.16</v>
      </c>
      <c r="G383" s="218">
        <v>405.76</v>
      </c>
      <c r="H383" s="218">
        <v>1.0609999999999999</v>
      </c>
      <c r="I383" s="218">
        <v>1.7210000000000001</v>
      </c>
      <c r="J383" s="218">
        <v>1.3788</v>
      </c>
      <c r="K383" s="218">
        <v>0.95909999999999995</v>
      </c>
      <c r="L383" s="214"/>
      <c r="M383" s="214"/>
      <c r="N383" s="214"/>
      <c r="O383" s="214"/>
      <c r="P383" s="214"/>
      <c r="Q383" s="214"/>
      <c r="R383" s="214"/>
      <c r="S383" s="214"/>
      <c r="T383" s="214"/>
      <c r="U383" s="214"/>
      <c r="V383" s="214"/>
      <c r="W383" s="214"/>
      <c r="X383" s="214"/>
    </row>
    <row r="384" spans="1:24" ht="15.75" customHeight="1">
      <c r="A384" s="83"/>
      <c r="B384" s="218">
        <v>12.7</v>
      </c>
      <c r="C384" s="218">
        <v>4.53</v>
      </c>
      <c r="D384" s="218">
        <v>8.0000000000000004E-4</v>
      </c>
      <c r="E384" s="218">
        <v>4.53E-2</v>
      </c>
      <c r="F384" s="218">
        <v>217.29</v>
      </c>
      <c r="G384" s="218">
        <v>405.82</v>
      </c>
      <c r="H384" s="218">
        <v>1.0613999999999999</v>
      </c>
      <c r="I384" s="218">
        <v>1.7209000000000001</v>
      </c>
      <c r="J384" s="218">
        <v>1.3791</v>
      </c>
      <c r="K384" s="218">
        <v>0.95960000000000001</v>
      </c>
      <c r="L384" s="214"/>
      <c r="M384" s="214"/>
      <c r="N384" s="214"/>
      <c r="O384" s="214"/>
      <c r="P384" s="214"/>
      <c r="Q384" s="214"/>
      <c r="R384" s="214"/>
      <c r="S384" s="214"/>
      <c r="T384" s="214"/>
      <c r="U384" s="214"/>
      <c r="V384" s="214"/>
      <c r="W384" s="214"/>
      <c r="X384" s="214"/>
    </row>
    <row r="385" spans="1:24" ht="15.75" customHeight="1">
      <c r="A385" s="83"/>
      <c r="B385" s="218">
        <v>12.8</v>
      </c>
      <c r="C385" s="218">
        <v>4.55</v>
      </c>
      <c r="D385" s="218">
        <v>8.0000000000000004E-4</v>
      </c>
      <c r="E385" s="218">
        <v>4.5199999999999997E-2</v>
      </c>
      <c r="F385" s="218">
        <v>217.43</v>
      </c>
      <c r="G385" s="218">
        <v>405.87</v>
      </c>
      <c r="H385" s="218">
        <v>1.0619000000000001</v>
      </c>
      <c r="I385" s="218">
        <v>1.7209000000000001</v>
      </c>
      <c r="J385" s="218">
        <v>1.3794</v>
      </c>
      <c r="K385" s="218">
        <v>0.96009999999999995</v>
      </c>
      <c r="L385" s="214"/>
      <c r="M385" s="214"/>
      <c r="N385" s="214"/>
      <c r="O385" s="214"/>
      <c r="P385" s="214"/>
      <c r="Q385" s="214"/>
      <c r="R385" s="214"/>
      <c r="S385" s="214"/>
      <c r="T385" s="214"/>
      <c r="U385" s="214"/>
      <c r="V385" s="214"/>
      <c r="W385" s="214"/>
      <c r="X385" s="214"/>
    </row>
    <row r="386" spans="1:24" ht="15.75" customHeight="1">
      <c r="A386" s="83"/>
      <c r="B386" s="218">
        <v>12.9</v>
      </c>
      <c r="C386" s="218">
        <v>4.5599999999999996</v>
      </c>
      <c r="D386" s="218">
        <v>8.0000000000000004E-4</v>
      </c>
      <c r="E386" s="218">
        <v>4.4999999999999998E-2</v>
      </c>
      <c r="F386" s="218">
        <v>217.57</v>
      </c>
      <c r="G386" s="218">
        <v>405.93</v>
      </c>
      <c r="H386" s="218">
        <v>1.0624</v>
      </c>
      <c r="I386" s="218">
        <v>1.7209000000000001</v>
      </c>
      <c r="J386" s="218">
        <v>1.3797999999999999</v>
      </c>
      <c r="K386" s="218">
        <v>0.9607</v>
      </c>
      <c r="L386" s="214"/>
      <c r="M386" s="214"/>
      <c r="N386" s="214"/>
      <c r="O386" s="214"/>
      <c r="P386" s="214"/>
      <c r="Q386" s="214"/>
      <c r="R386" s="214"/>
      <c r="S386" s="214"/>
      <c r="T386" s="214"/>
      <c r="U386" s="214"/>
      <c r="V386" s="214"/>
      <c r="W386" s="214"/>
      <c r="X386" s="214"/>
    </row>
    <row r="387" spans="1:24" ht="15.75" customHeight="1">
      <c r="A387" s="83"/>
      <c r="B387" s="218">
        <v>13</v>
      </c>
      <c r="C387" s="218">
        <v>4.58</v>
      </c>
      <c r="D387" s="218">
        <v>8.0000000000000004E-4</v>
      </c>
      <c r="E387" s="218">
        <v>4.4900000000000002E-2</v>
      </c>
      <c r="F387" s="218">
        <v>217.71</v>
      </c>
      <c r="G387" s="218">
        <v>405.98</v>
      </c>
      <c r="H387" s="218">
        <v>1.0629</v>
      </c>
      <c r="I387" s="218">
        <v>1.7208000000000001</v>
      </c>
      <c r="J387" s="218">
        <v>1.3801000000000001</v>
      </c>
      <c r="K387" s="218">
        <v>0.96120000000000005</v>
      </c>
      <c r="L387" s="214"/>
      <c r="M387" s="214"/>
      <c r="N387" s="214"/>
      <c r="O387" s="214"/>
      <c r="P387" s="214"/>
      <c r="Q387" s="214"/>
      <c r="R387" s="214"/>
      <c r="S387" s="214"/>
      <c r="T387" s="214"/>
      <c r="U387" s="214"/>
      <c r="V387" s="214"/>
      <c r="W387" s="214"/>
      <c r="X387" s="214"/>
    </row>
    <row r="388" spans="1:24" ht="15.75" customHeight="1">
      <c r="A388" s="83"/>
      <c r="B388" s="218">
        <v>13.1</v>
      </c>
      <c r="C388" s="218">
        <v>4.59</v>
      </c>
      <c r="D388" s="218">
        <v>8.0000000000000004E-4</v>
      </c>
      <c r="E388" s="218">
        <v>4.4699999999999997E-2</v>
      </c>
      <c r="F388" s="218">
        <v>217.85</v>
      </c>
      <c r="G388" s="218">
        <v>406.04</v>
      </c>
      <c r="H388" s="218">
        <v>1.0632999999999999</v>
      </c>
      <c r="I388" s="218">
        <v>1.7208000000000001</v>
      </c>
      <c r="J388" s="218">
        <v>1.3804000000000001</v>
      </c>
      <c r="K388" s="218">
        <v>0.9617</v>
      </c>
      <c r="L388" s="214"/>
      <c r="M388" s="214"/>
      <c r="N388" s="214"/>
      <c r="O388" s="214"/>
      <c r="P388" s="214"/>
      <c r="Q388" s="214"/>
      <c r="R388" s="214"/>
      <c r="S388" s="214"/>
      <c r="T388" s="214"/>
      <c r="U388" s="214"/>
      <c r="V388" s="214"/>
      <c r="W388" s="214"/>
      <c r="X388" s="214"/>
    </row>
    <row r="389" spans="1:24" ht="15.75" customHeight="1">
      <c r="A389" s="83"/>
      <c r="B389" s="218">
        <v>13.2</v>
      </c>
      <c r="C389" s="218">
        <v>4.6100000000000003</v>
      </c>
      <c r="D389" s="218">
        <v>8.0000000000000004E-4</v>
      </c>
      <c r="E389" s="218">
        <v>4.4600000000000001E-2</v>
      </c>
      <c r="F389" s="218">
        <v>217.99</v>
      </c>
      <c r="G389" s="218">
        <v>406.09</v>
      </c>
      <c r="H389" s="218">
        <v>1.0638000000000001</v>
      </c>
      <c r="I389" s="218">
        <v>1.7206999999999999</v>
      </c>
      <c r="J389" s="218">
        <v>1.3808</v>
      </c>
      <c r="K389" s="218">
        <v>0.96230000000000004</v>
      </c>
      <c r="L389" s="214"/>
      <c r="M389" s="214"/>
      <c r="N389" s="214"/>
      <c r="O389" s="214"/>
      <c r="P389" s="214"/>
      <c r="Q389" s="214"/>
      <c r="R389" s="214"/>
      <c r="S389" s="214"/>
      <c r="T389" s="214"/>
      <c r="U389" s="214"/>
      <c r="V389" s="214"/>
      <c r="W389" s="214"/>
      <c r="X389" s="214"/>
    </row>
    <row r="390" spans="1:24" ht="15.75" customHeight="1">
      <c r="A390" s="83"/>
      <c r="B390" s="218">
        <v>13.3</v>
      </c>
      <c r="C390" s="218">
        <v>4.62</v>
      </c>
      <c r="D390" s="218">
        <v>8.0000000000000004E-4</v>
      </c>
      <c r="E390" s="218">
        <v>4.4400000000000002E-2</v>
      </c>
      <c r="F390" s="218">
        <v>218.12</v>
      </c>
      <c r="G390" s="218">
        <v>406.14</v>
      </c>
      <c r="H390" s="218">
        <v>1.0643</v>
      </c>
      <c r="I390" s="218">
        <v>1.7206999999999999</v>
      </c>
      <c r="J390" s="218">
        <v>1.3811</v>
      </c>
      <c r="K390" s="218">
        <v>0.96279999999999999</v>
      </c>
      <c r="L390" s="214"/>
      <c r="M390" s="214"/>
      <c r="N390" s="214"/>
      <c r="O390" s="214"/>
      <c r="P390" s="214"/>
      <c r="Q390" s="214"/>
      <c r="R390" s="214"/>
      <c r="S390" s="214"/>
      <c r="T390" s="214"/>
      <c r="U390" s="214"/>
      <c r="V390" s="214"/>
      <c r="W390" s="214"/>
      <c r="X390" s="214"/>
    </row>
    <row r="391" spans="1:24" ht="15.75" customHeight="1">
      <c r="A391" s="83"/>
      <c r="B391" s="218">
        <v>13.4</v>
      </c>
      <c r="C391" s="218">
        <v>4.6399999999999997</v>
      </c>
      <c r="D391" s="218">
        <v>8.0000000000000004E-4</v>
      </c>
      <c r="E391" s="218">
        <v>4.4299999999999999E-2</v>
      </c>
      <c r="F391" s="218">
        <v>218.26</v>
      </c>
      <c r="G391" s="218">
        <v>406.2</v>
      </c>
      <c r="H391" s="218">
        <v>1.0648</v>
      </c>
      <c r="I391" s="218">
        <v>1.7205999999999999</v>
      </c>
      <c r="J391" s="218">
        <v>1.3814</v>
      </c>
      <c r="K391" s="218">
        <v>0.96330000000000005</v>
      </c>
      <c r="L391" s="214"/>
      <c r="M391" s="214"/>
      <c r="N391" s="214"/>
      <c r="O391" s="214"/>
      <c r="P391" s="214"/>
      <c r="Q391" s="214"/>
      <c r="R391" s="214"/>
      <c r="S391" s="214"/>
      <c r="T391" s="214"/>
      <c r="U391" s="214"/>
      <c r="V391" s="214"/>
      <c r="W391" s="214"/>
      <c r="X391" s="214"/>
    </row>
    <row r="392" spans="1:24" ht="15.75" customHeight="1">
      <c r="A392" s="83"/>
      <c r="B392" s="218">
        <v>13.5</v>
      </c>
      <c r="C392" s="218">
        <v>4.6500000000000004</v>
      </c>
      <c r="D392" s="218">
        <v>8.0000000000000004E-4</v>
      </c>
      <c r="E392" s="218">
        <v>4.4200000000000003E-2</v>
      </c>
      <c r="F392" s="218">
        <v>218.4</v>
      </c>
      <c r="G392" s="218">
        <v>406.25</v>
      </c>
      <c r="H392" s="218">
        <v>1.0652999999999999</v>
      </c>
      <c r="I392" s="218">
        <v>1.7205999999999999</v>
      </c>
      <c r="J392" s="218">
        <v>1.3817999999999999</v>
      </c>
      <c r="K392" s="218">
        <v>0.96389999999999998</v>
      </c>
      <c r="L392" s="214"/>
      <c r="M392" s="214"/>
      <c r="N392" s="214"/>
      <c r="O392" s="214"/>
      <c r="P392" s="214"/>
      <c r="Q392" s="214"/>
      <c r="R392" s="214"/>
      <c r="S392" s="214"/>
      <c r="T392" s="214"/>
      <c r="U392" s="214"/>
      <c r="V392" s="214"/>
      <c r="W392" s="214"/>
      <c r="X392" s="214"/>
    </row>
    <row r="393" spans="1:24" ht="15.75" customHeight="1">
      <c r="A393" s="83"/>
      <c r="B393" s="218">
        <v>13.6</v>
      </c>
      <c r="C393" s="218">
        <v>4.67</v>
      </c>
      <c r="D393" s="218">
        <v>8.0000000000000004E-4</v>
      </c>
      <c r="E393" s="218">
        <v>4.3999999999999997E-2</v>
      </c>
      <c r="F393" s="218">
        <v>218.54</v>
      </c>
      <c r="G393" s="218">
        <v>406.31</v>
      </c>
      <c r="H393" s="218">
        <v>1.0657000000000001</v>
      </c>
      <c r="I393" s="218">
        <v>1.7205999999999999</v>
      </c>
      <c r="J393" s="218">
        <v>1.3821000000000001</v>
      </c>
      <c r="K393" s="218">
        <v>0.96440000000000003</v>
      </c>
      <c r="L393" s="214"/>
      <c r="M393" s="214"/>
      <c r="N393" s="214"/>
      <c r="O393" s="214"/>
      <c r="P393" s="214"/>
      <c r="Q393" s="214"/>
      <c r="R393" s="214"/>
      <c r="S393" s="214"/>
      <c r="T393" s="214"/>
      <c r="U393" s="214"/>
      <c r="V393" s="214"/>
      <c r="W393" s="214"/>
      <c r="X393" s="214"/>
    </row>
    <row r="394" spans="1:24" ht="15.75" customHeight="1">
      <c r="A394" s="83"/>
      <c r="B394" s="218">
        <v>13.7</v>
      </c>
      <c r="C394" s="218">
        <v>4.68</v>
      </c>
      <c r="D394" s="218">
        <v>8.0000000000000004E-4</v>
      </c>
      <c r="E394" s="218">
        <v>4.3900000000000002E-2</v>
      </c>
      <c r="F394" s="218">
        <v>218.68</v>
      </c>
      <c r="G394" s="218">
        <v>406.36</v>
      </c>
      <c r="H394" s="218">
        <v>1.0662</v>
      </c>
      <c r="I394" s="218">
        <v>1.7204999999999999</v>
      </c>
      <c r="J394" s="218">
        <v>1.3824000000000001</v>
      </c>
      <c r="K394" s="218">
        <v>0.96499999999999997</v>
      </c>
      <c r="L394" s="214"/>
      <c r="M394" s="214"/>
      <c r="N394" s="214"/>
      <c r="O394" s="214"/>
      <c r="P394" s="214"/>
      <c r="Q394" s="214"/>
      <c r="R394" s="214"/>
      <c r="S394" s="214"/>
      <c r="T394" s="214"/>
      <c r="U394" s="214"/>
      <c r="V394" s="214"/>
      <c r="W394" s="214"/>
      <c r="X394" s="214"/>
    </row>
    <row r="395" spans="1:24" ht="15.75" customHeight="1">
      <c r="A395" s="83"/>
      <c r="B395" s="218">
        <v>13.8</v>
      </c>
      <c r="C395" s="218">
        <v>4.7</v>
      </c>
      <c r="D395" s="218">
        <v>8.0000000000000004E-4</v>
      </c>
      <c r="E395" s="218">
        <v>4.3700000000000003E-2</v>
      </c>
      <c r="F395" s="218">
        <v>218.82</v>
      </c>
      <c r="G395" s="218">
        <v>406.42</v>
      </c>
      <c r="H395" s="218">
        <v>1.0667</v>
      </c>
      <c r="I395" s="218">
        <v>1.7204999999999999</v>
      </c>
      <c r="J395" s="218">
        <v>1.3828</v>
      </c>
      <c r="K395" s="218">
        <v>0.96550000000000002</v>
      </c>
      <c r="L395" s="214"/>
      <c r="M395" s="214"/>
      <c r="N395" s="214"/>
      <c r="O395" s="214"/>
      <c r="P395" s="214"/>
      <c r="Q395" s="214"/>
      <c r="R395" s="214"/>
      <c r="S395" s="214"/>
      <c r="T395" s="214"/>
      <c r="U395" s="214"/>
      <c r="V395" s="214"/>
      <c r="W395" s="214"/>
      <c r="X395" s="214"/>
    </row>
    <row r="396" spans="1:24" ht="15.75" customHeight="1">
      <c r="A396" s="83"/>
      <c r="B396" s="218">
        <v>13.9</v>
      </c>
      <c r="C396" s="218">
        <v>4.71</v>
      </c>
      <c r="D396" s="218">
        <v>8.0000000000000004E-4</v>
      </c>
      <c r="E396" s="218">
        <v>4.36E-2</v>
      </c>
      <c r="F396" s="218">
        <v>218.95</v>
      </c>
      <c r="G396" s="218">
        <v>406.47</v>
      </c>
      <c r="H396" s="218">
        <v>1.0671999999999999</v>
      </c>
      <c r="I396" s="218">
        <v>1.7203999999999999</v>
      </c>
      <c r="J396" s="218">
        <v>1.3831</v>
      </c>
      <c r="K396" s="218">
        <v>0.96599999999999997</v>
      </c>
      <c r="L396" s="214"/>
      <c r="M396" s="214"/>
      <c r="N396" s="214"/>
      <c r="O396" s="214"/>
      <c r="P396" s="214"/>
      <c r="Q396" s="214"/>
      <c r="R396" s="214"/>
      <c r="S396" s="214"/>
      <c r="T396" s="214"/>
      <c r="U396" s="214"/>
      <c r="V396" s="214"/>
      <c r="W396" s="214"/>
      <c r="X396" s="214"/>
    </row>
    <row r="397" spans="1:24" ht="15.75" customHeight="1">
      <c r="A397" s="83"/>
      <c r="B397" s="218">
        <v>14</v>
      </c>
      <c r="C397" s="218">
        <v>4.7300000000000004</v>
      </c>
      <c r="D397" s="218">
        <v>8.0000000000000004E-4</v>
      </c>
      <c r="E397" s="218">
        <v>4.3499999999999997E-2</v>
      </c>
      <c r="F397" s="218">
        <v>219.09</v>
      </c>
      <c r="G397" s="218">
        <v>406.53</v>
      </c>
      <c r="H397" s="218">
        <v>1.0677000000000001</v>
      </c>
      <c r="I397" s="218">
        <v>1.7203999999999999</v>
      </c>
      <c r="J397" s="218">
        <v>1.3835</v>
      </c>
      <c r="K397" s="218">
        <v>0.96660000000000001</v>
      </c>
      <c r="L397" s="214"/>
      <c r="M397" s="214"/>
      <c r="N397" s="214"/>
      <c r="O397" s="214"/>
      <c r="P397" s="214"/>
      <c r="Q397" s="214"/>
      <c r="R397" s="214"/>
      <c r="S397" s="214"/>
      <c r="T397" s="214"/>
      <c r="U397" s="214"/>
      <c r="V397" s="214"/>
      <c r="W397" s="214"/>
      <c r="X397" s="214"/>
    </row>
    <row r="398" spans="1:24" ht="15.75" customHeight="1">
      <c r="A398" s="83"/>
      <c r="B398" s="218">
        <v>14.1</v>
      </c>
      <c r="C398" s="218">
        <v>4.74</v>
      </c>
      <c r="D398" s="218">
        <v>8.0000000000000004E-4</v>
      </c>
      <c r="E398" s="218">
        <v>4.3299999999999998E-2</v>
      </c>
      <c r="F398" s="218">
        <v>219.23</v>
      </c>
      <c r="G398" s="218">
        <v>406.58</v>
      </c>
      <c r="H398" s="218">
        <v>1.0681</v>
      </c>
      <c r="I398" s="218">
        <v>1.7203999999999999</v>
      </c>
      <c r="J398" s="218">
        <v>1.3837999999999999</v>
      </c>
      <c r="K398" s="218">
        <v>0.96709999999999996</v>
      </c>
      <c r="L398" s="214"/>
      <c r="M398" s="214"/>
      <c r="N398" s="214"/>
      <c r="O398" s="214"/>
      <c r="P398" s="214"/>
      <c r="Q398" s="214"/>
      <c r="R398" s="214"/>
      <c r="S398" s="214"/>
      <c r="T398" s="214"/>
      <c r="U398" s="214"/>
      <c r="V398" s="214"/>
      <c r="W398" s="214"/>
      <c r="X398" s="214"/>
    </row>
    <row r="399" spans="1:24" ht="15.75" customHeight="1">
      <c r="A399" s="83"/>
      <c r="B399" s="218">
        <v>14.2</v>
      </c>
      <c r="C399" s="218">
        <v>4.76</v>
      </c>
      <c r="D399" s="218">
        <v>8.0000000000000004E-4</v>
      </c>
      <c r="E399" s="218">
        <v>4.3200000000000002E-2</v>
      </c>
      <c r="F399" s="218">
        <v>219.37</v>
      </c>
      <c r="G399" s="218">
        <v>406.64</v>
      </c>
      <c r="H399" s="218">
        <v>1.0686</v>
      </c>
      <c r="I399" s="218">
        <v>1.7202999999999999</v>
      </c>
      <c r="J399" s="218">
        <v>1.3841000000000001</v>
      </c>
      <c r="K399" s="218">
        <v>0.9677</v>
      </c>
      <c r="L399" s="214"/>
      <c r="M399" s="214"/>
      <c r="N399" s="214"/>
      <c r="O399" s="214"/>
      <c r="P399" s="214"/>
      <c r="Q399" s="214"/>
      <c r="R399" s="214"/>
      <c r="S399" s="214"/>
      <c r="T399" s="214"/>
      <c r="U399" s="214"/>
      <c r="V399" s="214"/>
      <c r="W399" s="214"/>
      <c r="X399" s="214"/>
    </row>
    <row r="400" spans="1:24" ht="15.75" customHeight="1">
      <c r="A400" s="83"/>
      <c r="B400" s="218">
        <v>14.3</v>
      </c>
      <c r="C400" s="218">
        <v>4.7699999999999996</v>
      </c>
      <c r="D400" s="218">
        <v>8.0000000000000004E-4</v>
      </c>
      <c r="E400" s="218">
        <v>4.2999999999999997E-2</v>
      </c>
      <c r="F400" s="218">
        <v>219.51</v>
      </c>
      <c r="G400" s="218">
        <v>406.69</v>
      </c>
      <c r="H400" s="218">
        <v>1.0690999999999999</v>
      </c>
      <c r="I400" s="218">
        <v>1.7202999999999999</v>
      </c>
      <c r="J400" s="218">
        <v>1.3845000000000001</v>
      </c>
      <c r="K400" s="218">
        <v>0.96819999999999995</v>
      </c>
      <c r="L400" s="214"/>
      <c r="M400" s="214"/>
      <c r="N400" s="214"/>
      <c r="O400" s="214"/>
      <c r="P400" s="214"/>
      <c r="Q400" s="214"/>
      <c r="R400" s="214"/>
      <c r="S400" s="214"/>
      <c r="T400" s="214"/>
      <c r="U400" s="214"/>
      <c r="V400" s="214"/>
      <c r="W400" s="214"/>
      <c r="X400" s="214"/>
    </row>
    <row r="401" spans="1:24" ht="15.75" customHeight="1">
      <c r="A401" s="83"/>
      <c r="B401" s="218">
        <v>14.4</v>
      </c>
      <c r="C401" s="218">
        <v>4.79</v>
      </c>
      <c r="D401" s="218">
        <v>8.0000000000000004E-4</v>
      </c>
      <c r="E401" s="218">
        <v>4.2900000000000001E-2</v>
      </c>
      <c r="F401" s="218">
        <v>219.65</v>
      </c>
      <c r="G401" s="218">
        <v>406.75</v>
      </c>
      <c r="H401" s="218">
        <v>1.0696000000000001</v>
      </c>
      <c r="I401" s="218">
        <v>1.7202</v>
      </c>
      <c r="J401" s="218">
        <v>1.3848</v>
      </c>
      <c r="K401" s="218">
        <v>0.96879999999999999</v>
      </c>
      <c r="L401" s="214"/>
      <c r="M401" s="214"/>
      <c r="N401" s="214"/>
      <c r="O401" s="214"/>
      <c r="P401" s="214"/>
      <c r="Q401" s="214"/>
      <c r="R401" s="214"/>
      <c r="S401" s="214"/>
      <c r="T401" s="214"/>
      <c r="U401" s="214"/>
      <c r="V401" s="214"/>
      <c r="W401" s="214"/>
      <c r="X401" s="214"/>
    </row>
    <row r="402" spans="1:24" ht="15.75" customHeight="1">
      <c r="A402" s="83"/>
      <c r="B402" s="218">
        <v>14.5</v>
      </c>
      <c r="C402" s="218">
        <v>4.8099999999999996</v>
      </c>
      <c r="D402" s="218">
        <v>8.0000000000000004E-4</v>
      </c>
      <c r="E402" s="218">
        <v>4.2799999999999998E-2</v>
      </c>
      <c r="F402" s="218">
        <v>219.79</v>
      </c>
      <c r="G402" s="218">
        <v>406.8</v>
      </c>
      <c r="H402" s="218">
        <v>1.07</v>
      </c>
      <c r="I402" s="218">
        <v>1.7202</v>
      </c>
      <c r="J402" s="218">
        <v>1.3852</v>
      </c>
      <c r="K402" s="218">
        <v>0.96930000000000005</v>
      </c>
      <c r="L402" s="214"/>
      <c r="M402" s="214"/>
      <c r="N402" s="214"/>
      <c r="O402" s="214"/>
      <c r="P402" s="214"/>
      <c r="Q402" s="214"/>
      <c r="R402" s="214"/>
      <c r="S402" s="214"/>
      <c r="T402" s="214"/>
      <c r="U402" s="214"/>
      <c r="V402" s="214"/>
      <c r="W402" s="214"/>
      <c r="X402" s="214"/>
    </row>
    <row r="403" spans="1:24" ht="15.75" customHeight="1">
      <c r="A403" s="83"/>
      <c r="B403" s="218">
        <v>14.6</v>
      </c>
      <c r="C403" s="218">
        <v>4.82</v>
      </c>
      <c r="D403" s="218">
        <v>8.0000000000000004E-4</v>
      </c>
      <c r="E403" s="218">
        <v>4.2599999999999999E-2</v>
      </c>
      <c r="F403" s="218">
        <v>219.93</v>
      </c>
      <c r="G403" s="218">
        <v>406.86</v>
      </c>
      <c r="H403" s="218">
        <v>1.0705</v>
      </c>
      <c r="I403" s="218">
        <v>1.7201</v>
      </c>
      <c r="J403" s="218">
        <v>1.3855</v>
      </c>
      <c r="K403" s="218">
        <v>0.96989999999999998</v>
      </c>
      <c r="L403" s="214"/>
      <c r="M403" s="214"/>
      <c r="N403" s="214"/>
      <c r="O403" s="214"/>
      <c r="P403" s="214"/>
      <c r="Q403" s="214"/>
      <c r="R403" s="214"/>
      <c r="S403" s="214"/>
      <c r="T403" s="214"/>
      <c r="U403" s="214"/>
      <c r="V403" s="214"/>
      <c r="W403" s="214"/>
      <c r="X403" s="214"/>
    </row>
    <row r="404" spans="1:24" ht="15.75" customHeight="1">
      <c r="A404" s="83"/>
      <c r="B404" s="218">
        <v>14.7</v>
      </c>
      <c r="C404" s="218">
        <v>4.84</v>
      </c>
      <c r="D404" s="218">
        <v>8.0000000000000004E-4</v>
      </c>
      <c r="E404" s="218">
        <v>4.2500000000000003E-2</v>
      </c>
      <c r="F404" s="218">
        <v>220.06</v>
      </c>
      <c r="G404" s="218">
        <v>406.91</v>
      </c>
      <c r="H404" s="218">
        <v>1.071</v>
      </c>
      <c r="I404" s="218">
        <v>1.7201</v>
      </c>
      <c r="J404" s="218">
        <v>1.3857999999999999</v>
      </c>
      <c r="K404" s="218">
        <v>0.97040000000000004</v>
      </c>
      <c r="L404" s="214"/>
      <c r="M404" s="214"/>
      <c r="N404" s="214"/>
      <c r="O404" s="214"/>
      <c r="P404" s="214"/>
      <c r="Q404" s="214"/>
      <c r="R404" s="214"/>
      <c r="S404" s="214"/>
      <c r="T404" s="214"/>
      <c r="U404" s="214"/>
      <c r="V404" s="214"/>
      <c r="W404" s="214"/>
      <c r="X404" s="214"/>
    </row>
    <row r="405" spans="1:24" ht="15.75" customHeight="1">
      <c r="A405" s="83"/>
      <c r="B405" s="218">
        <v>14.8</v>
      </c>
      <c r="C405" s="218">
        <v>4.8499999999999996</v>
      </c>
      <c r="D405" s="218">
        <v>8.0000000000000004E-4</v>
      </c>
      <c r="E405" s="218">
        <v>4.24E-2</v>
      </c>
      <c r="F405" s="218">
        <v>220.2</v>
      </c>
      <c r="G405" s="218">
        <v>406.96</v>
      </c>
      <c r="H405" s="218">
        <v>1.0714999999999999</v>
      </c>
      <c r="I405" s="218">
        <v>1.7201</v>
      </c>
      <c r="J405" s="218">
        <v>1.3862000000000001</v>
      </c>
      <c r="K405" s="218">
        <v>0.97099999999999997</v>
      </c>
      <c r="L405" s="214"/>
      <c r="M405" s="214"/>
      <c r="N405" s="214"/>
      <c r="O405" s="214"/>
      <c r="P405" s="214"/>
      <c r="Q405" s="214"/>
      <c r="R405" s="214"/>
      <c r="S405" s="214"/>
      <c r="T405" s="214"/>
      <c r="U405" s="214"/>
      <c r="V405" s="214"/>
      <c r="W405" s="214"/>
      <c r="X405" s="214"/>
    </row>
    <row r="406" spans="1:24" ht="15.75" customHeight="1">
      <c r="A406" s="83"/>
      <c r="B406" s="218">
        <v>14.9</v>
      </c>
      <c r="C406" s="218">
        <v>4.87</v>
      </c>
      <c r="D406" s="218">
        <v>8.0000000000000004E-4</v>
      </c>
      <c r="E406" s="218">
        <v>4.2200000000000001E-2</v>
      </c>
      <c r="F406" s="218">
        <v>220.34</v>
      </c>
      <c r="G406" s="218">
        <v>407.02</v>
      </c>
      <c r="H406" s="218">
        <v>1.0720000000000001</v>
      </c>
      <c r="I406" s="218">
        <v>1.72</v>
      </c>
      <c r="J406" s="218">
        <v>1.3865000000000001</v>
      </c>
      <c r="K406" s="218">
        <v>0.97150000000000003</v>
      </c>
      <c r="L406" s="214"/>
      <c r="M406" s="214"/>
      <c r="N406" s="214"/>
      <c r="O406" s="214"/>
      <c r="P406" s="214"/>
      <c r="Q406" s="214"/>
      <c r="R406" s="214"/>
      <c r="S406" s="214"/>
      <c r="T406" s="214"/>
      <c r="U406" s="214"/>
      <c r="V406" s="214"/>
      <c r="W406" s="214"/>
      <c r="X406" s="214"/>
    </row>
    <row r="407" spans="1:24" ht="15.75" customHeight="1">
      <c r="A407" s="83"/>
      <c r="B407" s="218">
        <v>15</v>
      </c>
      <c r="C407" s="218">
        <v>4.88</v>
      </c>
      <c r="D407" s="218">
        <v>8.0000000000000004E-4</v>
      </c>
      <c r="E407" s="218">
        <v>4.2099999999999999E-2</v>
      </c>
      <c r="F407" s="218">
        <v>220.48</v>
      </c>
      <c r="G407" s="218">
        <v>407.07</v>
      </c>
      <c r="H407" s="218">
        <v>1.0724</v>
      </c>
      <c r="I407" s="218">
        <v>1.72</v>
      </c>
      <c r="J407" s="218">
        <v>1.3869</v>
      </c>
      <c r="K407" s="218">
        <v>0.97209999999999996</v>
      </c>
      <c r="L407" s="214"/>
      <c r="M407" s="214"/>
      <c r="N407" s="214"/>
      <c r="O407" s="214"/>
      <c r="P407" s="214"/>
      <c r="Q407" s="214"/>
      <c r="R407" s="214"/>
      <c r="S407" s="214"/>
      <c r="T407" s="214"/>
      <c r="U407" s="214"/>
      <c r="V407" s="214"/>
      <c r="W407" s="214"/>
      <c r="X407" s="214"/>
    </row>
    <row r="408" spans="1:24" ht="15.75" customHeight="1">
      <c r="A408" s="83"/>
      <c r="B408" s="218">
        <v>15.1</v>
      </c>
      <c r="C408" s="218">
        <v>4.9000000000000004</v>
      </c>
      <c r="D408" s="218">
        <v>8.0000000000000004E-4</v>
      </c>
      <c r="E408" s="218">
        <v>4.2000000000000003E-2</v>
      </c>
      <c r="F408" s="218">
        <v>220.62</v>
      </c>
      <c r="G408" s="218">
        <v>407.13</v>
      </c>
      <c r="H408" s="218">
        <v>1.0729</v>
      </c>
      <c r="I408" s="218">
        <v>1.7199</v>
      </c>
      <c r="J408" s="218">
        <v>1.3872</v>
      </c>
      <c r="K408" s="218">
        <v>0.97260000000000002</v>
      </c>
      <c r="L408" s="214"/>
      <c r="M408" s="214"/>
      <c r="N408" s="214"/>
      <c r="O408" s="214"/>
      <c r="P408" s="214"/>
      <c r="Q408" s="214"/>
      <c r="R408" s="214"/>
      <c r="S408" s="214"/>
      <c r="T408" s="214"/>
      <c r="U408" s="214"/>
      <c r="V408" s="214"/>
      <c r="W408" s="214"/>
      <c r="X408" s="214"/>
    </row>
    <row r="409" spans="1:24" ht="15.75" customHeight="1">
      <c r="A409" s="83"/>
      <c r="B409" s="218">
        <v>15.2</v>
      </c>
      <c r="C409" s="218">
        <v>4.92</v>
      </c>
      <c r="D409" s="218">
        <v>8.0000000000000004E-4</v>
      </c>
      <c r="E409" s="218">
        <v>4.1799999999999997E-2</v>
      </c>
      <c r="F409" s="218">
        <v>220.76</v>
      </c>
      <c r="G409" s="218">
        <v>407.18</v>
      </c>
      <c r="H409" s="218">
        <v>1.0733999999999999</v>
      </c>
      <c r="I409" s="218">
        <v>1.7199</v>
      </c>
      <c r="J409" s="218">
        <v>1.3875999999999999</v>
      </c>
      <c r="K409" s="218">
        <v>0.97319999999999995</v>
      </c>
      <c r="L409" s="214"/>
      <c r="M409" s="214"/>
      <c r="N409" s="214"/>
      <c r="O409" s="214"/>
      <c r="P409" s="214"/>
      <c r="Q409" s="214"/>
      <c r="R409" s="214"/>
      <c r="S409" s="214"/>
      <c r="T409" s="214"/>
      <c r="U409" s="214"/>
      <c r="V409" s="214"/>
      <c r="W409" s="214"/>
      <c r="X409" s="214"/>
    </row>
    <row r="410" spans="1:24" ht="15.75" customHeight="1">
      <c r="A410" s="83"/>
      <c r="B410" s="218">
        <v>15.3</v>
      </c>
      <c r="C410" s="218">
        <v>4.93</v>
      </c>
      <c r="D410" s="218">
        <v>8.0000000000000004E-4</v>
      </c>
      <c r="E410" s="218">
        <v>4.1700000000000001E-2</v>
      </c>
      <c r="F410" s="218">
        <v>220.9</v>
      </c>
      <c r="G410" s="218">
        <v>407.24</v>
      </c>
      <c r="H410" s="218">
        <v>1.0739000000000001</v>
      </c>
      <c r="I410" s="218">
        <v>1.7199</v>
      </c>
      <c r="J410" s="218">
        <v>1.3878999999999999</v>
      </c>
      <c r="K410" s="218">
        <v>0.97370000000000001</v>
      </c>
      <c r="L410" s="214"/>
      <c r="M410" s="214"/>
      <c r="N410" s="214"/>
      <c r="O410" s="214"/>
      <c r="P410" s="214"/>
      <c r="Q410" s="214"/>
      <c r="R410" s="214"/>
      <c r="S410" s="214"/>
      <c r="T410" s="214"/>
      <c r="U410" s="214"/>
      <c r="V410" s="214"/>
      <c r="W410" s="214"/>
      <c r="X410" s="214"/>
    </row>
    <row r="411" spans="1:24" ht="15.75" customHeight="1">
      <c r="A411" s="83"/>
      <c r="B411" s="218">
        <v>15.4</v>
      </c>
      <c r="C411" s="218">
        <v>4.95</v>
      </c>
      <c r="D411" s="218">
        <v>8.0000000000000004E-4</v>
      </c>
      <c r="E411" s="218">
        <v>4.1599999999999998E-2</v>
      </c>
      <c r="F411" s="218">
        <v>221.04</v>
      </c>
      <c r="G411" s="218">
        <v>407.29</v>
      </c>
      <c r="H411" s="218">
        <v>1.0743</v>
      </c>
      <c r="I411" s="218">
        <v>1.7198</v>
      </c>
      <c r="J411" s="218">
        <v>1.3882000000000001</v>
      </c>
      <c r="K411" s="218">
        <v>0.97430000000000005</v>
      </c>
      <c r="L411" s="214"/>
      <c r="M411" s="214"/>
      <c r="N411" s="214"/>
      <c r="O411" s="214"/>
      <c r="P411" s="214"/>
      <c r="Q411" s="214"/>
      <c r="R411" s="214"/>
      <c r="S411" s="214"/>
      <c r="T411" s="214"/>
      <c r="U411" s="214"/>
      <c r="V411" s="214"/>
      <c r="W411" s="214"/>
      <c r="X411" s="214"/>
    </row>
    <row r="412" spans="1:24" ht="15.75" customHeight="1">
      <c r="A412" s="83"/>
      <c r="B412" s="218">
        <v>15.5</v>
      </c>
      <c r="C412" s="218">
        <v>4.96</v>
      </c>
      <c r="D412" s="218">
        <v>8.0000000000000004E-4</v>
      </c>
      <c r="E412" s="218">
        <v>4.1399999999999999E-2</v>
      </c>
      <c r="F412" s="218">
        <v>221.18</v>
      </c>
      <c r="G412" s="218">
        <v>407.34</v>
      </c>
      <c r="H412" s="218">
        <v>1.0748</v>
      </c>
      <c r="I412" s="218">
        <v>1.7198</v>
      </c>
      <c r="J412" s="218">
        <v>1.3886000000000001</v>
      </c>
      <c r="K412" s="218">
        <v>0.9748</v>
      </c>
      <c r="L412" s="214"/>
      <c r="M412" s="214"/>
      <c r="N412" s="214"/>
      <c r="O412" s="214"/>
      <c r="P412" s="214"/>
      <c r="Q412" s="214"/>
      <c r="R412" s="214"/>
      <c r="S412" s="214"/>
      <c r="T412" s="214"/>
      <c r="U412" s="214"/>
      <c r="V412" s="214"/>
      <c r="W412" s="214"/>
      <c r="X412" s="214"/>
    </row>
    <row r="413" spans="1:24" ht="15.75" customHeight="1">
      <c r="A413" s="83"/>
      <c r="B413" s="218">
        <v>15.6</v>
      </c>
      <c r="C413" s="218">
        <v>4.9800000000000004</v>
      </c>
      <c r="D413" s="218">
        <v>8.0000000000000004E-4</v>
      </c>
      <c r="E413" s="218">
        <v>4.1300000000000003E-2</v>
      </c>
      <c r="F413" s="218">
        <v>221.31</v>
      </c>
      <c r="G413" s="218">
        <v>407.4</v>
      </c>
      <c r="H413" s="218">
        <v>1.0752999999999999</v>
      </c>
      <c r="I413" s="218">
        <v>1.7197</v>
      </c>
      <c r="J413" s="218">
        <v>1.3889</v>
      </c>
      <c r="K413" s="218">
        <v>0.97540000000000004</v>
      </c>
      <c r="L413" s="214"/>
      <c r="M413" s="214"/>
      <c r="N413" s="214"/>
      <c r="O413" s="214"/>
      <c r="P413" s="214"/>
      <c r="Q413" s="214"/>
      <c r="R413" s="214"/>
      <c r="S413" s="214"/>
      <c r="T413" s="214"/>
      <c r="U413" s="214"/>
      <c r="V413" s="214"/>
      <c r="W413" s="214"/>
      <c r="X413" s="214"/>
    </row>
    <row r="414" spans="1:24" ht="15.75" customHeight="1">
      <c r="A414" s="83"/>
      <c r="B414" s="218">
        <v>15.7</v>
      </c>
      <c r="C414" s="218">
        <v>4.99</v>
      </c>
      <c r="D414" s="218">
        <v>8.0000000000000004E-4</v>
      </c>
      <c r="E414" s="218">
        <v>4.1200000000000001E-2</v>
      </c>
      <c r="F414" s="218">
        <v>221.45</v>
      </c>
      <c r="G414" s="218">
        <v>407.45</v>
      </c>
      <c r="H414" s="218">
        <v>1.0758000000000001</v>
      </c>
      <c r="I414" s="218">
        <v>1.7197</v>
      </c>
      <c r="J414" s="218">
        <v>1.3893</v>
      </c>
      <c r="K414" s="218">
        <v>0.97589999999999999</v>
      </c>
      <c r="L414" s="214"/>
      <c r="M414" s="214"/>
      <c r="N414" s="214"/>
      <c r="O414" s="214"/>
      <c r="P414" s="214"/>
      <c r="Q414" s="214"/>
      <c r="R414" s="214"/>
      <c r="S414" s="214"/>
      <c r="T414" s="214"/>
      <c r="U414" s="214"/>
      <c r="V414" s="214"/>
      <c r="W414" s="214"/>
      <c r="X414" s="214"/>
    </row>
    <row r="415" spans="1:24" ht="15.75" customHeight="1">
      <c r="A415" s="83"/>
      <c r="B415" s="218">
        <v>15.8</v>
      </c>
      <c r="C415" s="218">
        <v>5.01</v>
      </c>
      <c r="D415" s="218">
        <v>8.0000000000000004E-4</v>
      </c>
      <c r="E415" s="218">
        <v>4.1000000000000002E-2</v>
      </c>
      <c r="F415" s="218">
        <v>221.59</v>
      </c>
      <c r="G415" s="218">
        <v>407.51</v>
      </c>
      <c r="H415" s="218">
        <v>1.0763</v>
      </c>
      <c r="I415" s="218">
        <v>1.7197</v>
      </c>
      <c r="J415" s="218">
        <v>1.3895999999999999</v>
      </c>
      <c r="K415" s="218">
        <v>0.97650000000000003</v>
      </c>
      <c r="L415" s="214"/>
      <c r="M415" s="214"/>
      <c r="N415" s="214"/>
      <c r="O415" s="214"/>
      <c r="P415" s="214"/>
      <c r="Q415" s="214"/>
      <c r="R415" s="214"/>
      <c r="S415" s="214"/>
      <c r="T415" s="214"/>
      <c r="U415" s="214"/>
      <c r="V415" s="214"/>
      <c r="W415" s="214"/>
      <c r="X415" s="214"/>
    </row>
    <row r="416" spans="1:24" ht="15.75" customHeight="1">
      <c r="A416" s="83"/>
      <c r="B416" s="218">
        <v>15.9</v>
      </c>
      <c r="C416" s="218">
        <v>5.03</v>
      </c>
      <c r="D416" s="218">
        <v>8.0000000000000004E-4</v>
      </c>
      <c r="E416" s="218">
        <v>4.0899999999999999E-2</v>
      </c>
      <c r="F416" s="218">
        <v>221.73</v>
      </c>
      <c r="G416" s="218">
        <v>407.56</v>
      </c>
      <c r="H416" s="218">
        <v>1.0767</v>
      </c>
      <c r="I416" s="218">
        <v>1.7196</v>
      </c>
      <c r="J416" s="218">
        <v>1.39</v>
      </c>
      <c r="K416" s="218">
        <v>0.97699999999999998</v>
      </c>
      <c r="L416" s="214"/>
      <c r="M416" s="214"/>
      <c r="N416" s="214"/>
      <c r="O416" s="214"/>
      <c r="P416" s="214"/>
      <c r="Q416" s="214"/>
      <c r="R416" s="214"/>
      <c r="S416" s="214"/>
      <c r="T416" s="214"/>
      <c r="U416" s="214"/>
      <c r="V416" s="214"/>
      <c r="W416" s="214"/>
      <c r="X416" s="214"/>
    </row>
    <row r="417" spans="1:24" ht="15.75" customHeight="1">
      <c r="A417" s="83"/>
      <c r="B417" s="218">
        <v>16</v>
      </c>
      <c r="C417" s="218">
        <v>5.04</v>
      </c>
      <c r="D417" s="218">
        <v>8.0000000000000004E-4</v>
      </c>
      <c r="E417" s="218">
        <v>4.0800000000000003E-2</v>
      </c>
      <c r="F417" s="218">
        <v>221.87</v>
      </c>
      <c r="G417" s="218">
        <v>407.61</v>
      </c>
      <c r="H417" s="218">
        <v>1.0771999999999999</v>
      </c>
      <c r="I417" s="218">
        <v>1.7196</v>
      </c>
      <c r="J417" s="218">
        <v>1.3903000000000001</v>
      </c>
      <c r="K417" s="218">
        <v>0.97760000000000002</v>
      </c>
      <c r="L417" s="214"/>
      <c r="M417" s="214"/>
      <c r="N417" s="214"/>
      <c r="O417" s="214"/>
      <c r="P417" s="214"/>
      <c r="Q417" s="214"/>
      <c r="R417" s="214"/>
      <c r="S417" s="214"/>
      <c r="T417" s="214"/>
      <c r="U417" s="214"/>
      <c r="V417" s="214"/>
      <c r="W417" s="214"/>
      <c r="X417" s="214"/>
    </row>
    <row r="418" spans="1:24" ht="15.75" customHeight="1">
      <c r="A418" s="83"/>
      <c r="B418" s="218">
        <v>16.100000000000001</v>
      </c>
      <c r="C418" s="218">
        <v>5.0599999999999996</v>
      </c>
      <c r="D418" s="218">
        <v>8.0000000000000004E-4</v>
      </c>
      <c r="E418" s="218">
        <v>4.07E-2</v>
      </c>
      <c r="F418" s="218">
        <v>222.01</v>
      </c>
      <c r="G418" s="218">
        <v>407.67</v>
      </c>
      <c r="H418" s="218">
        <v>1.0777000000000001</v>
      </c>
      <c r="I418" s="218">
        <v>1.7195</v>
      </c>
      <c r="J418" s="218">
        <v>1.3907</v>
      </c>
      <c r="K418" s="218">
        <v>0.97819999999999996</v>
      </c>
      <c r="L418" s="214"/>
      <c r="M418" s="214"/>
      <c r="N418" s="214"/>
      <c r="O418" s="214"/>
      <c r="P418" s="214"/>
      <c r="Q418" s="214"/>
      <c r="R418" s="214"/>
      <c r="S418" s="214"/>
      <c r="T418" s="214"/>
      <c r="U418" s="214"/>
      <c r="V418" s="214"/>
      <c r="W418" s="214"/>
      <c r="X418" s="214"/>
    </row>
    <row r="419" spans="1:24" ht="15.75" customHeight="1">
      <c r="A419" s="83"/>
      <c r="B419" s="218">
        <v>16.2</v>
      </c>
      <c r="C419" s="218">
        <v>5.07</v>
      </c>
      <c r="D419" s="218">
        <v>8.0000000000000004E-4</v>
      </c>
      <c r="E419" s="218">
        <v>4.0500000000000001E-2</v>
      </c>
      <c r="F419" s="218">
        <v>222.15</v>
      </c>
      <c r="G419" s="218">
        <v>407.72</v>
      </c>
      <c r="H419" s="218">
        <v>1.0782</v>
      </c>
      <c r="I419" s="218">
        <v>1.7195</v>
      </c>
      <c r="J419" s="218">
        <v>1.391</v>
      </c>
      <c r="K419" s="218">
        <v>0.97870000000000001</v>
      </c>
      <c r="L419" s="214"/>
      <c r="M419" s="214"/>
      <c r="N419" s="214"/>
      <c r="O419" s="214"/>
      <c r="P419" s="214"/>
      <c r="Q419" s="214"/>
      <c r="R419" s="214"/>
      <c r="S419" s="214"/>
      <c r="T419" s="214"/>
      <c r="U419" s="214"/>
      <c r="V419" s="214"/>
      <c r="W419" s="214"/>
      <c r="X419" s="214"/>
    </row>
    <row r="420" spans="1:24" ht="15.75" customHeight="1">
      <c r="A420" s="83"/>
      <c r="B420" s="218">
        <v>16.3</v>
      </c>
      <c r="C420" s="218">
        <v>5.09</v>
      </c>
      <c r="D420" s="218">
        <v>8.0000000000000004E-4</v>
      </c>
      <c r="E420" s="218">
        <v>4.0399999999999998E-2</v>
      </c>
      <c r="F420" s="218">
        <v>222.29</v>
      </c>
      <c r="G420" s="218">
        <v>407.78</v>
      </c>
      <c r="H420" s="218">
        <v>1.0786</v>
      </c>
      <c r="I420" s="218">
        <v>1.7195</v>
      </c>
      <c r="J420" s="218">
        <v>1.3914</v>
      </c>
      <c r="K420" s="218">
        <v>0.97929999999999995</v>
      </c>
      <c r="L420" s="214"/>
      <c r="M420" s="214"/>
      <c r="N420" s="214"/>
      <c r="O420" s="214"/>
      <c r="P420" s="214"/>
      <c r="Q420" s="214"/>
      <c r="R420" s="214"/>
      <c r="S420" s="214"/>
      <c r="T420" s="214"/>
      <c r="U420" s="214"/>
      <c r="V420" s="214"/>
      <c r="W420" s="214"/>
      <c r="X420" s="214"/>
    </row>
    <row r="421" spans="1:24" ht="15.75" customHeight="1">
      <c r="A421" s="83"/>
      <c r="B421" s="218">
        <v>16.399999999999999</v>
      </c>
      <c r="C421" s="218">
        <v>5.1100000000000003</v>
      </c>
      <c r="D421" s="218">
        <v>8.0000000000000004E-4</v>
      </c>
      <c r="E421" s="218">
        <v>4.0300000000000002E-2</v>
      </c>
      <c r="F421" s="218">
        <v>222.43</v>
      </c>
      <c r="G421" s="218">
        <v>407.83</v>
      </c>
      <c r="H421" s="218">
        <v>1.0790999999999999</v>
      </c>
      <c r="I421" s="218">
        <v>1.7194</v>
      </c>
      <c r="J421" s="218">
        <v>1.3916999999999999</v>
      </c>
      <c r="K421" s="218">
        <v>0.9798</v>
      </c>
      <c r="L421" s="214"/>
      <c r="M421" s="214"/>
      <c r="N421" s="214"/>
      <c r="O421" s="214"/>
      <c r="P421" s="214"/>
      <c r="Q421" s="214"/>
      <c r="R421" s="214"/>
      <c r="S421" s="214"/>
      <c r="T421" s="214"/>
      <c r="U421" s="214"/>
      <c r="V421" s="214"/>
      <c r="W421" s="214"/>
      <c r="X421" s="214"/>
    </row>
    <row r="422" spans="1:24" ht="15.75" customHeight="1">
      <c r="A422" s="83"/>
      <c r="B422" s="218">
        <v>16.5</v>
      </c>
      <c r="C422" s="218">
        <v>5.12</v>
      </c>
      <c r="D422" s="218">
        <v>8.0000000000000004E-4</v>
      </c>
      <c r="E422" s="218">
        <v>4.0099999999999997E-2</v>
      </c>
      <c r="F422" s="218">
        <v>222.57</v>
      </c>
      <c r="G422" s="218">
        <v>407.88</v>
      </c>
      <c r="H422" s="218">
        <v>1.0795999999999999</v>
      </c>
      <c r="I422" s="218">
        <v>1.7194</v>
      </c>
      <c r="J422" s="218">
        <v>1.3920999999999999</v>
      </c>
      <c r="K422" s="218">
        <v>0.98040000000000005</v>
      </c>
      <c r="L422" s="214"/>
      <c r="M422" s="214"/>
      <c r="N422" s="214"/>
      <c r="O422" s="214"/>
      <c r="P422" s="214"/>
      <c r="Q422" s="214"/>
      <c r="R422" s="214"/>
      <c r="S422" s="214"/>
      <c r="T422" s="214"/>
      <c r="U422" s="214"/>
      <c r="V422" s="214"/>
      <c r="W422" s="214"/>
      <c r="X422" s="214"/>
    </row>
    <row r="423" spans="1:24" ht="15.75" customHeight="1">
      <c r="A423" s="83"/>
      <c r="B423" s="218">
        <v>16.600000000000001</v>
      </c>
      <c r="C423" s="218">
        <v>5.14</v>
      </c>
      <c r="D423" s="218">
        <v>8.0000000000000004E-4</v>
      </c>
      <c r="E423" s="218">
        <v>0.04</v>
      </c>
      <c r="F423" s="218">
        <v>222.71</v>
      </c>
      <c r="G423" s="218">
        <v>407.94</v>
      </c>
      <c r="H423" s="218">
        <v>1.0801000000000001</v>
      </c>
      <c r="I423" s="218">
        <v>1.7193000000000001</v>
      </c>
      <c r="J423" s="218">
        <v>1.3924000000000001</v>
      </c>
      <c r="K423" s="218">
        <v>0.98099999999999998</v>
      </c>
      <c r="L423" s="214"/>
      <c r="M423" s="214"/>
      <c r="N423" s="214"/>
      <c r="O423" s="214"/>
      <c r="P423" s="214"/>
      <c r="Q423" s="214"/>
      <c r="R423" s="214"/>
      <c r="S423" s="214"/>
      <c r="T423" s="214"/>
      <c r="U423" s="214"/>
      <c r="V423" s="214"/>
      <c r="W423" s="214"/>
      <c r="X423" s="214"/>
    </row>
    <row r="424" spans="1:24" ht="15.75" customHeight="1">
      <c r="A424" s="83"/>
      <c r="B424" s="218">
        <v>16.7</v>
      </c>
      <c r="C424" s="218">
        <v>5.16</v>
      </c>
      <c r="D424" s="218">
        <v>8.0000000000000004E-4</v>
      </c>
      <c r="E424" s="218">
        <v>3.9899999999999998E-2</v>
      </c>
      <c r="F424" s="218">
        <v>222.85</v>
      </c>
      <c r="G424" s="218">
        <v>407.99</v>
      </c>
      <c r="H424" s="218">
        <v>1.0805</v>
      </c>
      <c r="I424" s="218">
        <v>1.7193000000000001</v>
      </c>
      <c r="J424" s="218">
        <v>1.3928</v>
      </c>
      <c r="K424" s="218">
        <v>0.98150000000000004</v>
      </c>
      <c r="L424" s="214"/>
      <c r="M424" s="214"/>
      <c r="N424" s="214"/>
      <c r="O424" s="214"/>
      <c r="P424" s="214"/>
      <c r="Q424" s="214"/>
      <c r="R424" s="214"/>
      <c r="S424" s="214"/>
      <c r="T424" s="214"/>
      <c r="U424" s="214"/>
      <c r="V424" s="214"/>
      <c r="W424" s="214"/>
      <c r="X424" s="214"/>
    </row>
    <row r="425" spans="1:24" ht="15.75" customHeight="1">
      <c r="A425" s="83"/>
      <c r="B425" s="218">
        <v>16.8</v>
      </c>
      <c r="C425" s="218">
        <v>5.17</v>
      </c>
      <c r="D425" s="218">
        <v>8.0000000000000004E-4</v>
      </c>
      <c r="E425" s="218">
        <v>3.9800000000000002E-2</v>
      </c>
      <c r="F425" s="218">
        <v>222.99</v>
      </c>
      <c r="G425" s="218">
        <v>408.05</v>
      </c>
      <c r="H425" s="218">
        <v>1.081</v>
      </c>
      <c r="I425" s="218">
        <v>1.7193000000000001</v>
      </c>
      <c r="J425" s="218">
        <v>1.3932</v>
      </c>
      <c r="K425" s="218">
        <v>0.98209999999999997</v>
      </c>
      <c r="L425" s="214"/>
      <c r="M425" s="214"/>
      <c r="N425" s="214"/>
      <c r="O425" s="214"/>
      <c r="P425" s="214"/>
      <c r="Q425" s="214"/>
      <c r="R425" s="214"/>
      <c r="S425" s="214"/>
      <c r="T425" s="214"/>
      <c r="U425" s="214"/>
      <c r="V425" s="214"/>
      <c r="W425" s="214"/>
      <c r="X425" s="214"/>
    </row>
    <row r="426" spans="1:24" ht="15.75" customHeight="1">
      <c r="A426" s="83"/>
      <c r="B426" s="218">
        <v>16.899999999999999</v>
      </c>
      <c r="C426" s="218">
        <v>5.19</v>
      </c>
      <c r="D426" s="218">
        <v>8.0000000000000004E-4</v>
      </c>
      <c r="E426" s="218">
        <v>3.9600000000000003E-2</v>
      </c>
      <c r="F426" s="218">
        <v>223.13</v>
      </c>
      <c r="G426" s="218">
        <v>408.1</v>
      </c>
      <c r="H426" s="218">
        <v>1.0814999999999999</v>
      </c>
      <c r="I426" s="218">
        <v>1.7192000000000001</v>
      </c>
      <c r="J426" s="218">
        <v>1.3935</v>
      </c>
      <c r="K426" s="218">
        <v>0.98270000000000002</v>
      </c>
      <c r="L426" s="214"/>
      <c r="M426" s="214"/>
      <c r="N426" s="214"/>
      <c r="O426" s="214"/>
      <c r="P426" s="214"/>
      <c r="Q426" s="214"/>
      <c r="R426" s="214"/>
      <c r="S426" s="214"/>
      <c r="T426" s="214"/>
      <c r="U426" s="214"/>
      <c r="V426" s="214"/>
      <c r="W426" s="214"/>
      <c r="X426" s="214"/>
    </row>
    <row r="427" spans="1:24" ht="15.75" customHeight="1">
      <c r="A427" s="83"/>
      <c r="B427" s="218">
        <v>17</v>
      </c>
      <c r="C427" s="218">
        <v>5.21</v>
      </c>
      <c r="D427" s="218">
        <v>8.0000000000000004E-4</v>
      </c>
      <c r="E427" s="218">
        <v>3.95E-2</v>
      </c>
      <c r="F427" s="218">
        <v>223.26</v>
      </c>
      <c r="G427" s="218">
        <v>408.15</v>
      </c>
      <c r="H427" s="218">
        <v>1.0820000000000001</v>
      </c>
      <c r="I427" s="218">
        <v>1.7192000000000001</v>
      </c>
      <c r="J427" s="218">
        <v>1.3938999999999999</v>
      </c>
      <c r="K427" s="218">
        <v>0.98319999999999996</v>
      </c>
      <c r="L427" s="214"/>
      <c r="M427" s="214"/>
      <c r="N427" s="214"/>
      <c r="O427" s="214"/>
      <c r="P427" s="214"/>
      <c r="Q427" s="214"/>
      <c r="R427" s="214"/>
      <c r="S427" s="214"/>
      <c r="T427" s="214"/>
      <c r="U427" s="214"/>
      <c r="V427" s="214"/>
      <c r="W427" s="214"/>
      <c r="X427" s="214"/>
    </row>
    <row r="428" spans="1:24" ht="15.75" customHeight="1">
      <c r="A428" s="83"/>
      <c r="B428" s="218">
        <v>17.100000000000001</v>
      </c>
      <c r="C428" s="218">
        <v>5.22</v>
      </c>
      <c r="D428" s="218">
        <v>8.0000000000000004E-4</v>
      </c>
      <c r="E428" s="218">
        <v>3.9399999999999998E-2</v>
      </c>
      <c r="F428" s="218">
        <v>223.4</v>
      </c>
      <c r="G428" s="218">
        <v>408.21</v>
      </c>
      <c r="H428" s="218">
        <v>1.0824</v>
      </c>
      <c r="I428" s="218">
        <v>1.7192000000000001</v>
      </c>
      <c r="J428" s="218">
        <v>1.3942000000000001</v>
      </c>
      <c r="K428" s="218">
        <v>0.98380000000000001</v>
      </c>
      <c r="L428" s="214"/>
      <c r="M428" s="214"/>
      <c r="N428" s="214"/>
      <c r="O428" s="214"/>
      <c r="P428" s="214"/>
      <c r="Q428" s="214"/>
      <c r="R428" s="214"/>
      <c r="S428" s="214"/>
      <c r="T428" s="214"/>
      <c r="U428" s="214"/>
      <c r="V428" s="214"/>
      <c r="W428" s="214"/>
      <c r="X428" s="214"/>
    </row>
    <row r="429" spans="1:24" ht="15.75" customHeight="1">
      <c r="A429" s="83"/>
      <c r="B429" s="218">
        <v>17.2</v>
      </c>
      <c r="C429" s="218">
        <v>5.24</v>
      </c>
      <c r="D429" s="218">
        <v>8.0000000000000004E-4</v>
      </c>
      <c r="E429" s="218">
        <v>3.9300000000000002E-2</v>
      </c>
      <c r="F429" s="218">
        <v>223.54</v>
      </c>
      <c r="G429" s="218">
        <v>408.26</v>
      </c>
      <c r="H429" s="218">
        <v>1.0829</v>
      </c>
      <c r="I429" s="218">
        <v>1.7191000000000001</v>
      </c>
      <c r="J429" s="218">
        <v>1.3946000000000001</v>
      </c>
      <c r="K429" s="218">
        <v>0.98440000000000005</v>
      </c>
      <c r="L429" s="214"/>
      <c r="M429" s="214"/>
      <c r="N429" s="214"/>
      <c r="O429" s="214"/>
      <c r="P429" s="214"/>
      <c r="Q429" s="214"/>
      <c r="R429" s="214"/>
      <c r="S429" s="214"/>
      <c r="T429" s="214"/>
      <c r="U429" s="214"/>
      <c r="V429" s="214"/>
      <c r="W429" s="214"/>
      <c r="X429" s="214"/>
    </row>
    <row r="430" spans="1:24" ht="15.75" customHeight="1">
      <c r="A430" s="83"/>
      <c r="B430" s="218">
        <v>17.3</v>
      </c>
      <c r="C430" s="218">
        <v>5.25</v>
      </c>
      <c r="D430" s="218">
        <v>8.0000000000000004E-4</v>
      </c>
      <c r="E430" s="218">
        <v>3.9100000000000003E-2</v>
      </c>
      <c r="F430" s="218">
        <v>223.68</v>
      </c>
      <c r="G430" s="218">
        <v>408.31</v>
      </c>
      <c r="H430" s="218">
        <v>1.0833999999999999</v>
      </c>
      <c r="I430" s="218">
        <v>1.7191000000000001</v>
      </c>
      <c r="J430" s="218">
        <v>1.3949</v>
      </c>
      <c r="K430" s="218">
        <v>0.9849</v>
      </c>
      <c r="L430" s="214"/>
      <c r="M430" s="214"/>
      <c r="N430" s="214"/>
      <c r="O430" s="214"/>
      <c r="P430" s="214"/>
      <c r="Q430" s="214"/>
      <c r="R430" s="214"/>
      <c r="S430" s="214"/>
      <c r="T430" s="214"/>
      <c r="U430" s="214"/>
      <c r="V430" s="214"/>
      <c r="W430" s="214"/>
      <c r="X430" s="214"/>
    </row>
    <row r="431" spans="1:24" ht="15.75" customHeight="1">
      <c r="A431" s="83"/>
      <c r="B431" s="218">
        <v>17.399999999999999</v>
      </c>
      <c r="C431" s="218">
        <v>5.27</v>
      </c>
      <c r="D431" s="218">
        <v>8.0000000000000004E-4</v>
      </c>
      <c r="E431" s="218">
        <v>3.9E-2</v>
      </c>
      <c r="F431" s="218">
        <v>223.82</v>
      </c>
      <c r="G431" s="218">
        <v>408.37</v>
      </c>
      <c r="H431" s="218">
        <v>1.0839000000000001</v>
      </c>
      <c r="I431" s="218">
        <v>1.7190000000000001</v>
      </c>
      <c r="J431" s="218">
        <v>1.3953</v>
      </c>
      <c r="K431" s="218">
        <v>0.98550000000000004</v>
      </c>
      <c r="L431" s="214"/>
      <c r="M431" s="214"/>
      <c r="N431" s="214"/>
      <c r="O431" s="214"/>
      <c r="P431" s="214"/>
      <c r="Q431" s="214"/>
      <c r="R431" s="214"/>
      <c r="S431" s="214"/>
      <c r="T431" s="214"/>
      <c r="U431" s="214"/>
      <c r="V431" s="214"/>
      <c r="W431" s="214"/>
      <c r="X431" s="214"/>
    </row>
    <row r="432" spans="1:24" ht="15.75" customHeight="1">
      <c r="A432" s="83"/>
      <c r="B432" s="218">
        <v>17.5</v>
      </c>
      <c r="C432" s="218">
        <v>5.29</v>
      </c>
      <c r="D432" s="218">
        <v>8.0000000000000004E-4</v>
      </c>
      <c r="E432" s="218">
        <v>3.8899999999999997E-2</v>
      </c>
      <c r="F432" s="218">
        <v>223.96</v>
      </c>
      <c r="G432" s="218">
        <v>408.42</v>
      </c>
      <c r="H432" s="218">
        <v>1.0844</v>
      </c>
      <c r="I432" s="218">
        <v>1.7190000000000001</v>
      </c>
      <c r="J432" s="218">
        <v>1.3956999999999999</v>
      </c>
      <c r="K432" s="218">
        <v>0.98609999999999998</v>
      </c>
      <c r="L432" s="214"/>
      <c r="M432" s="214"/>
      <c r="N432" s="214"/>
      <c r="O432" s="214"/>
      <c r="P432" s="214"/>
      <c r="Q432" s="214"/>
      <c r="R432" s="214"/>
      <c r="S432" s="214"/>
      <c r="T432" s="214"/>
      <c r="U432" s="214"/>
      <c r="V432" s="214"/>
      <c r="W432" s="214"/>
      <c r="X432" s="214"/>
    </row>
    <row r="433" spans="1:24" ht="15.75" customHeight="1">
      <c r="A433" s="83"/>
      <c r="B433" s="218">
        <v>17.600000000000001</v>
      </c>
      <c r="C433" s="218">
        <v>5.3</v>
      </c>
      <c r="D433" s="218">
        <v>8.0000000000000004E-4</v>
      </c>
      <c r="E433" s="218">
        <v>3.8800000000000001E-2</v>
      </c>
      <c r="F433" s="218">
        <v>224.1</v>
      </c>
      <c r="G433" s="218">
        <v>408.47</v>
      </c>
      <c r="H433" s="218">
        <v>1.0848</v>
      </c>
      <c r="I433" s="218">
        <v>1.7190000000000001</v>
      </c>
      <c r="J433" s="218">
        <v>1.3959999999999999</v>
      </c>
      <c r="K433" s="218">
        <v>0.98670000000000002</v>
      </c>
      <c r="L433" s="214"/>
      <c r="M433" s="214"/>
      <c r="N433" s="214"/>
      <c r="O433" s="214"/>
      <c r="P433" s="214"/>
      <c r="Q433" s="214"/>
      <c r="R433" s="214"/>
      <c r="S433" s="214"/>
      <c r="T433" s="214"/>
      <c r="U433" s="214"/>
      <c r="V433" s="214"/>
      <c r="W433" s="214"/>
      <c r="X433" s="214"/>
    </row>
    <row r="434" spans="1:24" ht="15.75" customHeight="1">
      <c r="A434" s="83"/>
      <c r="B434" s="218">
        <v>17.7</v>
      </c>
      <c r="C434" s="218">
        <v>5.32</v>
      </c>
      <c r="D434" s="218">
        <v>8.0000000000000004E-4</v>
      </c>
      <c r="E434" s="218">
        <v>3.8699999999999998E-2</v>
      </c>
      <c r="F434" s="218">
        <v>224.24</v>
      </c>
      <c r="G434" s="218">
        <v>408.53</v>
      </c>
      <c r="H434" s="218">
        <v>1.0852999999999999</v>
      </c>
      <c r="I434" s="218">
        <v>1.7189000000000001</v>
      </c>
      <c r="J434" s="218">
        <v>1.3964000000000001</v>
      </c>
      <c r="K434" s="218">
        <v>0.98719999999999997</v>
      </c>
      <c r="L434" s="214"/>
      <c r="M434" s="214"/>
      <c r="N434" s="214"/>
      <c r="O434" s="214"/>
      <c r="P434" s="214"/>
      <c r="Q434" s="214"/>
      <c r="R434" s="214"/>
      <c r="S434" s="214"/>
      <c r="T434" s="214"/>
      <c r="U434" s="214"/>
      <c r="V434" s="214"/>
      <c r="W434" s="214"/>
      <c r="X434" s="214"/>
    </row>
    <row r="435" spans="1:24" ht="15.75" customHeight="1">
      <c r="A435" s="83"/>
      <c r="B435" s="218">
        <v>17.8</v>
      </c>
      <c r="C435" s="218">
        <v>5.34</v>
      </c>
      <c r="D435" s="218">
        <v>8.0000000000000004E-4</v>
      </c>
      <c r="E435" s="218">
        <v>3.85E-2</v>
      </c>
      <c r="F435" s="218">
        <v>224.38</v>
      </c>
      <c r="G435" s="218">
        <v>408.58</v>
      </c>
      <c r="H435" s="218">
        <v>1.0858000000000001</v>
      </c>
      <c r="I435" s="218">
        <v>1.7189000000000001</v>
      </c>
      <c r="J435" s="218">
        <v>1.3967000000000001</v>
      </c>
      <c r="K435" s="218">
        <v>0.98780000000000001</v>
      </c>
      <c r="L435" s="214"/>
      <c r="M435" s="214"/>
      <c r="N435" s="214"/>
      <c r="O435" s="214"/>
      <c r="P435" s="214"/>
      <c r="Q435" s="214"/>
      <c r="R435" s="214"/>
      <c r="S435" s="214"/>
      <c r="T435" s="214"/>
      <c r="U435" s="214"/>
      <c r="V435" s="214"/>
      <c r="W435" s="214"/>
      <c r="X435" s="214"/>
    </row>
    <row r="436" spans="1:24" ht="15.75" customHeight="1">
      <c r="A436" s="83"/>
      <c r="B436" s="218">
        <v>17.899999999999999</v>
      </c>
      <c r="C436" s="218">
        <v>5.35</v>
      </c>
      <c r="D436" s="218">
        <v>8.0000000000000004E-4</v>
      </c>
      <c r="E436" s="218">
        <v>3.8399999999999997E-2</v>
      </c>
      <c r="F436" s="218">
        <v>224.52</v>
      </c>
      <c r="G436" s="218">
        <v>408.64</v>
      </c>
      <c r="H436" s="218">
        <v>1.0863</v>
      </c>
      <c r="I436" s="218">
        <v>1.7188000000000001</v>
      </c>
      <c r="J436" s="218">
        <v>1.3971</v>
      </c>
      <c r="K436" s="218">
        <v>0.98839999999999995</v>
      </c>
      <c r="L436" s="214"/>
      <c r="M436" s="214"/>
      <c r="N436" s="214"/>
      <c r="O436" s="214"/>
      <c r="P436" s="214"/>
      <c r="Q436" s="214"/>
      <c r="R436" s="214"/>
      <c r="S436" s="214"/>
      <c r="T436" s="214"/>
      <c r="U436" s="214"/>
      <c r="V436" s="214"/>
      <c r="W436" s="214"/>
      <c r="X436" s="214"/>
    </row>
    <row r="437" spans="1:24" ht="15.75" customHeight="1">
      <c r="A437" s="83"/>
      <c r="B437" s="218">
        <v>18</v>
      </c>
      <c r="C437" s="218">
        <v>5.37</v>
      </c>
      <c r="D437" s="218">
        <v>8.0000000000000004E-4</v>
      </c>
      <c r="E437" s="218">
        <v>3.8300000000000001E-2</v>
      </c>
      <c r="F437" s="218">
        <v>224.66</v>
      </c>
      <c r="G437" s="218">
        <v>408.69</v>
      </c>
      <c r="H437" s="218">
        <v>1.0867</v>
      </c>
      <c r="I437" s="218">
        <v>1.7188000000000001</v>
      </c>
      <c r="J437" s="218">
        <v>1.3975</v>
      </c>
      <c r="K437" s="218">
        <v>0.98899999999999999</v>
      </c>
      <c r="L437" s="214"/>
      <c r="M437" s="214"/>
      <c r="N437" s="214"/>
      <c r="O437" s="214"/>
      <c r="P437" s="214"/>
      <c r="Q437" s="214"/>
      <c r="R437" s="214"/>
      <c r="S437" s="214"/>
      <c r="T437" s="214"/>
      <c r="U437" s="214"/>
      <c r="V437" s="214"/>
      <c r="W437" s="214"/>
      <c r="X437" s="214"/>
    </row>
    <row r="438" spans="1:24" ht="15.75" customHeight="1">
      <c r="A438" s="83"/>
      <c r="B438" s="218">
        <v>18.100000000000001</v>
      </c>
      <c r="C438" s="218">
        <v>5.39</v>
      </c>
      <c r="D438" s="218">
        <v>8.0000000000000004E-4</v>
      </c>
      <c r="E438" s="218">
        <v>3.8199999999999998E-2</v>
      </c>
      <c r="F438" s="218">
        <v>224.8</v>
      </c>
      <c r="G438" s="218">
        <v>408.74</v>
      </c>
      <c r="H438" s="218">
        <v>1.0871999999999999</v>
      </c>
      <c r="I438" s="218">
        <v>1.7188000000000001</v>
      </c>
      <c r="J438" s="218">
        <v>1.3977999999999999</v>
      </c>
      <c r="K438" s="218">
        <v>0.98950000000000005</v>
      </c>
      <c r="L438" s="214"/>
      <c r="M438" s="214"/>
      <c r="N438" s="214"/>
      <c r="O438" s="214"/>
      <c r="P438" s="214"/>
      <c r="Q438" s="214"/>
      <c r="R438" s="214"/>
      <c r="S438" s="214"/>
      <c r="T438" s="214"/>
      <c r="U438" s="214"/>
      <c r="V438" s="214"/>
      <c r="W438" s="214"/>
      <c r="X438" s="214"/>
    </row>
    <row r="439" spans="1:24" ht="15.75" customHeight="1">
      <c r="A439" s="83"/>
      <c r="B439" s="218">
        <v>18.2</v>
      </c>
      <c r="C439" s="218">
        <v>5.41</v>
      </c>
      <c r="D439" s="218">
        <v>8.0000000000000004E-4</v>
      </c>
      <c r="E439" s="218">
        <v>3.8100000000000002E-2</v>
      </c>
      <c r="F439" s="218">
        <v>224.94</v>
      </c>
      <c r="G439" s="218">
        <v>408.8</v>
      </c>
      <c r="H439" s="218">
        <v>1.0876999999999999</v>
      </c>
      <c r="I439" s="218">
        <v>1.7186999999999999</v>
      </c>
      <c r="J439" s="218">
        <v>1.3982000000000001</v>
      </c>
      <c r="K439" s="218">
        <v>0.99009999999999998</v>
      </c>
      <c r="L439" s="214"/>
      <c r="M439" s="214"/>
      <c r="N439" s="214"/>
      <c r="O439" s="214"/>
      <c r="P439" s="214"/>
      <c r="Q439" s="214"/>
      <c r="R439" s="214"/>
      <c r="S439" s="214"/>
      <c r="T439" s="214"/>
      <c r="U439" s="214"/>
      <c r="V439" s="214"/>
      <c r="W439" s="214"/>
      <c r="X439" s="214"/>
    </row>
    <row r="440" spans="1:24" ht="15.75" customHeight="1">
      <c r="A440" s="83"/>
      <c r="B440" s="218">
        <v>18.3</v>
      </c>
      <c r="C440" s="218">
        <v>5.42</v>
      </c>
      <c r="D440" s="218">
        <v>8.0000000000000004E-4</v>
      </c>
      <c r="E440" s="218">
        <v>3.7900000000000003E-2</v>
      </c>
      <c r="F440" s="218">
        <v>225.08</v>
      </c>
      <c r="G440" s="218">
        <v>408.85</v>
      </c>
      <c r="H440" s="218">
        <v>1.0882000000000001</v>
      </c>
      <c r="I440" s="218">
        <v>1.7186999999999999</v>
      </c>
      <c r="J440" s="218">
        <v>1.3986000000000001</v>
      </c>
      <c r="K440" s="218">
        <v>0.99070000000000003</v>
      </c>
      <c r="L440" s="214"/>
      <c r="M440" s="214"/>
      <c r="N440" s="214"/>
      <c r="O440" s="214"/>
      <c r="P440" s="214"/>
      <c r="Q440" s="214"/>
      <c r="R440" s="214"/>
      <c r="S440" s="214"/>
      <c r="T440" s="214"/>
      <c r="U440" s="214"/>
      <c r="V440" s="214"/>
      <c r="W440" s="214"/>
      <c r="X440" s="214"/>
    </row>
    <row r="441" spans="1:24" ht="15.75" customHeight="1">
      <c r="A441" s="83"/>
      <c r="B441" s="218">
        <v>18.399999999999999</v>
      </c>
      <c r="C441" s="218">
        <v>5.44</v>
      </c>
      <c r="D441" s="218">
        <v>8.0000000000000004E-4</v>
      </c>
      <c r="E441" s="218">
        <v>3.78E-2</v>
      </c>
      <c r="F441" s="218">
        <v>225.22</v>
      </c>
      <c r="G441" s="218">
        <v>408.9</v>
      </c>
      <c r="H441" s="218">
        <v>1.0886</v>
      </c>
      <c r="I441" s="218">
        <v>1.7185999999999999</v>
      </c>
      <c r="J441" s="218">
        <v>1.3989</v>
      </c>
      <c r="K441" s="218">
        <v>0.99129999999999996</v>
      </c>
      <c r="L441" s="214"/>
      <c r="M441" s="214"/>
      <c r="N441" s="214"/>
      <c r="O441" s="214"/>
      <c r="P441" s="214"/>
      <c r="Q441" s="214"/>
      <c r="R441" s="214"/>
      <c r="S441" s="214"/>
      <c r="T441" s="214"/>
      <c r="U441" s="214"/>
      <c r="V441" s="214"/>
      <c r="W441" s="214"/>
      <c r="X441" s="214"/>
    </row>
    <row r="442" spans="1:24" ht="15.75" customHeight="1">
      <c r="A442" s="83"/>
      <c r="B442" s="218">
        <v>18.5</v>
      </c>
      <c r="C442" s="218">
        <v>5.46</v>
      </c>
      <c r="D442" s="218">
        <v>8.0000000000000004E-4</v>
      </c>
      <c r="E442" s="218">
        <v>3.7699999999999997E-2</v>
      </c>
      <c r="F442" s="218">
        <v>225.36</v>
      </c>
      <c r="G442" s="218">
        <v>408.95</v>
      </c>
      <c r="H442" s="218">
        <v>1.0891</v>
      </c>
      <c r="I442" s="218">
        <v>1.7185999999999999</v>
      </c>
      <c r="J442" s="218">
        <v>1.3993</v>
      </c>
      <c r="K442" s="218">
        <v>0.99180000000000001</v>
      </c>
      <c r="L442" s="214"/>
      <c r="M442" s="214"/>
      <c r="N442" s="214"/>
      <c r="O442" s="214"/>
      <c r="P442" s="214"/>
      <c r="Q442" s="214"/>
      <c r="R442" s="214"/>
      <c r="S442" s="214"/>
      <c r="T442" s="214"/>
      <c r="U442" s="214"/>
      <c r="V442" s="214"/>
      <c r="W442" s="214"/>
      <c r="X442" s="214"/>
    </row>
    <row r="443" spans="1:24" ht="15.75" customHeight="1">
      <c r="A443" s="83"/>
      <c r="B443" s="218">
        <v>18.600000000000001</v>
      </c>
      <c r="C443" s="218">
        <v>5.47</v>
      </c>
      <c r="D443" s="218">
        <v>8.0000000000000004E-4</v>
      </c>
      <c r="E443" s="218">
        <v>3.7600000000000001E-2</v>
      </c>
      <c r="F443" s="218">
        <v>225.5</v>
      </c>
      <c r="G443" s="218">
        <v>409.01</v>
      </c>
      <c r="H443" s="218">
        <v>1.0895999999999999</v>
      </c>
      <c r="I443" s="218">
        <v>1.7185999999999999</v>
      </c>
      <c r="J443" s="218">
        <v>1.3996999999999999</v>
      </c>
      <c r="K443" s="218">
        <v>0.99239999999999995</v>
      </c>
      <c r="L443" s="214"/>
      <c r="M443" s="214"/>
      <c r="N443" s="214"/>
      <c r="O443" s="214"/>
      <c r="P443" s="214"/>
      <c r="Q443" s="214"/>
      <c r="R443" s="214"/>
      <c r="S443" s="214"/>
      <c r="T443" s="214"/>
      <c r="U443" s="214"/>
      <c r="V443" s="214"/>
      <c r="W443" s="214"/>
      <c r="X443" s="214"/>
    </row>
    <row r="444" spans="1:24" ht="15.75" customHeight="1">
      <c r="A444" s="83"/>
      <c r="B444" s="218">
        <v>18.7</v>
      </c>
      <c r="C444" s="218">
        <v>5.49</v>
      </c>
      <c r="D444" s="218">
        <v>8.0000000000000004E-4</v>
      </c>
      <c r="E444" s="218">
        <v>3.7499999999999999E-2</v>
      </c>
      <c r="F444" s="218">
        <v>225.64</v>
      </c>
      <c r="G444" s="218">
        <v>409.06</v>
      </c>
      <c r="H444" s="218">
        <v>1.0901000000000001</v>
      </c>
      <c r="I444" s="218">
        <v>1.7184999999999999</v>
      </c>
      <c r="J444" s="218">
        <v>1.4</v>
      </c>
      <c r="K444" s="218">
        <v>0.99299999999999999</v>
      </c>
      <c r="L444" s="214"/>
      <c r="M444" s="214"/>
      <c r="N444" s="214"/>
      <c r="O444" s="214"/>
      <c r="P444" s="214"/>
      <c r="Q444" s="214"/>
      <c r="R444" s="214"/>
      <c r="S444" s="214"/>
      <c r="T444" s="214"/>
      <c r="U444" s="214"/>
      <c r="V444" s="214"/>
      <c r="W444" s="214"/>
      <c r="X444" s="214"/>
    </row>
    <row r="445" spans="1:24" ht="15.75" customHeight="1">
      <c r="A445" s="83"/>
      <c r="B445" s="218">
        <v>18.8</v>
      </c>
      <c r="C445" s="218">
        <v>5.51</v>
      </c>
      <c r="D445" s="218">
        <v>8.0000000000000004E-4</v>
      </c>
      <c r="E445" s="218">
        <v>3.7400000000000003E-2</v>
      </c>
      <c r="F445" s="218">
        <v>225.78</v>
      </c>
      <c r="G445" s="218">
        <v>409.11</v>
      </c>
      <c r="H445" s="218">
        <v>1.0905</v>
      </c>
      <c r="I445" s="218">
        <v>1.7184999999999999</v>
      </c>
      <c r="J445" s="218">
        <v>1.4004000000000001</v>
      </c>
      <c r="K445" s="218">
        <v>0.99360000000000004</v>
      </c>
      <c r="L445" s="214"/>
      <c r="M445" s="214"/>
      <c r="N445" s="214"/>
      <c r="O445" s="214"/>
      <c r="P445" s="214"/>
      <c r="Q445" s="214"/>
      <c r="R445" s="214"/>
      <c r="S445" s="214"/>
      <c r="T445" s="214"/>
      <c r="U445" s="214"/>
      <c r="V445" s="214"/>
      <c r="W445" s="214"/>
      <c r="X445" s="214"/>
    </row>
    <row r="446" spans="1:24" ht="15.75" customHeight="1">
      <c r="A446" s="83"/>
      <c r="B446" s="218">
        <v>18.899999999999999</v>
      </c>
      <c r="C446" s="218">
        <v>5.53</v>
      </c>
      <c r="D446" s="218">
        <v>8.0000000000000004E-4</v>
      </c>
      <c r="E446" s="218">
        <v>3.7199999999999997E-2</v>
      </c>
      <c r="F446" s="218">
        <v>225.92</v>
      </c>
      <c r="G446" s="218">
        <v>409.17</v>
      </c>
      <c r="H446" s="218">
        <v>1.091</v>
      </c>
      <c r="I446" s="218">
        <v>1.7184999999999999</v>
      </c>
      <c r="J446" s="218">
        <v>1.4008</v>
      </c>
      <c r="K446" s="218">
        <v>0.99419999999999997</v>
      </c>
      <c r="L446" s="214"/>
      <c r="M446" s="214"/>
      <c r="N446" s="214"/>
      <c r="O446" s="214"/>
      <c r="P446" s="214"/>
      <c r="Q446" s="214"/>
      <c r="R446" s="214"/>
      <c r="S446" s="214"/>
      <c r="T446" s="214"/>
      <c r="U446" s="214"/>
      <c r="V446" s="214"/>
      <c r="W446" s="214"/>
      <c r="X446" s="214"/>
    </row>
    <row r="447" spans="1:24" ht="15.75" customHeight="1">
      <c r="A447" s="83"/>
      <c r="B447" s="218">
        <v>19</v>
      </c>
      <c r="C447" s="218">
        <v>5.54</v>
      </c>
      <c r="D447" s="218">
        <v>8.0000000000000004E-4</v>
      </c>
      <c r="E447" s="218">
        <v>3.7100000000000001E-2</v>
      </c>
      <c r="F447" s="218">
        <v>226.06</v>
      </c>
      <c r="G447" s="218">
        <v>409.22</v>
      </c>
      <c r="H447" s="218">
        <v>1.0914999999999999</v>
      </c>
      <c r="I447" s="218">
        <v>1.7183999999999999</v>
      </c>
      <c r="J447" s="218">
        <v>1.4011</v>
      </c>
      <c r="K447" s="218">
        <v>0.99480000000000002</v>
      </c>
      <c r="L447" s="214"/>
      <c r="M447" s="214"/>
      <c r="N447" s="214"/>
      <c r="O447" s="214"/>
      <c r="P447" s="214"/>
      <c r="Q447" s="214"/>
      <c r="R447" s="214"/>
      <c r="S447" s="214"/>
      <c r="T447" s="214"/>
      <c r="U447" s="214"/>
      <c r="V447" s="214"/>
      <c r="W447" s="214"/>
      <c r="X447" s="214"/>
    </row>
    <row r="448" spans="1:24" ht="15.75" customHeight="1">
      <c r="A448" s="83"/>
      <c r="B448" s="218">
        <v>19.100000000000001</v>
      </c>
      <c r="C448" s="218">
        <v>5.56</v>
      </c>
      <c r="D448" s="218">
        <v>8.0000000000000004E-4</v>
      </c>
      <c r="E448" s="218">
        <v>3.6999999999999998E-2</v>
      </c>
      <c r="F448" s="218">
        <v>226.2</v>
      </c>
      <c r="G448" s="218">
        <v>409.27</v>
      </c>
      <c r="H448" s="218">
        <v>1.0920000000000001</v>
      </c>
      <c r="I448" s="218">
        <v>1.7183999999999999</v>
      </c>
      <c r="J448" s="218">
        <v>1.4015</v>
      </c>
      <c r="K448" s="218">
        <v>0.99529999999999996</v>
      </c>
      <c r="L448" s="214"/>
      <c r="M448" s="214"/>
      <c r="N448" s="214"/>
      <c r="O448" s="214"/>
      <c r="P448" s="214"/>
      <c r="Q448" s="214"/>
      <c r="R448" s="214"/>
      <c r="S448" s="214"/>
      <c r="T448" s="214"/>
      <c r="U448" s="214"/>
      <c r="V448" s="214"/>
      <c r="W448" s="214"/>
      <c r="X448" s="214"/>
    </row>
    <row r="449" spans="1:24" ht="15.75" customHeight="1">
      <c r="A449" s="83"/>
      <c r="B449" s="218">
        <v>19.2</v>
      </c>
      <c r="C449" s="218">
        <v>5.58</v>
      </c>
      <c r="D449" s="218">
        <v>8.0000000000000004E-4</v>
      </c>
      <c r="E449" s="218">
        <v>3.6900000000000002E-2</v>
      </c>
      <c r="F449" s="218">
        <v>226.34</v>
      </c>
      <c r="G449" s="218">
        <v>409.33</v>
      </c>
      <c r="H449" s="218">
        <v>1.0924</v>
      </c>
      <c r="I449" s="218">
        <v>1.7182999999999999</v>
      </c>
      <c r="J449" s="218">
        <v>1.4018999999999999</v>
      </c>
      <c r="K449" s="218">
        <v>0.99590000000000001</v>
      </c>
      <c r="L449" s="214"/>
      <c r="M449" s="214"/>
      <c r="N449" s="214"/>
      <c r="O449" s="214"/>
      <c r="P449" s="214"/>
      <c r="Q449" s="214"/>
      <c r="R449" s="214"/>
      <c r="S449" s="214"/>
      <c r="T449" s="214"/>
      <c r="U449" s="214"/>
      <c r="V449" s="214"/>
      <c r="W449" s="214"/>
      <c r="X449" s="214"/>
    </row>
    <row r="450" spans="1:24" ht="15.75" customHeight="1">
      <c r="A450" s="83"/>
      <c r="B450" s="218">
        <v>19.3</v>
      </c>
      <c r="C450" s="218">
        <v>5.59</v>
      </c>
      <c r="D450" s="218">
        <v>8.0000000000000004E-4</v>
      </c>
      <c r="E450" s="218">
        <v>3.6799999999999999E-2</v>
      </c>
      <c r="F450" s="218">
        <v>226.48</v>
      </c>
      <c r="G450" s="218">
        <v>409.38</v>
      </c>
      <c r="H450" s="218">
        <v>1.0929</v>
      </c>
      <c r="I450" s="218">
        <v>1.7182999999999999</v>
      </c>
      <c r="J450" s="218">
        <v>1.4021999999999999</v>
      </c>
      <c r="K450" s="218">
        <v>0.99650000000000005</v>
      </c>
      <c r="L450" s="214"/>
      <c r="M450" s="214"/>
      <c r="N450" s="214"/>
      <c r="O450" s="214"/>
      <c r="P450" s="214"/>
      <c r="Q450" s="214"/>
      <c r="R450" s="214"/>
      <c r="S450" s="214"/>
      <c r="T450" s="214"/>
      <c r="U450" s="214"/>
      <c r="V450" s="214"/>
      <c r="W450" s="214"/>
      <c r="X450" s="214"/>
    </row>
    <row r="451" spans="1:24" ht="15.75" customHeight="1">
      <c r="A451" s="83"/>
      <c r="B451" s="218">
        <v>19.399999999999999</v>
      </c>
      <c r="C451" s="218">
        <v>5.61</v>
      </c>
      <c r="D451" s="218">
        <v>8.0000000000000004E-4</v>
      </c>
      <c r="E451" s="218">
        <v>3.6700000000000003E-2</v>
      </c>
      <c r="F451" s="218">
        <v>226.62</v>
      </c>
      <c r="G451" s="218">
        <v>409.43</v>
      </c>
      <c r="H451" s="218">
        <v>1.0933999999999999</v>
      </c>
      <c r="I451" s="218">
        <v>1.7182999999999999</v>
      </c>
      <c r="J451" s="218">
        <v>1.4026000000000001</v>
      </c>
      <c r="K451" s="218">
        <v>0.99709999999999999</v>
      </c>
      <c r="L451" s="214"/>
      <c r="M451" s="214"/>
      <c r="N451" s="214"/>
      <c r="O451" s="214"/>
      <c r="P451" s="214"/>
      <c r="Q451" s="214"/>
      <c r="R451" s="214"/>
      <c r="S451" s="214"/>
      <c r="T451" s="214"/>
      <c r="U451" s="214"/>
      <c r="V451" s="214"/>
      <c r="W451" s="214"/>
      <c r="X451" s="214"/>
    </row>
    <row r="452" spans="1:24" ht="15.75" customHeight="1">
      <c r="A452" s="83"/>
      <c r="B452" s="218">
        <v>19.5</v>
      </c>
      <c r="C452" s="218">
        <v>5.63</v>
      </c>
      <c r="D452" s="218">
        <v>8.0000000000000004E-4</v>
      </c>
      <c r="E452" s="218">
        <v>3.6600000000000001E-2</v>
      </c>
      <c r="F452" s="218">
        <v>226.77</v>
      </c>
      <c r="G452" s="218">
        <v>409.48</v>
      </c>
      <c r="H452" s="218">
        <v>1.0939000000000001</v>
      </c>
      <c r="I452" s="218">
        <v>1.7181999999999999</v>
      </c>
      <c r="J452" s="218">
        <v>1.403</v>
      </c>
      <c r="K452" s="218">
        <v>0.99770000000000003</v>
      </c>
      <c r="L452" s="214"/>
      <c r="M452" s="214"/>
      <c r="N452" s="214"/>
      <c r="O452" s="214"/>
      <c r="P452" s="214"/>
      <c r="Q452" s="214"/>
      <c r="R452" s="214"/>
      <c r="S452" s="214"/>
      <c r="T452" s="214"/>
      <c r="U452" s="214"/>
      <c r="V452" s="214"/>
      <c r="W452" s="214"/>
      <c r="X452" s="214"/>
    </row>
    <row r="453" spans="1:24" ht="15.75" customHeight="1">
      <c r="A453" s="83"/>
      <c r="B453" s="218">
        <v>19.600000000000001</v>
      </c>
      <c r="C453" s="218">
        <v>5.65</v>
      </c>
      <c r="D453" s="218">
        <v>8.0000000000000004E-4</v>
      </c>
      <c r="E453" s="218">
        <v>3.6400000000000002E-2</v>
      </c>
      <c r="F453" s="218">
        <v>226.91</v>
      </c>
      <c r="G453" s="218">
        <v>409.54</v>
      </c>
      <c r="H453" s="218">
        <v>1.0943000000000001</v>
      </c>
      <c r="I453" s="218">
        <v>1.7181999999999999</v>
      </c>
      <c r="J453" s="218">
        <v>1.4034</v>
      </c>
      <c r="K453" s="218">
        <v>0.99829999999999997</v>
      </c>
      <c r="L453" s="214"/>
      <c r="M453" s="214"/>
      <c r="N453" s="214"/>
      <c r="O453" s="214"/>
      <c r="P453" s="214"/>
      <c r="Q453" s="214"/>
      <c r="R453" s="214"/>
      <c r="S453" s="214"/>
      <c r="T453" s="214"/>
      <c r="U453" s="214"/>
      <c r="V453" s="214"/>
      <c r="W453" s="214"/>
      <c r="X453" s="214"/>
    </row>
    <row r="454" spans="1:24" ht="15.75" customHeight="1">
      <c r="A454" s="83"/>
      <c r="B454" s="218">
        <v>19.7</v>
      </c>
      <c r="C454" s="218">
        <v>5.66</v>
      </c>
      <c r="D454" s="218">
        <v>8.0000000000000004E-4</v>
      </c>
      <c r="E454" s="218">
        <v>3.6299999999999999E-2</v>
      </c>
      <c r="F454" s="218">
        <v>227.05</v>
      </c>
      <c r="G454" s="218">
        <v>409.59</v>
      </c>
      <c r="H454" s="218">
        <v>1.0948</v>
      </c>
      <c r="I454" s="218">
        <v>1.7181999999999999</v>
      </c>
      <c r="J454" s="218">
        <v>1.4036999999999999</v>
      </c>
      <c r="K454" s="218">
        <v>0.99890000000000001</v>
      </c>
      <c r="L454" s="214"/>
      <c r="M454" s="214"/>
      <c r="N454" s="214"/>
      <c r="O454" s="214"/>
      <c r="P454" s="214"/>
      <c r="Q454" s="214"/>
      <c r="R454" s="214"/>
      <c r="S454" s="214"/>
      <c r="T454" s="214"/>
      <c r="U454" s="214"/>
      <c r="V454" s="214"/>
      <c r="W454" s="214"/>
      <c r="X454" s="214"/>
    </row>
    <row r="455" spans="1:24" ht="15.75" customHeight="1">
      <c r="A455" s="83"/>
      <c r="B455" s="218">
        <v>19.8</v>
      </c>
      <c r="C455" s="218">
        <v>5.68</v>
      </c>
      <c r="D455" s="218">
        <v>8.0000000000000004E-4</v>
      </c>
      <c r="E455" s="218">
        <v>3.6200000000000003E-2</v>
      </c>
      <c r="F455" s="218">
        <v>227.19</v>
      </c>
      <c r="G455" s="218">
        <v>409.64</v>
      </c>
      <c r="H455" s="218">
        <v>1.0952999999999999</v>
      </c>
      <c r="I455" s="218">
        <v>1.7181</v>
      </c>
      <c r="J455" s="218">
        <v>1.4040999999999999</v>
      </c>
      <c r="K455" s="218">
        <v>0.99950000000000006</v>
      </c>
      <c r="L455" s="214"/>
      <c r="M455" s="214"/>
      <c r="N455" s="214"/>
      <c r="O455" s="214"/>
      <c r="P455" s="214"/>
      <c r="Q455" s="214"/>
      <c r="R455" s="214"/>
      <c r="S455" s="214"/>
      <c r="T455" s="214"/>
      <c r="U455" s="214"/>
      <c r="V455" s="214"/>
      <c r="W455" s="214"/>
      <c r="X455" s="214"/>
    </row>
    <row r="456" spans="1:24" ht="15.75" customHeight="1">
      <c r="A456" s="83"/>
      <c r="B456" s="218">
        <v>19.899999999999999</v>
      </c>
      <c r="C456" s="218">
        <v>5.7</v>
      </c>
      <c r="D456" s="218">
        <v>8.0000000000000004E-4</v>
      </c>
      <c r="E456" s="218">
        <v>3.61E-2</v>
      </c>
      <c r="F456" s="218">
        <v>227.33</v>
      </c>
      <c r="G456" s="218">
        <v>409.7</v>
      </c>
      <c r="H456" s="218">
        <v>1.0958000000000001</v>
      </c>
      <c r="I456" s="218">
        <v>1.7181</v>
      </c>
      <c r="J456" s="218">
        <v>1.4045000000000001</v>
      </c>
      <c r="K456" s="218">
        <v>1.0001</v>
      </c>
      <c r="L456" s="214"/>
      <c r="M456" s="214"/>
      <c r="N456" s="214"/>
      <c r="O456" s="214"/>
      <c r="P456" s="214"/>
      <c r="Q456" s="214"/>
      <c r="R456" s="214"/>
      <c r="S456" s="214"/>
      <c r="T456" s="214"/>
      <c r="U456" s="214"/>
      <c r="V456" s="214"/>
      <c r="W456" s="214"/>
      <c r="X456" s="214"/>
    </row>
    <row r="457" spans="1:24" ht="15.75" customHeight="1">
      <c r="A457" s="83"/>
      <c r="B457" s="218">
        <v>20</v>
      </c>
      <c r="C457" s="218">
        <v>5.72</v>
      </c>
      <c r="D457" s="218">
        <v>8.0000000000000004E-4</v>
      </c>
      <c r="E457" s="218">
        <v>3.5999999999999997E-2</v>
      </c>
      <c r="F457" s="218">
        <v>227.47</v>
      </c>
      <c r="G457" s="218">
        <v>409.75</v>
      </c>
      <c r="H457" s="218">
        <v>1.0962000000000001</v>
      </c>
      <c r="I457" s="218">
        <v>1.718</v>
      </c>
      <c r="J457" s="218">
        <v>1.4049</v>
      </c>
      <c r="K457" s="218">
        <v>1.0006999999999999</v>
      </c>
      <c r="L457" s="214"/>
      <c r="M457" s="214"/>
      <c r="N457" s="214"/>
      <c r="O457" s="214"/>
      <c r="P457" s="214"/>
      <c r="Q457" s="214"/>
      <c r="R457" s="214"/>
      <c r="S457" s="214"/>
      <c r="T457" s="214"/>
      <c r="U457" s="214"/>
      <c r="V457" s="214"/>
      <c r="W457" s="214"/>
      <c r="X457" s="214"/>
    </row>
    <row r="458" spans="1:24" ht="15.75" customHeight="1">
      <c r="A458" s="83"/>
      <c r="B458" s="218">
        <v>20.100000000000001</v>
      </c>
      <c r="C458" s="218">
        <v>5.73</v>
      </c>
      <c r="D458" s="218">
        <v>8.0000000000000004E-4</v>
      </c>
      <c r="E458" s="218">
        <v>3.5900000000000001E-2</v>
      </c>
      <c r="F458" s="218">
        <v>227.61</v>
      </c>
      <c r="G458" s="218">
        <v>409.8</v>
      </c>
      <c r="H458" s="218">
        <v>1.0967</v>
      </c>
      <c r="I458" s="218">
        <v>1.718</v>
      </c>
      <c r="J458" s="218">
        <v>1.4052</v>
      </c>
      <c r="K458" s="218">
        <v>1.0013000000000001</v>
      </c>
      <c r="L458" s="214"/>
      <c r="M458" s="214"/>
      <c r="N458" s="214"/>
      <c r="O458" s="214"/>
      <c r="P458" s="214"/>
      <c r="Q458" s="214"/>
      <c r="R458" s="214"/>
      <c r="S458" s="214"/>
      <c r="T458" s="214"/>
      <c r="U458" s="214"/>
      <c r="V458" s="214"/>
      <c r="W458" s="214"/>
      <c r="X458" s="214"/>
    </row>
    <row r="459" spans="1:24" ht="15.75" customHeight="1">
      <c r="A459" s="83"/>
      <c r="B459" s="218">
        <v>20.2</v>
      </c>
      <c r="C459" s="218">
        <v>5.75</v>
      </c>
      <c r="D459" s="218">
        <v>8.0000000000000004E-4</v>
      </c>
      <c r="E459" s="218">
        <v>3.5799999999999998E-2</v>
      </c>
      <c r="F459" s="218">
        <v>227.75</v>
      </c>
      <c r="G459" s="218">
        <v>409.85</v>
      </c>
      <c r="H459" s="218">
        <v>1.0972</v>
      </c>
      <c r="I459" s="218">
        <v>1.718</v>
      </c>
      <c r="J459" s="218">
        <v>1.4056</v>
      </c>
      <c r="K459" s="218">
        <v>1.0019</v>
      </c>
      <c r="L459" s="214"/>
      <c r="M459" s="214"/>
      <c r="N459" s="214"/>
      <c r="O459" s="214"/>
      <c r="P459" s="214"/>
      <c r="Q459" s="214"/>
      <c r="R459" s="214"/>
      <c r="S459" s="214"/>
      <c r="T459" s="214"/>
      <c r="U459" s="214"/>
      <c r="V459" s="214"/>
      <c r="W459" s="214"/>
      <c r="X459" s="214"/>
    </row>
    <row r="460" spans="1:24" ht="15.75" customHeight="1">
      <c r="A460" s="83"/>
      <c r="B460" s="218">
        <v>20.3</v>
      </c>
      <c r="C460" s="218">
        <v>5.77</v>
      </c>
      <c r="D460" s="218">
        <v>8.0000000000000004E-4</v>
      </c>
      <c r="E460" s="218">
        <v>3.5700000000000003E-2</v>
      </c>
      <c r="F460" s="218">
        <v>227.89</v>
      </c>
      <c r="G460" s="218">
        <v>409.91</v>
      </c>
      <c r="H460" s="218">
        <v>1.0976999999999999</v>
      </c>
      <c r="I460" s="218">
        <v>1.7179</v>
      </c>
      <c r="J460" s="218">
        <v>1.4059999999999999</v>
      </c>
      <c r="K460" s="218">
        <v>1.0024</v>
      </c>
      <c r="L460" s="214"/>
      <c r="M460" s="214"/>
      <c r="N460" s="214"/>
      <c r="O460" s="214"/>
      <c r="P460" s="214"/>
      <c r="Q460" s="214"/>
      <c r="R460" s="214"/>
      <c r="S460" s="214"/>
      <c r="T460" s="214"/>
      <c r="U460" s="214"/>
      <c r="V460" s="214"/>
      <c r="W460" s="214"/>
      <c r="X460" s="214"/>
    </row>
    <row r="461" spans="1:24" ht="15.75" customHeight="1">
      <c r="A461" s="83"/>
      <c r="B461" s="218">
        <v>20.399999999999999</v>
      </c>
      <c r="C461" s="218">
        <v>5.79</v>
      </c>
      <c r="D461" s="218">
        <v>8.0000000000000004E-4</v>
      </c>
      <c r="E461" s="218">
        <v>3.56E-2</v>
      </c>
      <c r="F461" s="218">
        <v>228.03</v>
      </c>
      <c r="G461" s="218">
        <v>409.96</v>
      </c>
      <c r="H461" s="218">
        <v>1.0981000000000001</v>
      </c>
      <c r="I461" s="218">
        <v>1.7179</v>
      </c>
      <c r="J461" s="218">
        <v>1.4064000000000001</v>
      </c>
      <c r="K461" s="218">
        <v>1.0029999999999999</v>
      </c>
      <c r="L461" s="214"/>
      <c r="M461" s="214"/>
      <c r="N461" s="214"/>
      <c r="O461" s="214"/>
      <c r="P461" s="214"/>
      <c r="Q461" s="214"/>
      <c r="R461" s="214"/>
      <c r="S461" s="214"/>
      <c r="T461" s="214"/>
      <c r="U461" s="214"/>
      <c r="V461" s="214"/>
      <c r="W461" s="214"/>
      <c r="X461" s="214"/>
    </row>
    <row r="462" spans="1:24" ht="15.75" customHeight="1">
      <c r="A462" s="83"/>
      <c r="B462" s="218">
        <v>20.5</v>
      </c>
      <c r="C462" s="218">
        <v>5.81</v>
      </c>
      <c r="D462" s="218">
        <v>8.0000000000000004E-4</v>
      </c>
      <c r="E462" s="218">
        <v>3.5400000000000001E-2</v>
      </c>
      <c r="F462" s="218">
        <v>228.17</v>
      </c>
      <c r="G462" s="218">
        <v>410.01</v>
      </c>
      <c r="H462" s="218">
        <v>1.0986</v>
      </c>
      <c r="I462" s="218">
        <v>1.7179</v>
      </c>
      <c r="J462" s="218">
        <v>1.4067000000000001</v>
      </c>
      <c r="K462" s="218">
        <v>1.0036</v>
      </c>
      <c r="L462" s="214"/>
      <c r="M462" s="214"/>
      <c r="N462" s="214"/>
      <c r="O462" s="214"/>
      <c r="P462" s="214"/>
      <c r="Q462" s="214"/>
      <c r="R462" s="214"/>
      <c r="S462" s="214"/>
      <c r="T462" s="214"/>
      <c r="U462" s="214"/>
      <c r="V462" s="214"/>
      <c r="W462" s="214"/>
      <c r="X462" s="214"/>
    </row>
    <row r="463" spans="1:24" ht="15.75" customHeight="1">
      <c r="A463" s="83"/>
      <c r="B463" s="218">
        <v>20.6</v>
      </c>
      <c r="C463" s="218">
        <v>5.82</v>
      </c>
      <c r="D463" s="218">
        <v>8.0000000000000004E-4</v>
      </c>
      <c r="E463" s="218">
        <v>3.5299999999999998E-2</v>
      </c>
      <c r="F463" s="218">
        <v>228.31</v>
      </c>
      <c r="G463" s="218">
        <v>410.06</v>
      </c>
      <c r="H463" s="218">
        <v>1.0991</v>
      </c>
      <c r="I463" s="218">
        <v>1.7178</v>
      </c>
      <c r="J463" s="218">
        <v>1.4071</v>
      </c>
      <c r="K463" s="218">
        <v>1.0042</v>
      </c>
      <c r="L463" s="214"/>
      <c r="M463" s="214"/>
      <c r="N463" s="214"/>
      <c r="O463" s="214"/>
      <c r="P463" s="214"/>
      <c r="Q463" s="214"/>
      <c r="R463" s="214"/>
      <c r="S463" s="214"/>
      <c r="T463" s="214"/>
      <c r="U463" s="214"/>
      <c r="V463" s="214"/>
      <c r="W463" s="214"/>
      <c r="X463" s="214"/>
    </row>
    <row r="464" spans="1:24" ht="15.75" customHeight="1">
      <c r="A464" s="83"/>
      <c r="B464" s="218">
        <v>20.7</v>
      </c>
      <c r="C464" s="218">
        <v>5.84</v>
      </c>
      <c r="D464" s="218">
        <v>8.0000000000000004E-4</v>
      </c>
      <c r="E464" s="218">
        <v>3.5200000000000002E-2</v>
      </c>
      <c r="F464" s="218">
        <v>228.45</v>
      </c>
      <c r="G464" s="218">
        <v>410.12</v>
      </c>
      <c r="H464" s="218">
        <v>1.0995999999999999</v>
      </c>
      <c r="I464" s="218">
        <v>1.7178</v>
      </c>
      <c r="J464" s="218">
        <v>1.4075</v>
      </c>
      <c r="K464" s="218">
        <v>1.0047999999999999</v>
      </c>
      <c r="L464" s="214"/>
      <c r="M464" s="214"/>
      <c r="N464" s="214"/>
      <c r="O464" s="214"/>
      <c r="P464" s="214"/>
      <c r="Q464" s="214"/>
      <c r="R464" s="214"/>
      <c r="S464" s="214"/>
      <c r="T464" s="214"/>
      <c r="U464" s="214"/>
      <c r="V464" s="214"/>
      <c r="W464" s="214"/>
      <c r="X464" s="214"/>
    </row>
    <row r="465" spans="1:24" ht="15.75" customHeight="1">
      <c r="A465" s="83"/>
      <c r="B465" s="218">
        <v>20.8</v>
      </c>
      <c r="C465" s="218">
        <v>5.86</v>
      </c>
      <c r="D465" s="218">
        <v>8.0000000000000004E-4</v>
      </c>
      <c r="E465" s="218">
        <v>3.5099999999999999E-2</v>
      </c>
      <c r="F465" s="218">
        <v>228.59</v>
      </c>
      <c r="G465" s="218">
        <v>410.17</v>
      </c>
      <c r="H465" s="218">
        <v>1.1000000000000001</v>
      </c>
      <c r="I465" s="218">
        <v>1.7177</v>
      </c>
      <c r="J465" s="218">
        <v>1.4078999999999999</v>
      </c>
      <c r="K465" s="218">
        <v>1.0054000000000001</v>
      </c>
      <c r="L465" s="214"/>
      <c r="M465" s="214"/>
      <c r="N465" s="214"/>
      <c r="O465" s="214"/>
      <c r="P465" s="214"/>
      <c r="Q465" s="214"/>
      <c r="R465" s="214"/>
      <c r="S465" s="214"/>
      <c r="T465" s="214"/>
      <c r="U465" s="214"/>
      <c r="V465" s="214"/>
      <c r="W465" s="214"/>
      <c r="X465" s="214"/>
    </row>
    <row r="466" spans="1:24" ht="15.75" customHeight="1">
      <c r="A466" s="83"/>
      <c r="B466" s="218">
        <v>20.9</v>
      </c>
      <c r="C466" s="218">
        <v>5.88</v>
      </c>
      <c r="D466" s="218">
        <v>8.0000000000000004E-4</v>
      </c>
      <c r="E466" s="218">
        <v>3.5000000000000003E-2</v>
      </c>
      <c r="F466" s="218">
        <v>228.73</v>
      </c>
      <c r="G466" s="218">
        <v>410.22</v>
      </c>
      <c r="H466" s="218">
        <v>1.1005</v>
      </c>
      <c r="I466" s="218">
        <v>1.7177</v>
      </c>
      <c r="J466" s="218">
        <v>1.4083000000000001</v>
      </c>
      <c r="K466" s="218">
        <v>1.006</v>
      </c>
      <c r="L466" s="214"/>
      <c r="M466" s="214"/>
      <c r="N466" s="214"/>
      <c r="O466" s="214"/>
      <c r="P466" s="214"/>
      <c r="Q466" s="214"/>
      <c r="R466" s="214"/>
      <c r="S466" s="214"/>
      <c r="T466" s="214"/>
      <c r="U466" s="214"/>
      <c r="V466" s="214"/>
      <c r="W466" s="214"/>
      <c r="X466" s="214"/>
    </row>
    <row r="467" spans="1:24" ht="15.75" customHeight="1">
      <c r="A467" s="83"/>
      <c r="B467" s="218">
        <v>21</v>
      </c>
      <c r="C467" s="218">
        <v>5.9</v>
      </c>
      <c r="D467" s="218">
        <v>8.0000000000000004E-4</v>
      </c>
      <c r="E467" s="218">
        <v>3.49E-2</v>
      </c>
      <c r="F467" s="218">
        <v>228.88</v>
      </c>
      <c r="G467" s="218">
        <v>410.27</v>
      </c>
      <c r="H467" s="218">
        <v>1.101</v>
      </c>
      <c r="I467" s="218">
        <v>1.7177</v>
      </c>
      <c r="J467" s="218">
        <v>1.4087000000000001</v>
      </c>
      <c r="K467" s="218">
        <v>1.0066999999999999</v>
      </c>
      <c r="L467" s="214"/>
      <c r="M467" s="214"/>
      <c r="N467" s="214"/>
      <c r="O467" s="214"/>
      <c r="P467" s="214"/>
      <c r="Q467" s="214"/>
      <c r="R467" s="214"/>
      <c r="S467" s="214"/>
      <c r="T467" s="214"/>
      <c r="U467" s="214"/>
      <c r="V467" s="214"/>
      <c r="W467" s="214"/>
      <c r="X467" s="214"/>
    </row>
    <row r="468" spans="1:24" ht="15.75" customHeight="1">
      <c r="A468" s="83"/>
      <c r="B468" s="218">
        <v>21.1</v>
      </c>
      <c r="C468" s="218">
        <v>5.91</v>
      </c>
      <c r="D468" s="218">
        <v>8.0000000000000004E-4</v>
      </c>
      <c r="E468" s="218">
        <v>3.4799999999999998E-2</v>
      </c>
      <c r="F468" s="218">
        <v>229.02</v>
      </c>
      <c r="G468" s="218">
        <v>410.33</v>
      </c>
      <c r="H468" s="218">
        <v>1.1014999999999999</v>
      </c>
      <c r="I468" s="218">
        <v>1.7176</v>
      </c>
      <c r="J468" s="218">
        <v>1.409</v>
      </c>
      <c r="K468" s="218">
        <v>1.0073000000000001</v>
      </c>
      <c r="L468" s="214"/>
      <c r="M468" s="214"/>
      <c r="N468" s="214"/>
      <c r="O468" s="214"/>
      <c r="P468" s="214"/>
      <c r="Q468" s="214"/>
      <c r="R468" s="214"/>
      <c r="S468" s="214"/>
      <c r="T468" s="214"/>
      <c r="U468" s="214"/>
      <c r="V468" s="214"/>
      <c r="W468" s="214"/>
      <c r="X468" s="214"/>
    </row>
    <row r="469" spans="1:24" ht="15.75" customHeight="1">
      <c r="A469" s="83"/>
      <c r="B469" s="218">
        <v>21.2</v>
      </c>
      <c r="C469" s="218">
        <v>5.93</v>
      </c>
      <c r="D469" s="218">
        <v>8.0000000000000004E-4</v>
      </c>
      <c r="E469" s="218">
        <v>3.4700000000000002E-2</v>
      </c>
      <c r="F469" s="218">
        <v>229.16</v>
      </c>
      <c r="G469" s="218">
        <v>410.38</v>
      </c>
      <c r="H469" s="218">
        <v>1.1019000000000001</v>
      </c>
      <c r="I469" s="218">
        <v>1.7176</v>
      </c>
      <c r="J469" s="218">
        <v>1.4094</v>
      </c>
      <c r="K469" s="218">
        <v>1.0079</v>
      </c>
      <c r="L469" s="214"/>
      <c r="M469" s="214"/>
      <c r="N469" s="214"/>
      <c r="O469" s="214"/>
      <c r="P469" s="214"/>
      <c r="Q469" s="214"/>
      <c r="R469" s="214"/>
      <c r="S469" s="214"/>
      <c r="T469" s="214"/>
      <c r="U469" s="214"/>
      <c r="V469" s="214"/>
      <c r="W469" s="214"/>
      <c r="X469" s="214"/>
    </row>
    <row r="470" spans="1:24" ht="15.75" customHeight="1">
      <c r="A470" s="83"/>
      <c r="B470" s="218">
        <v>21.3</v>
      </c>
      <c r="C470" s="218">
        <v>5.95</v>
      </c>
      <c r="D470" s="218">
        <v>8.0000000000000004E-4</v>
      </c>
      <c r="E470" s="218">
        <v>3.4599999999999999E-2</v>
      </c>
      <c r="F470" s="218">
        <v>229.3</v>
      </c>
      <c r="G470" s="218">
        <v>410.43</v>
      </c>
      <c r="H470" s="218">
        <v>1.1024</v>
      </c>
      <c r="I470" s="218">
        <v>1.7176</v>
      </c>
      <c r="J470" s="218">
        <v>1.4097999999999999</v>
      </c>
      <c r="K470" s="218">
        <v>1.0085</v>
      </c>
      <c r="L470" s="214"/>
      <c r="M470" s="214"/>
      <c r="N470" s="214"/>
      <c r="O470" s="214"/>
      <c r="P470" s="214"/>
      <c r="Q470" s="214"/>
      <c r="R470" s="214"/>
      <c r="S470" s="214"/>
      <c r="T470" s="214"/>
      <c r="U470" s="214"/>
      <c r="V470" s="214"/>
      <c r="W470" s="214"/>
      <c r="X470" s="214"/>
    </row>
    <row r="471" spans="1:24" ht="15.75" customHeight="1">
      <c r="A471" s="83"/>
      <c r="B471" s="218">
        <v>21.4</v>
      </c>
      <c r="C471" s="218">
        <v>5.97</v>
      </c>
      <c r="D471" s="218">
        <v>8.0000000000000004E-4</v>
      </c>
      <c r="E471" s="218">
        <v>3.4500000000000003E-2</v>
      </c>
      <c r="F471" s="218">
        <v>229.44</v>
      </c>
      <c r="G471" s="218">
        <v>410.48</v>
      </c>
      <c r="H471" s="218">
        <v>1.1029</v>
      </c>
      <c r="I471" s="218">
        <v>1.7175</v>
      </c>
      <c r="J471" s="218">
        <v>1.4101999999999999</v>
      </c>
      <c r="K471" s="218">
        <v>1.0091000000000001</v>
      </c>
      <c r="L471" s="214"/>
      <c r="M471" s="214"/>
      <c r="N471" s="214"/>
      <c r="O471" s="214"/>
      <c r="P471" s="214"/>
      <c r="Q471" s="214"/>
      <c r="R471" s="214"/>
      <c r="S471" s="214"/>
      <c r="T471" s="214"/>
      <c r="U471" s="214"/>
      <c r="V471" s="214"/>
      <c r="W471" s="214"/>
      <c r="X471" s="214"/>
    </row>
    <row r="472" spans="1:24" ht="15.75" customHeight="1">
      <c r="A472" s="83"/>
      <c r="B472" s="218">
        <v>21.5</v>
      </c>
      <c r="C472" s="218">
        <v>5.99</v>
      </c>
      <c r="D472" s="218">
        <v>8.0000000000000004E-4</v>
      </c>
      <c r="E472" s="218">
        <v>3.44E-2</v>
      </c>
      <c r="F472" s="218">
        <v>229.58</v>
      </c>
      <c r="G472" s="218">
        <v>410.53</v>
      </c>
      <c r="H472" s="218">
        <v>1.1033999999999999</v>
      </c>
      <c r="I472" s="218">
        <v>1.7175</v>
      </c>
      <c r="J472" s="218">
        <v>1.4106000000000001</v>
      </c>
      <c r="K472" s="218">
        <v>1.0097</v>
      </c>
      <c r="L472" s="214"/>
      <c r="M472" s="214"/>
      <c r="N472" s="214"/>
      <c r="O472" s="214"/>
      <c r="P472" s="214"/>
      <c r="Q472" s="214"/>
      <c r="R472" s="214"/>
      <c r="S472" s="214"/>
      <c r="T472" s="214"/>
      <c r="U472" s="214"/>
      <c r="V472" s="214"/>
      <c r="W472" s="214"/>
      <c r="X472" s="214"/>
    </row>
    <row r="473" spans="1:24" ht="15.75" customHeight="1">
      <c r="A473" s="83"/>
      <c r="B473" s="218">
        <v>21.6</v>
      </c>
      <c r="C473" s="218">
        <v>6.01</v>
      </c>
      <c r="D473" s="218">
        <v>8.0000000000000004E-4</v>
      </c>
      <c r="E473" s="218">
        <v>3.4299999999999997E-2</v>
      </c>
      <c r="F473" s="218">
        <v>229.72</v>
      </c>
      <c r="G473" s="218">
        <v>410.59</v>
      </c>
      <c r="H473" s="218">
        <v>1.1037999999999999</v>
      </c>
      <c r="I473" s="218">
        <v>1.7174</v>
      </c>
      <c r="J473" s="218">
        <v>1.411</v>
      </c>
      <c r="K473" s="218">
        <v>1.0103</v>
      </c>
      <c r="L473" s="214"/>
      <c r="M473" s="214"/>
      <c r="N473" s="214"/>
      <c r="O473" s="214"/>
      <c r="P473" s="214"/>
      <c r="Q473" s="214"/>
      <c r="R473" s="214"/>
      <c r="S473" s="214"/>
      <c r="T473" s="214"/>
      <c r="U473" s="214"/>
      <c r="V473" s="214"/>
      <c r="W473" s="214"/>
      <c r="X473" s="214"/>
    </row>
    <row r="474" spans="1:24" ht="15.75" customHeight="1">
      <c r="A474" s="83"/>
      <c r="B474" s="218">
        <v>21.7</v>
      </c>
      <c r="C474" s="218">
        <v>6.02</v>
      </c>
      <c r="D474" s="218">
        <v>8.0000000000000004E-4</v>
      </c>
      <c r="E474" s="218">
        <v>3.4200000000000001E-2</v>
      </c>
      <c r="F474" s="218">
        <v>229.86</v>
      </c>
      <c r="G474" s="218">
        <v>410.64</v>
      </c>
      <c r="H474" s="218">
        <v>1.1043000000000001</v>
      </c>
      <c r="I474" s="218">
        <v>1.7174</v>
      </c>
      <c r="J474" s="218">
        <v>1.4114</v>
      </c>
      <c r="K474" s="218">
        <v>1.0108999999999999</v>
      </c>
      <c r="L474" s="214"/>
      <c r="M474" s="214"/>
      <c r="N474" s="214"/>
      <c r="O474" s="214"/>
      <c r="P474" s="214"/>
      <c r="Q474" s="214"/>
      <c r="R474" s="214"/>
      <c r="S474" s="214"/>
      <c r="T474" s="214"/>
      <c r="U474" s="214"/>
      <c r="V474" s="214"/>
      <c r="W474" s="214"/>
      <c r="X474" s="214"/>
    </row>
    <row r="475" spans="1:24" ht="15.75" customHeight="1">
      <c r="A475" s="83"/>
      <c r="B475" s="218">
        <v>21.8</v>
      </c>
      <c r="C475" s="218">
        <v>6.04</v>
      </c>
      <c r="D475" s="218">
        <v>8.0000000000000004E-4</v>
      </c>
      <c r="E475" s="218">
        <v>3.4099999999999998E-2</v>
      </c>
      <c r="F475" s="218">
        <v>230</v>
      </c>
      <c r="G475" s="218">
        <v>410.69</v>
      </c>
      <c r="H475" s="218">
        <v>1.1048</v>
      </c>
      <c r="I475" s="218">
        <v>1.7174</v>
      </c>
      <c r="J475" s="218">
        <v>1.4117</v>
      </c>
      <c r="K475" s="218">
        <v>1.0115000000000001</v>
      </c>
      <c r="L475" s="214"/>
      <c r="M475" s="214"/>
      <c r="N475" s="214"/>
      <c r="O475" s="214"/>
      <c r="P475" s="214"/>
      <c r="Q475" s="214"/>
      <c r="R475" s="214"/>
      <c r="S475" s="214"/>
      <c r="T475" s="214"/>
      <c r="U475" s="214"/>
      <c r="V475" s="214"/>
      <c r="W475" s="214"/>
      <c r="X475" s="214"/>
    </row>
    <row r="476" spans="1:24" ht="15.75" customHeight="1">
      <c r="A476" s="83"/>
      <c r="B476" s="218">
        <v>21.9</v>
      </c>
      <c r="C476" s="218">
        <v>6.06</v>
      </c>
      <c r="D476" s="218">
        <v>8.0000000000000004E-4</v>
      </c>
      <c r="E476" s="218">
        <v>3.4000000000000002E-2</v>
      </c>
      <c r="F476" s="218">
        <v>230.15</v>
      </c>
      <c r="G476" s="218">
        <v>410.74</v>
      </c>
      <c r="H476" s="218">
        <v>1.1052999999999999</v>
      </c>
      <c r="I476" s="218">
        <v>1.7173</v>
      </c>
      <c r="J476" s="218">
        <v>1.4120999999999999</v>
      </c>
      <c r="K476" s="218">
        <v>1.0121</v>
      </c>
      <c r="L476" s="214"/>
      <c r="M476" s="214"/>
      <c r="N476" s="214"/>
      <c r="O476" s="214"/>
      <c r="P476" s="214"/>
      <c r="Q476" s="214"/>
      <c r="R476" s="214"/>
      <c r="S476" s="214"/>
      <c r="T476" s="214"/>
      <c r="U476" s="214"/>
      <c r="V476" s="214"/>
      <c r="W476" s="214"/>
      <c r="X476" s="214"/>
    </row>
    <row r="477" spans="1:24" ht="15.75" customHeight="1">
      <c r="A477" s="83"/>
      <c r="B477" s="218">
        <v>22</v>
      </c>
      <c r="C477" s="218">
        <v>6.08</v>
      </c>
      <c r="D477" s="218">
        <v>8.0000000000000004E-4</v>
      </c>
      <c r="E477" s="218">
        <v>3.39E-2</v>
      </c>
      <c r="F477" s="218">
        <v>230.29</v>
      </c>
      <c r="G477" s="218">
        <v>410.79</v>
      </c>
      <c r="H477" s="218">
        <v>1.1056999999999999</v>
      </c>
      <c r="I477" s="218">
        <v>1.7173</v>
      </c>
      <c r="J477" s="218">
        <v>1.4125000000000001</v>
      </c>
      <c r="K477" s="218">
        <v>1.0126999999999999</v>
      </c>
      <c r="L477" s="214"/>
      <c r="M477" s="214"/>
      <c r="N477" s="214"/>
      <c r="O477" s="214"/>
      <c r="P477" s="214"/>
      <c r="Q477" s="214"/>
      <c r="R477" s="214"/>
      <c r="S477" s="214"/>
      <c r="T477" s="214"/>
      <c r="U477" s="214"/>
      <c r="V477" s="214"/>
      <c r="W477" s="214"/>
      <c r="X477" s="214"/>
    </row>
    <row r="478" spans="1:24" ht="15.75" customHeight="1">
      <c r="A478" s="83"/>
      <c r="B478" s="218">
        <v>22.1</v>
      </c>
      <c r="C478" s="218">
        <v>6.1</v>
      </c>
      <c r="D478" s="218">
        <v>8.0000000000000004E-4</v>
      </c>
      <c r="E478" s="218">
        <v>3.3799999999999997E-2</v>
      </c>
      <c r="F478" s="218">
        <v>230.43</v>
      </c>
      <c r="G478" s="218">
        <v>410.85</v>
      </c>
      <c r="H478" s="218">
        <v>1.1062000000000001</v>
      </c>
      <c r="I478" s="218">
        <v>1.7173</v>
      </c>
      <c r="J478" s="218">
        <v>1.4129</v>
      </c>
      <c r="K478" s="218">
        <v>1.0134000000000001</v>
      </c>
      <c r="L478" s="214"/>
      <c r="M478" s="214"/>
      <c r="N478" s="214"/>
      <c r="O478" s="214"/>
      <c r="P478" s="214"/>
      <c r="Q478" s="214"/>
      <c r="R478" s="214"/>
      <c r="S478" s="214"/>
      <c r="T478" s="214"/>
      <c r="U478" s="214"/>
      <c r="V478" s="214"/>
      <c r="W478" s="214"/>
      <c r="X478" s="214"/>
    </row>
    <row r="479" spans="1:24" ht="15.75" customHeight="1">
      <c r="A479" s="83"/>
      <c r="B479" s="218">
        <v>22.2</v>
      </c>
      <c r="C479" s="218">
        <v>6.12</v>
      </c>
      <c r="D479" s="218">
        <v>8.0000000000000004E-4</v>
      </c>
      <c r="E479" s="218">
        <v>3.3599999999999998E-2</v>
      </c>
      <c r="F479" s="218">
        <v>230.57</v>
      </c>
      <c r="G479" s="218">
        <v>410.9</v>
      </c>
      <c r="H479" s="218">
        <v>1.1067</v>
      </c>
      <c r="I479" s="218">
        <v>1.7172000000000001</v>
      </c>
      <c r="J479" s="218">
        <v>1.4133</v>
      </c>
      <c r="K479" s="218">
        <v>1.014</v>
      </c>
      <c r="L479" s="214"/>
      <c r="M479" s="214"/>
      <c r="N479" s="214"/>
      <c r="O479" s="214"/>
      <c r="P479" s="214"/>
      <c r="Q479" s="214"/>
      <c r="R479" s="214"/>
      <c r="S479" s="214"/>
      <c r="T479" s="214"/>
      <c r="U479" s="214"/>
      <c r="V479" s="214"/>
      <c r="W479" s="214"/>
      <c r="X479" s="214"/>
    </row>
    <row r="480" spans="1:24" ht="15.75" customHeight="1">
      <c r="A480" s="83"/>
      <c r="B480" s="218">
        <v>22.3</v>
      </c>
      <c r="C480" s="218">
        <v>6.13</v>
      </c>
      <c r="D480" s="218">
        <v>8.0000000000000004E-4</v>
      </c>
      <c r="E480" s="218">
        <v>3.3500000000000002E-2</v>
      </c>
      <c r="F480" s="218">
        <v>230.71</v>
      </c>
      <c r="G480" s="218">
        <v>410.95</v>
      </c>
      <c r="H480" s="218">
        <v>1.1071</v>
      </c>
      <c r="I480" s="218">
        <v>1.7172000000000001</v>
      </c>
      <c r="J480" s="218">
        <v>1.4137</v>
      </c>
      <c r="K480" s="218">
        <v>1.0145999999999999</v>
      </c>
      <c r="L480" s="214"/>
      <c r="M480" s="214"/>
      <c r="N480" s="214"/>
      <c r="O480" s="214"/>
      <c r="P480" s="214"/>
      <c r="Q480" s="214"/>
      <c r="R480" s="214"/>
      <c r="S480" s="214"/>
      <c r="T480" s="214"/>
      <c r="U480" s="214"/>
      <c r="V480" s="214"/>
      <c r="W480" s="214"/>
      <c r="X480" s="214"/>
    </row>
    <row r="481" spans="1:24" ht="15.75" customHeight="1">
      <c r="A481" s="83"/>
      <c r="B481" s="218">
        <v>22.4</v>
      </c>
      <c r="C481" s="218">
        <v>6.15</v>
      </c>
      <c r="D481" s="218">
        <v>8.0000000000000004E-4</v>
      </c>
      <c r="E481" s="218">
        <v>3.3399999999999999E-2</v>
      </c>
      <c r="F481" s="218">
        <v>230.85</v>
      </c>
      <c r="G481" s="218">
        <v>411</v>
      </c>
      <c r="H481" s="218">
        <v>1.1075999999999999</v>
      </c>
      <c r="I481" s="218">
        <v>1.7172000000000001</v>
      </c>
      <c r="J481" s="218">
        <v>1.4140999999999999</v>
      </c>
      <c r="K481" s="218">
        <v>1.0152000000000001</v>
      </c>
      <c r="L481" s="214"/>
      <c r="M481" s="214"/>
      <c r="N481" s="214"/>
      <c r="O481" s="214"/>
      <c r="P481" s="214"/>
      <c r="Q481" s="214"/>
      <c r="R481" s="214"/>
      <c r="S481" s="214"/>
      <c r="T481" s="214"/>
      <c r="U481" s="214"/>
      <c r="V481" s="214"/>
      <c r="W481" s="214"/>
      <c r="X481" s="214"/>
    </row>
    <row r="482" spans="1:24" ht="15.75" customHeight="1">
      <c r="A482" s="83"/>
      <c r="B482" s="218">
        <v>22.5</v>
      </c>
      <c r="C482" s="218">
        <v>6.17</v>
      </c>
      <c r="D482" s="218">
        <v>8.0000000000000004E-4</v>
      </c>
      <c r="E482" s="218">
        <v>3.3300000000000003E-2</v>
      </c>
      <c r="F482" s="218">
        <v>230.99</v>
      </c>
      <c r="G482" s="218">
        <v>411.05</v>
      </c>
      <c r="H482" s="218">
        <v>1.1081000000000001</v>
      </c>
      <c r="I482" s="218">
        <v>1.7171000000000001</v>
      </c>
      <c r="J482" s="218">
        <v>1.4145000000000001</v>
      </c>
      <c r="K482" s="218">
        <v>1.0158</v>
      </c>
      <c r="L482" s="214"/>
      <c r="M482" s="214"/>
      <c r="N482" s="214"/>
      <c r="O482" s="214"/>
      <c r="P482" s="214"/>
      <c r="Q482" s="214"/>
      <c r="R482" s="214"/>
      <c r="S482" s="214"/>
      <c r="T482" s="214"/>
      <c r="U482" s="214"/>
      <c r="V482" s="214"/>
      <c r="W482" s="214"/>
      <c r="X482" s="214"/>
    </row>
    <row r="483" spans="1:24" ht="15.75" customHeight="1">
      <c r="A483" s="83"/>
      <c r="B483" s="218">
        <v>22.6</v>
      </c>
      <c r="C483" s="218">
        <v>6.19</v>
      </c>
      <c r="D483" s="218">
        <v>8.0000000000000004E-4</v>
      </c>
      <c r="E483" s="218">
        <v>3.32E-2</v>
      </c>
      <c r="F483" s="218">
        <v>231.14</v>
      </c>
      <c r="G483" s="218">
        <v>411.1</v>
      </c>
      <c r="H483" s="218">
        <v>1.1086</v>
      </c>
      <c r="I483" s="218">
        <v>1.7171000000000001</v>
      </c>
      <c r="J483" s="218">
        <v>1.4149</v>
      </c>
      <c r="K483" s="218">
        <v>1.0164</v>
      </c>
      <c r="L483" s="214"/>
      <c r="M483" s="214"/>
      <c r="N483" s="214"/>
      <c r="O483" s="214"/>
      <c r="P483" s="214"/>
      <c r="Q483" s="214"/>
      <c r="R483" s="214"/>
      <c r="S483" s="214"/>
      <c r="T483" s="214"/>
      <c r="U483" s="214"/>
      <c r="V483" s="214"/>
      <c r="W483" s="214"/>
      <c r="X483" s="214"/>
    </row>
    <row r="484" spans="1:24" ht="15.75" customHeight="1">
      <c r="A484" s="83"/>
      <c r="B484" s="218">
        <v>22.7</v>
      </c>
      <c r="C484" s="218">
        <v>6.21</v>
      </c>
      <c r="D484" s="218">
        <v>8.0000000000000004E-4</v>
      </c>
      <c r="E484" s="218">
        <v>3.3099999999999997E-2</v>
      </c>
      <c r="F484" s="218">
        <v>231.28</v>
      </c>
      <c r="G484" s="218">
        <v>411.16</v>
      </c>
      <c r="H484" s="218">
        <v>1.109</v>
      </c>
      <c r="I484" s="218">
        <v>1.7170000000000001</v>
      </c>
      <c r="J484" s="218">
        <v>1.4153</v>
      </c>
      <c r="K484" s="218">
        <v>1.0170999999999999</v>
      </c>
      <c r="L484" s="214"/>
      <c r="M484" s="214"/>
      <c r="N484" s="214"/>
      <c r="O484" s="214"/>
      <c r="P484" s="214"/>
      <c r="Q484" s="214"/>
      <c r="R484" s="214"/>
      <c r="S484" s="214"/>
      <c r="T484" s="214"/>
      <c r="U484" s="214"/>
      <c r="V484" s="214"/>
      <c r="W484" s="214"/>
      <c r="X484" s="214"/>
    </row>
    <row r="485" spans="1:24" ht="15.75" customHeight="1">
      <c r="A485" s="83"/>
      <c r="B485" s="218">
        <v>22.8</v>
      </c>
      <c r="C485" s="218">
        <v>6.23</v>
      </c>
      <c r="D485" s="218">
        <v>8.0000000000000004E-4</v>
      </c>
      <c r="E485" s="218">
        <v>3.3000000000000002E-2</v>
      </c>
      <c r="F485" s="218">
        <v>231.42</v>
      </c>
      <c r="G485" s="218">
        <v>411.21</v>
      </c>
      <c r="H485" s="218">
        <v>1.1094999999999999</v>
      </c>
      <c r="I485" s="218">
        <v>1.7170000000000001</v>
      </c>
      <c r="J485" s="218">
        <v>1.4157</v>
      </c>
      <c r="K485" s="218">
        <v>1.0177</v>
      </c>
      <c r="L485" s="214"/>
      <c r="M485" s="214"/>
      <c r="N485" s="214"/>
      <c r="O485" s="214"/>
      <c r="P485" s="214"/>
      <c r="Q485" s="214"/>
      <c r="R485" s="214"/>
      <c r="S485" s="214"/>
      <c r="T485" s="214"/>
      <c r="U485" s="214"/>
      <c r="V485" s="214"/>
      <c r="W485" s="214"/>
      <c r="X485" s="214"/>
    </row>
    <row r="486" spans="1:24" ht="15.75" customHeight="1">
      <c r="A486" s="83"/>
      <c r="B486" s="218">
        <v>22.9</v>
      </c>
      <c r="C486" s="218">
        <v>6.25</v>
      </c>
      <c r="D486" s="218">
        <v>8.0000000000000004E-4</v>
      </c>
      <c r="E486" s="218">
        <v>3.2899999999999999E-2</v>
      </c>
      <c r="F486" s="218">
        <v>231.56</v>
      </c>
      <c r="G486" s="218">
        <v>411.26</v>
      </c>
      <c r="H486" s="218">
        <v>1.1100000000000001</v>
      </c>
      <c r="I486" s="218">
        <v>1.7170000000000001</v>
      </c>
      <c r="J486" s="218">
        <v>1.4160999999999999</v>
      </c>
      <c r="K486" s="218">
        <v>1.0183</v>
      </c>
      <c r="L486" s="214"/>
      <c r="M486" s="214"/>
      <c r="N486" s="214"/>
      <c r="O486" s="214"/>
      <c r="P486" s="214"/>
      <c r="Q486" s="214"/>
      <c r="R486" s="214"/>
      <c r="S486" s="214"/>
      <c r="T486" s="214"/>
      <c r="U486" s="214"/>
      <c r="V486" s="214"/>
      <c r="W486" s="214"/>
      <c r="X486" s="214"/>
    </row>
    <row r="487" spans="1:24" ht="15.75" customHeight="1">
      <c r="A487" s="83"/>
      <c r="B487" s="218">
        <v>23</v>
      </c>
      <c r="C487" s="218">
        <v>6.27</v>
      </c>
      <c r="D487" s="218">
        <v>8.0000000000000004E-4</v>
      </c>
      <c r="E487" s="218">
        <v>3.2800000000000003E-2</v>
      </c>
      <c r="F487" s="218">
        <v>231.7</v>
      </c>
      <c r="G487" s="218">
        <v>411.31</v>
      </c>
      <c r="H487" s="218">
        <v>1.1105</v>
      </c>
      <c r="I487" s="218">
        <v>1.7169000000000001</v>
      </c>
      <c r="J487" s="218">
        <v>1.4165000000000001</v>
      </c>
      <c r="K487" s="218">
        <v>1.0188999999999999</v>
      </c>
      <c r="L487" s="214"/>
      <c r="M487" s="214"/>
      <c r="N487" s="214"/>
      <c r="O487" s="214"/>
      <c r="P487" s="214"/>
      <c r="Q487" s="214"/>
      <c r="R487" s="214"/>
      <c r="S487" s="214"/>
      <c r="T487" s="214"/>
      <c r="U487" s="214"/>
      <c r="V487" s="214"/>
      <c r="W487" s="214"/>
      <c r="X487" s="214"/>
    </row>
    <row r="488" spans="1:24" ht="15.75" customHeight="1">
      <c r="A488" s="83"/>
      <c r="B488" s="218">
        <v>23.1</v>
      </c>
      <c r="C488" s="218">
        <v>6.29</v>
      </c>
      <c r="D488" s="218">
        <v>8.0000000000000004E-4</v>
      </c>
      <c r="E488" s="218">
        <v>3.27E-2</v>
      </c>
      <c r="F488" s="218">
        <v>231.84</v>
      </c>
      <c r="G488" s="218">
        <v>411.36</v>
      </c>
      <c r="H488" s="218">
        <v>1.1109</v>
      </c>
      <c r="I488" s="218">
        <v>1.7169000000000001</v>
      </c>
      <c r="J488" s="218">
        <v>1.4169</v>
      </c>
      <c r="K488" s="218">
        <v>1.0196000000000001</v>
      </c>
      <c r="L488" s="214"/>
      <c r="M488" s="214"/>
      <c r="N488" s="214"/>
      <c r="O488" s="214"/>
      <c r="P488" s="214"/>
      <c r="Q488" s="214"/>
      <c r="R488" s="214"/>
      <c r="S488" s="214"/>
      <c r="T488" s="214"/>
      <c r="U488" s="214"/>
      <c r="V488" s="214"/>
      <c r="W488" s="214"/>
      <c r="X488" s="214"/>
    </row>
    <row r="489" spans="1:24" ht="15.75" customHeight="1">
      <c r="A489" s="83"/>
      <c r="B489" s="218">
        <v>23.2</v>
      </c>
      <c r="C489" s="218">
        <v>6.3</v>
      </c>
      <c r="D489" s="218">
        <v>8.0000000000000004E-4</v>
      </c>
      <c r="E489" s="218">
        <v>3.2599999999999997E-2</v>
      </c>
      <c r="F489" s="218">
        <v>231.99</v>
      </c>
      <c r="G489" s="218">
        <v>411.41</v>
      </c>
      <c r="H489" s="218">
        <v>1.1113999999999999</v>
      </c>
      <c r="I489" s="218">
        <v>1.7169000000000001</v>
      </c>
      <c r="J489" s="218">
        <v>1.4173</v>
      </c>
      <c r="K489" s="218">
        <v>1.0202</v>
      </c>
      <c r="L489" s="214"/>
      <c r="M489" s="214"/>
      <c r="N489" s="214"/>
      <c r="O489" s="214"/>
      <c r="P489" s="214"/>
      <c r="Q489" s="214"/>
      <c r="R489" s="214"/>
      <c r="S489" s="214"/>
      <c r="T489" s="214"/>
      <c r="U489" s="214"/>
      <c r="V489" s="214"/>
      <c r="W489" s="214"/>
      <c r="X489" s="214"/>
    </row>
    <row r="490" spans="1:24" ht="15.75" customHeight="1">
      <c r="A490" s="83"/>
      <c r="B490" s="218">
        <v>23.3</v>
      </c>
      <c r="C490" s="218">
        <v>6.32</v>
      </c>
      <c r="D490" s="218">
        <v>8.0000000000000004E-4</v>
      </c>
      <c r="E490" s="218">
        <v>3.2500000000000001E-2</v>
      </c>
      <c r="F490" s="218">
        <v>232.13</v>
      </c>
      <c r="G490" s="218">
        <v>411.47</v>
      </c>
      <c r="H490" s="218">
        <v>1.1119000000000001</v>
      </c>
      <c r="I490" s="218">
        <v>1.7168000000000001</v>
      </c>
      <c r="J490" s="218">
        <v>1.4177</v>
      </c>
      <c r="K490" s="218">
        <v>1.0207999999999999</v>
      </c>
      <c r="L490" s="214"/>
      <c r="M490" s="214"/>
      <c r="N490" s="214"/>
      <c r="O490" s="214"/>
      <c r="P490" s="214"/>
      <c r="Q490" s="214"/>
      <c r="R490" s="214"/>
      <c r="S490" s="214"/>
      <c r="T490" s="214"/>
      <c r="U490" s="214"/>
      <c r="V490" s="214"/>
      <c r="W490" s="214"/>
      <c r="X490" s="214"/>
    </row>
    <row r="491" spans="1:24" ht="15.75" customHeight="1">
      <c r="A491" s="83"/>
      <c r="B491" s="218">
        <v>23.4</v>
      </c>
      <c r="C491" s="218">
        <v>6.34</v>
      </c>
      <c r="D491" s="218">
        <v>8.0000000000000004E-4</v>
      </c>
      <c r="E491" s="218">
        <v>3.2399999999999998E-2</v>
      </c>
      <c r="F491" s="218">
        <v>232.27</v>
      </c>
      <c r="G491" s="218">
        <v>411.52</v>
      </c>
      <c r="H491" s="218">
        <v>1.1124000000000001</v>
      </c>
      <c r="I491" s="218">
        <v>1.7168000000000001</v>
      </c>
      <c r="J491" s="218">
        <v>1.4180999999999999</v>
      </c>
      <c r="K491" s="218">
        <v>1.0214000000000001</v>
      </c>
      <c r="L491" s="214"/>
      <c r="M491" s="214"/>
      <c r="N491" s="214"/>
      <c r="O491" s="214"/>
      <c r="P491" s="214"/>
      <c r="Q491" s="214"/>
      <c r="R491" s="214"/>
      <c r="S491" s="214"/>
      <c r="T491" s="214"/>
      <c r="U491" s="214"/>
      <c r="V491" s="214"/>
      <c r="W491" s="214"/>
      <c r="X491" s="214"/>
    </row>
    <row r="492" spans="1:24" ht="15.75" customHeight="1">
      <c r="A492" s="83"/>
      <c r="B492" s="218">
        <v>23.5</v>
      </c>
      <c r="C492" s="218">
        <v>6.36</v>
      </c>
      <c r="D492" s="218">
        <v>8.0000000000000004E-4</v>
      </c>
      <c r="E492" s="218">
        <v>3.2300000000000002E-2</v>
      </c>
      <c r="F492" s="218">
        <v>232.41</v>
      </c>
      <c r="G492" s="218">
        <v>411.57</v>
      </c>
      <c r="H492" s="218">
        <v>1.1128</v>
      </c>
      <c r="I492" s="218">
        <v>1.7168000000000001</v>
      </c>
      <c r="J492" s="218">
        <v>1.4185000000000001</v>
      </c>
      <c r="K492" s="218">
        <v>1.0221</v>
      </c>
      <c r="L492" s="214"/>
      <c r="M492" s="214"/>
      <c r="N492" s="214"/>
      <c r="O492" s="214"/>
      <c r="P492" s="214"/>
      <c r="Q492" s="214"/>
      <c r="R492" s="214"/>
      <c r="S492" s="214"/>
      <c r="T492" s="214"/>
      <c r="U492" s="214"/>
      <c r="V492" s="214"/>
      <c r="W492" s="214"/>
      <c r="X492" s="214"/>
    </row>
    <row r="493" spans="1:24" ht="15.75" customHeight="1">
      <c r="A493" s="83"/>
      <c r="B493" s="218">
        <v>23.6</v>
      </c>
      <c r="C493" s="218">
        <v>6.38</v>
      </c>
      <c r="D493" s="218">
        <v>8.0000000000000004E-4</v>
      </c>
      <c r="E493" s="218">
        <v>3.2199999999999999E-2</v>
      </c>
      <c r="F493" s="218">
        <v>232.55</v>
      </c>
      <c r="G493" s="218">
        <v>411.62</v>
      </c>
      <c r="H493" s="218">
        <v>1.1133</v>
      </c>
      <c r="I493" s="218">
        <v>1.7166999999999999</v>
      </c>
      <c r="J493" s="218">
        <v>1.4189000000000001</v>
      </c>
      <c r="K493" s="218">
        <v>1.0226999999999999</v>
      </c>
      <c r="L493" s="214"/>
      <c r="M493" s="214"/>
      <c r="N493" s="214"/>
      <c r="O493" s="214"/>
      <c r="P493" s="214"/>
      <c r="Q493" s="214"/>
      <c r="R493" s="214"/>
      <c r="S493" s="214"/>
      <c r="T493" s="214"/>
      <c r="U493" s="214"/>
      <c r="V493" s="214"/>
      <c r="W493" s="214"/>
      <c r="X493" s="214"/>
    </row>
    <row r="494" spans="1:24" ht="15.75" customHeight="1">
      <c r="A494" s="83"/>
      <c r="B494" s="218">
        <v>23.7</v>
      </c>
      <c r="C494" s="218">
        <v>6.4</v>
      </c>
      <c r="D494" s="218">
        <v>8.0000000000000004E-4</v>
      </c>
      <c r="E494" s="218">
        <v>3.2099999999999997E-2</v>
      </c>
      <c r="F494" s="218">
        <v>232.7</v>
      </c>
      <c r="G494" s="218">
        <v>411.67</v>
      </c>
      <c r="H494" s="218">
        <v>1.1137999999999999</v>
      </c>
      <c r="I494" s="218">
        <v>1.7166999999999999</v>
      </c>
      <c r="J494" s="218">
        <v>1.4193</v>
      </c>
      <c r="K494" s="218">
        <v>1.0233000000000001</v>
      </c>
      <c r="L494" s="214"/>
      <c r="M494" s="214"/>
      <c r="N494" s="214"/>
      <c r="O494" s="214"/>
      <c r="P494" s="214"/>
      <c r="Q494" s="214"/>
      <c r="R494" s="214"/>
      <c r="S494" s="214"/>
      <c r="T494" s="214"/>
      <c r="U494" s="214"/>
      <c r="V494" s="214"/>
      <c r="W494" s="214"/>
      <c r="X494" s="214"/>
    </row>
    <row r="495" spans="1:24" ht="15.75" customHeight="1">
      <c r="A495" s="83"/>
      <c r="B495" s="218">
        <v>23.8</v>
      </c>
      <c r="C495" s="218">
        <v>6.42</v>
      </c>
      <c r="D495" s="218">
        <v>8.0000000000000004E-4</v>
      </c>
      <c r="E495" s="218">
        <v>3.2099999999999997E-2</v>
      </c>
      <c r="F495" s="218">
        <v>232.84</v>
      </c>
      <c r="G495" s="218">
        <v>411.72</v>
      </c>
      <c r="H495" s="218">
        <v>1.1142000000000001</v>
      </c>
      <c r="I495" s="218">
        <v>1.7166999999999999</v>
      </c>
      <c r="J495" s="218">
        <v>1.4197</v>
      </c>
      <c r="K495" s="218">
        <v>1.024</v>
      </c>
      <c r="L495" s="214"/>
      <c r="M495" s="214"/>
      <c r="N495" s="214"/>
      <c r="O495" s="214"/>
      <c r="P495" s="214"/>
      <c r="Q495" s="214"/>
      <c r="R495" s="214"/>
      <c r="S495" s="214"/>
      <c r="T495" s="214"/>
      <c r="U495" s="214"/>
      <c r="V495" s="214"/>
      <c r="W495" s="214"/>
      <c r="X495" s="214"/>
    </row>
    <row r="496" spans="1:24" ht="15.75" customHeight="1">
      <c r="A496" s="83"/>
      <c r="B496" s="218">
        <v>23.9</v>
      </c>
      <c r="C496" s="218">
        <v>6.44</v>
      </c>
      <c r="D496" s="218">
        <v>8.0000000000000004E-4</v>
      </c>
      <c r="E496" s="218">
        <v>3.2000000000000001E-2</v>
      </c>
      <c r="F496" s="218">
        <v>232.98</v>
      </c>
      <c r="G496" s="218">
        <v>411.77</v>
      </c>
      <c r="H496" s="218">
        <v>1.1147</v>
      </c>
      <c r="I496" s="218">
        <v>1.7165999999999999</v>
      </c>
      <c r="J496" s="218">
        <v>1.4200999999999999</v>
      </c>
      <c r="K496" s="218">
        <v>1.0246</v>
      </c>
      <c r="L496" s="214"/>
      <c r="M496" s="214"/>
      <c r="N496" s="214"/>
      <c r="O496" s="214"/>
      <c r="P496" s="214"/>
      <c r="Q496" s="214"/>
      <c r="R496" s="214"/>
      <c r="S496" s="214"/>
      <c r="T496" s="214"/>
      <c r="U496" s="214"/>
      <c r="V496" s="214"/>
      <c r="W496" s="214"/>
      <c r="X496" s="214"/>
    </row>
    <row r="497" spans="1:24" ht="15.75" customHeight="1">
      <c r="A497" s="83"/>
      <c r="B497" s="218">
        <v>24</v>
      </c>
      <c r="C497" s="218">
        <v>6.46</v>
      </c>
      <c r="D497" s="218">
        <v>8.0000000000000004E-4</v>
      </c>
      <c r="E497" s="218">
        <v>3.1899999999999998E-2</v>
      </c>
      <c r="F497" s="218">
        <v>233.12</v>
      </c>
      <c r="G497" s="218">
        <v>411.82</v>
      </c>
      <c r="H497" s="218">
        <v>1.1152</v>
      </c>
      <c r="I497" s="218">
        <v>1.7165999999999999</v>
      </c>
      <c r="J497" s="218">
        <v>1.4205000000000001</v>
      </c>
      <c r="K497" s="218">
        <v>1.0251999999999999</v>
      </c>
      <c r="L497" s="214"/>
      <c r="M497" s="214"/>
      <c r="N497" s="214"/>
      <c r="O497" s="214"/>
      <c r="P497" s="214"/>
      <c r="Q497" s="214"/>
      <c r="R497" s="214"/>
      <c r="S497" s="214"/>
      <c r="T497" s="214"/>
      <c r="U497" s="214"/>
      <c r="V497" s="214"/>
      <c r="W497" s="214"/>
      <c r="X497" s="214"/>
    </row>
    <row r="498" spans="1:24" ht="15.75" customHeight="1">
      <c r="A498" s="83"/>
      <c r="B498" s="218">
        <v>24.1</v>
      </c>
      <c r="C498" s="218">
        <v>6.48</v>
      </c>
      <c r="D498" s="218">
        <v>8.0000000000000004E-4</v>
      </c>
      <c r="E498" s="218">
        <v>3.1800000000000002E-2</v>
      </c>
      <c r="F498" s="218">
        <v>233.26</v>
      </c>
      <c r="G498" s="218">
        <v>411.88</v>
      </c>
      <c r="H498" s="218">
        <v>1.1156999999999999</v>
      </c>
      <c r="I498" s="218">
        <v>1.7164999999999999</v>
      </c>
      <c r="J498" s="218">
        <v>1.4209000000000001</v>
      </c>
      <c r="K498" s="218">
        <v>1.0259</v>
      </c>
      <c r="L498" s="214"/>
      <c r="M498" s="214"/>
      <c r="N498" s="214"/>
      <c r="O498" s="214"/>
      <c r="P498" s="214"/>
      <c r="Q498" s="214"/>
      <c r="R498" s="214"/>
      <c r="S498" s="214"/>
      <c r="T498" s="214"/>
      <c r="U498" s="214"/>
      <c r="V498" s="214"/>
      <c r="W498" s="214"/>
      <c r="X498" s="214"/>
    </row>
    <row r="499" spans="1:24" ht="15.75" customHeight="1">
      <c r="A499" s="83"/>
      <c r="B499" s="218">
        <v>24.2</v>
      </c>
      <c r="C499" s="218">
        <v>6.5</v>
      </c>
      <c r="D499" s="218">
        <v>8.0000000000000004E-4</v>
      </c>
      <c r="E499" s="218">
        <v>3.1699999999999999E-2</v>
      </c>
      <c r="F499" s="218">
        <v>233.41</v>
      </c>
      <c r="G499" s="218">
        <v>411.93</v>
      </c>
      <c r="H499" s="218">
        <v>1.1161000000000001</v>
      </c>
      <c r="I499" s="218">
        <v>1.7164999999999999</v>
      </c>
      <c r="J499" s="218">
        <v>1.4213</v>
      </c>
      <c r="K499" s="218">
        <v>1.0265</v>
      </c>
      <c r="L499" s="214"/>
      <c r="M499" s="214"/>
      <c r="N499" s="214"/>
      <c r="O499" s="214"/>
      <c r="P499" s="214"/>
      <c r="Q499" s="214"/>
      <c r="R499" s="214"/>
      <c r="S499" s="214"/>
      <c r="T499" s="214"/>
      <c r="U499" s="214"/>
      <c r="V499" s="214"/>
      <c r="W499" s="214"/>
      <c r="X499" s="214"/>
    </row>
    <row r="500" spans="1:24" ht="15.75" customHeight="1">
      <c r="A500" s="83"/>
      <c r="B500" s="218">
        <v>24.3</v>
      </c>
      <c r="C500" s="218">
        <v>6.52</v>
      </c>
      <c r="D500" s="218">
        <v>8.0000000000000004E-4</v>
      </c>
      <c r="E500" s="218">
        <v>3.1600000000000003E-2</v>
      </c>
      <c r="F500" s="218">
        <v>233.55</v>
      </c>
      <c r="G500" s="218">
        <v>411.98</v>
      </c>
      <c r="H500" s="218">
        <v>1.1166</v>
      </c>
      <c r="I500" s="218">
        <v>1.7164999999999999</v>
      </c>
      <c r="J500" s="218">
        <v>1.4217</v>
      </c>
      <c r="K500" s="218">
        <v>1.0270999999999999</v>
      </c>
      <c r="L500" s="214"/>
      <c r="M500" s="214"/>
      <c r="N500" s="214"/>
      <c r="O500" s="214"/>
      <c r="P500" s="214"/>
      <c r="Q500" s="214"/>
      <c r="R500" s="214"/>
      <c r="S500" s="214"/>
      <c r="T500" s="214"/>
      <c r="U500" s="214"/>
      <c r="V500" s="214"/>
      <c r="W500" s="214"/>
      <c r="X500" s="214"/>
    </row>
    <row r="501" spans="1:24" ht="15.75" customHeight="1">
      <c r="A501" s="83"/>
      <c r="B501" s="218">
        <v>24.4</v>
      </c>
      <c r="C501" s="218">
        <v>6.54</v>
      </c>
      <c r="D501" s="218">
        <v>8.0000000000000004E-4</v>
      </c>
      <c r="E501" s="218">
        <v>3.15E-2</v>
      </c>
      <c r="F501" s="218">
        <v>233.69</v>
      </c>
      <c r="G501" s="218">
        <v>412.03</v>
      </c>
      <c r="H501" s="218">
        <v>1.1171</v>
      </c>
      <c r="I501" s="218">
        <v>1.7163999999999999</v>
      </c>
      <c r="J501" s="218">
        <v>1.4220999999999999</v>
      </c>
      <c r="K501" s="218">
        <v>1.0278</v>
      </c>
      <c r="L501" s="214"/>
      <c r="M501" s="214"/>
      <c r="N501" s="214"/>
      <c r="O501" s="214"/>
      <c r="P501" s="214"/>
      <c r="Q501" s="214"/>
      <c r="R501" s="214"/>
      <c r="S501" s="214"/>
      <c r="T501" s="214"/>
      <c r="U501" s="214"/>
      <c r="V501" s="214"/>
      <c r="W501" s="214"/>
      <c r="X501" s="214"/>
    </row>
    <row r="502" spans="1:24" ht="15.75" customHeight="1">
      <c r="A502" s="83"/>
      <c r="B502" s="218">
        <v>24.5</v>
      </c>
      <c r="C502" s="218">
        <v>6.56</v>
      </c>
      <c r="D502" s="218">
        <v>8.0000000000000004E-4</v>
      </c>
      <c r="E502" s="218">
        <v>3.1399999999999997E-2</v>
      </c>
      <c r="F502" s="218">
        <v>233.83</v>
      </c>
      <c r="G502" s="218">
        <v>412.08</v>
      </c>
      <c r="H502" s="218">
        <v>1.1175999999999999</v>
      </c>
      <c r="I502" s="218">
        <v>1.7163999999999999</v>
      </c>
      <c r="J502" s="218">
        <v>1.4225000000000001</v>
      </c>
      <c r="K502" s="218">
        <v>1.0284</v>
      </c>
      <c r="L502" s="214"/>
      <c r="M502" s="214"/>
      <c r="N502" s="214"/>
      <c r="O502" s="214"/>
      <c r="P502" s="214"/>
      <c r="Q502" s="214"/>
      <c r="R502" s="214"/>
      <c r="S502" s="214"/>
      <c r="T502" s="214"/>
      <c r="U502" s="214"/>
      <c r="V502" s="214"/>
      <c r="W502" s="214"/>
      <c r="X502" s="214"/>
    </row>
    <row r="503" spans="1:24" ht="15.75" customHeight="1">
      <c r="A503" s="83"/>
      <c r="B503" s="218">
        <v>24.6</v>
      </c>
      <c r="C503" s="218">
        <v>6.57</v>
      </c>
      <c r="D503" s="218">
        <v>8.0000000000000004E-4</v>
      </c>
      <c r="E503" s="218">
        <v>3.1300000000000001E-2</v>
      </c>
      <c r="F503" s="218">
        <v>233.98</v>
      </c>
      <c r="G503" s="218">
        <v>412.13</v>
      </c>
      <c r="H503" s="218">
        <v>1.1180000000000001</v>
      </c>
      <c r="I503" s="218">
        <v>1.7163999999999999</v>
      </c>
      <c r="J503" s="218">
        <v>1.423</v>
      </c>
      <c r="K503" s="218">
        <v>1.0290999999999999</v>
      </c>
      <c r="L503" s="214"/>
      <c r="M503" s="214"/>
      <c r="N503" s="214"/>
      <c r="O503" s="214"/>
      <c r="P503" s="214"/>
      <c r="Q503" s="214"/>
      <c r="R503" s="214"/>
      <c r="S503" s="214"/>
      <c r="T503" s="214"/>
      <c r="U503" s="214"/>
      <c r="V503" s="214"/>
      <c r="W503" s="214"/>
      <c r="X503" s="214"/>
    </row>
    <row r="504" spans="1:24" ht="15.75" customHeight="1">
      <c r="A504" s="83"/>
      <c r="B504" s="218">
        <v>24.7</v>
      </c>
      <c r="C504" s="218">
        <v>6.59</v>
      </c>
      <c r="D504" s="218">
        <v>8.0000000000000004E-4</v>
      </c>
      <c r="E504" s="218">
        <v>3.1199999999999999E-2</v>
      </c>
      <c r="F504" s="218">
        <v>234.12</v>
      </c>
      <c r="G504" s="218">
        <v>412.18</v>
      </c>
      <c r="H504" s="218">
        <v>1.1185</v>
      </c>
      <c r="I504" s="218">
        <v>1.7162999999999999</v>
      </c>
      <c r="J504" s="218">
        <v>1.4234</v>
      </c>
      <c r="K504" s="218">
        <v>1.0297000000000001</v>
      </c>
      <c r="L504" s="214"/>
      <c r="M504" s="214"/>
      <c r="N504" s="214"/>
      <c r="O504" s="214"/>
      <c r="P504" s="214"/>
      <c r="Q504" s="214"/>
      <c r="R504" s="214"/>
      <c r="S504" s="214"/>
      <c r="T504" s="214"/>
      <c r="U504" s="214"/>
      <c r="V504" s="214"/>
      <c r="W504" s="214"/>
      <c r="X504" s="214"/>
    </row>
    <row r="505" spans="1:24" ht="15.75" customHeight="1">
      <c r="A505" s="83"/>
      <c r="B505" s="218">
        <v>24.8</v>
      </c>
      <c r="C505" s="218">
        <v>6.61</v>
      </c>
      <c r="D505" s="218">
        <v>8.0000000000000004E-4</v>
      </c>
      <c r="E505" s="218">
        <v>3.1099999999999999E-2</v>
      </c>
      <c r="F505" s="218">
        <v>234.26</v>
      </c>
      <c r="G505" s="218">
        <v>412.23</v>
      </c>
      <c r="H505" s="218">
        <v>1.119</v>
      </c>
      <c r="I505" s="218">
        <v>1.7162999999999999</v>
      </c>
      <c r="J505" s="218">
        <v>1.4238</v>
      </c>
      <c r="K505" s="218">
        <v>1.0304</v>
      </c>
      <c r="L505" s="214"/>
      <c r="M505" s="214"/>
      <c r="N505" s="214"/>
      <c r="O505" s="214"/>
      <c r="P505" s="214"/>
      <c r="Q505" s="214"/>
      <c r="R505" s="214"/>
      <c r="S505" s="214"/>
      <c r="T505" s="214"/>
      <c r="U505" s="214"/>
      <c r="V505" s="214"/>
      <c r="W505" s="214"/>
      <c r="X505" s="214"/>
    </row>
    <row r="506" spans="1:24" ht="15.75" customHeight="1">
      <c r="A506" s="83"/>
      <c r="B506" s="218">
        <v>24.9</v>
      </c>
      <c r="C506" s="218">
        <v>6.63</v>
      </c>
      <c r="D506" s="218">
        <v>8.0000000000000004E-4</v>
      </c>
      <c r="E506" s="218">
        <v>3.1E-2</v>
      </c>
      <c r="F506" s="218">
        <v>234.4</v>
      </c>
      <c r="G506" s="218">
        <v>412.28</v>
      </c>
      <c r="H506" s="218">
        <v>1.1194</v>
      </c>
      <c r="I506" s="218">
        <v>1.7162999999999999</v>
      </c>
      <c r="J506" s="218">
        <v>1.4241999999999999</v>
      </c>
      <c r="K506" s="218">
        <v>1.0309999999999999</v>
      </c>
      <c r="L506" s="214"/>
      <c r="M506" s="214"/>
      <c r="N506" s="214"/>
      <c r="O506" s="214"/>
      <c r="P506" s="214"/>
      <c r="Q506" s="214"/>
      <c r="R506" s="214"/>
      <c r="S506" s="214"/>
      <c r="T506" s="214"/>
      <c r="U506" s="214"/>
      <c r="V506" s="214"/>
      <c r="W506" s="214"/>
      <c r="X506" s="214"/>
    </row>
    <row r="507" spans="1:24" ht="15.75" customHeight="1">
      <c r="A507" s="83"/>
      <c r="B507" s="218">
        <v>25</v>
      </c>
      <c r="C507" s="218">
        <v>6.65</v>
      </c>
      <c r="D507" s="218">
        <v>8.0000000000000004E-4</v>
      </c>
      <c r="E507" s="218">
        <v>3.09E-2</v>
      </c>
      <c r="F507" s="218">
        <v>234.55</v>
      </c>
      <c r="G507" s="218">
        <v>412.33</v>
      </c>
      <c r="H507" s="218">
        <v>1.1198999999999999</v>
      </c>
      <c r="I507" s="218">
        <v>1.7161999999999999</v>
      </c>
      <c r="J507" s="218">
        <v>1.4246000000000001</v>
      </c>
      <c r="K507" s="218">
        <v>1.0316000000000001</v>
      </c>
      <c r="L507" s="214"/>
      <c r="M507" s="214"/>
      <c r="N507" s="214"/>
      <c r="O507" s="214"/>
      <c r="P507" s="214"/>
      <c r="Q507" s="214"/>
      <c r="R507" s="214"/>
      <c r="S507" s="214"/>
      <c r="T507" s="214"/>
      <c r="U507" s="214"/>
      <c r="V507" s="214"/>
      <c r="W507" s="214"/>
      <c r="X507" s="214"/>
    </row>
    <row r="508" spans="1:24" ht="15.75" customHeight="1">
      <c r="A508" s="83"/>
      <c r="B508" s="218">
        <v>25.1</v>
      </c>
      <c r="C508" s="218">
        <v>6.67</v>
      </c>
      <c r="D508" s="218">
        <v>8.0000000000000004E-4</v>
      </c>
      <c r="E508" s="218">
        <v>3.0800000000000001E-2</v>
      </c>
      <c r="F508" s="218">
        <v>234.69</v>
      </c>
      <c r="G508" s="218">
        <v>412.38</v>
      </c>
      <c r="H508" s="218">
        <v>1.1204000000000001</v>
      </c>
      <c r="I508" s="218">
        <v>1.7161999999999999</v>
      </c>
      <c r="J508" s="218">
        <v>1.425</v>
      </c>
      <c r="K508" s="218">
        <v>1.0323</v>
      </c>
      <c r="L508" s="214"/>
      <c r="M508" s="214"/>
      <c r="N508" s="214"/>
      <c r="O508" s="214"/>
      <c r="P508" s="214"/>
      <c r="Q508" s="214"/>
      <c r="R508" s="214"/>
      <c r="S508" s="214"/>
      <c r="T508" s="214"/>
      <c r="U508" s="214"/>
      <c r="V508" s="214"/>
      <c r="W508" s="214"/>
      <c r="X508" s="214"/>
    </row>
    <row r="509" spans="1:24" ht="15.75" customHeight="1">
      <c r="A509" s="83"/>
      <c r="B509" s="218">
        <v>25.2</v>
      </c>
      <c r="C509" s="218">
        <v>6.69</v>
      </c>
      <c r="D509" s="218">
        <v>8.0000000000000004E-4</v>
      </c>
      <c r="E509" s="218">
        <v>3.0700000000000002E-2</v>
      </c>
      <c r="F509" s="218">
        <v>234.83</v>
      </c>
      <c r="G509" s="218">
        <v>412.44</v>
      </c>
      <c r="H509" s="218">
        <v>1.1209</v>
      </c>
      <c r="I509" s="218">
        <v>1.7161999999999999</v>
      </c>
      <c r="J509" s="218">
        <v>1.4254</v>
      </c>
      <c r="K509" s="218">
        <v>1.0328999999999999</v>
      </c>
      <c r="L509" s="214"/>
      <c r="M509" s="214"/>
      <c r="N509" s="214"/>
      <c r="O509" s="214"/>
      <c r="P509" s="214"/>
      <c r="Q509" s="214"/>
      <c r="R509" s="214"/>
      <c r="S509" s="214"/>
      <c r="T509" s="214"/>
      <c r="U509" s="214"/>
      <c r="V509" s="214"/>
      <c r="W509" s="214"/>
      <c r="X509" s="214"/>
    </row>
    <row r="510" spans="1:24" ht="15.75" customHeight="1">
      <c r="A510" s="83"/>
      <c r="B510" s="218">
        <v>25.3</v>
      </c>
      <c r="C510" s="218">
        <v>6.71</v>
      </c>
      <c r="D510" s="218">
        <v>8.0000000000000004E-4</v>
      </c>
      <c r="E510" s="218">
        <v>3.0599999999999999E-2</v>
      </c>
      <c r="F510" s="218">
        <v>234.97</v>
      </c>
      <c r="G510" s="218">
        <v>412.49</v>
      </c>
      <c r="H510" s="218">
        <v>1.1213</v>
      </c>
      <c r="I510" s="218">
        <v>1.7161</v>
      </c>
      <c r="J510" s="218">
        <v>1.4258999999999999</v>
      </c>
      <c r="K510" s="218">
        <v>1.0336000000000001</v>
      </c>
      <c r="L510" s="214"/>
      <c r="M510" s="214"/>
      <c r="N510" s="214"/>
      <c r="O510" s="214"/>
      <c r="P510" s="214"/>
      <c r="Q510" s="214"/>
      <c r="R510" s="214"/>
      <c r="S510" s="214"/>
      <c r="T510" s="214"/>
      <c r="U510" s="214"/>
      <c r="V510" s="214"/>
      <c r="W510" s="214"/>
      <c r="X510" s="214"/>
    </row>
    <row r="511" spans="1:24" ht="15.75" customHeight="1">
      <c r="A511" s="83"/>
      <c r="B511" s="218">
        <v>25.4</v>
      </c>
      <c r="C511" s="218">
        <v>6.73</v>
      </c>
      <c r="D511" s="218">
        <v>8.0000000000000004E-4</v>
      </c>
      <c r="E511" s="218">
        <v>3.0499999999999999E-2</v>
      </c>
      <c r="F511" s="218">
        <v>235.12</v>
      </c>
      <c r="G511" s="218">
        <v>412.54</v>
      </c>
      <c r="H511" s="218">
        <v>1.1217999999999999</v>
      </c>
      <c r="I511" s="218">
        <v>1.7161</v>
      </c>
      <c r="J511" s="218">
        <v>1.4262999999999999</v>
      </c>
      <c r="K511" s="218">
        <v>1.0342</v>
      </c>
      <c r="L511" s="214"/>
      <c r="M511" s="214"/>
      <c r="N511" s="214"/>
      <c r="O511" s="214"/>
      <c r="P511" s="214"/>
      <c r="Q511" s="214"/>
      <c r="R511" s="214"/>
      <c r="S511" s="214"/>
      <c r="T511" s="214"/>
      <c r="U511" s="214"/>
      <c r="V511" s="214"/>
      <c r="W511" s="214"/>
      <c r="X511" s="214"/>
    </row>
    <row r="512" spans="1:24" ht="15.75" customHeight="1">
      <c r="A512" s="83"/>
      <c r="B512" s="218">
        <v>25.5</v>
      </c>
      <c r="C512" s="218">
        <v>6.75</v>
      </c>
      <c r="D512" s="218">
        <v>8.0000000000000004E-4</v>
      </c>
      <c r="E512" s="218">
        <v>3.0499999999999999E-2</v>
      </c>
      <c r="F512" s="218">
        <v>235.26</v>
      </c>
      <c r="G512" s="218">
        <v>412.59</v>
      </c>
      <c r="H512" s="218">
        <v>1.1223000000000001</v>
      </c>
      <c r="I512" s="218">
        <v>1.716</v>
      </c>
      <c r="J512" s="218">
        <v>1.4267000000000001</v>
      </c>
      <c r="K512" s="218">
        <v>1.0348999999999999</v>
      </c>
      <c r="L512" s="214"/>
      <c r="M512" s="214"/>
      <c r="N512" s="214"/>
      <c r="O512" s="214"/>
      <c r="P512" s="214"/>
      <c r="Q512" s="214"/>
      <c r="R512" s="214"/>
      <c r="S512" s="214"/>
      <c r="T512" s="214"/>
      <c r="U512" s="214"/>
      <c r="V512" s="214"/>
      <c r="W512" s="214"/>
      <c r="X512" s="214"/>
    </row>
    <row r="513" spans="1:24" ht="15.75" customHeight="1">
      <c r="A513" s="83"/>
      <c r="B513" s="218">
        <v>25.6</v>
      </c>
      <c r="C513" s="218">
        <v>6.77</v>
      </c>
      <c r="D513" s="218">
        <v>8.0000000000000004E-4</v>
      </c>
      <c r="E513" s="218">
        <v>3.04E-2</v>
      </c>
      <c r="F513" s="218">
        <v>235.4</v>
      </c>
      <c r="G513" s="218">
        <v>412.64</v>
      </c>
      <c r="H513" s="218">
        <v>1.1228</v>
      </c>
      <c r="I513" s="218">
        <v>1.716</v>
      </c>
      <c r="J513" s="218">
        <v>1.4271</v>
      </c>
      <c r="K513" s="218">
        <v>1.0355000000000001</v>
      </c>
      <c r="L513" s="214"/>
      <c r="M513" s="214"/>
      <c r="N513" s="214"/>
      <c r="O513" s="214"/>
      <c r="P513" s="214"/>
      <c r="Q513" s="214"/>
      <c r="R513" s="214"/>
      <c r="S513" s="214"/>
      <c r="T513" s="214"/>
      <c r="U513" s="214"/>
      <c r="V513" s="214"/>
      <c r="W513" s="214"/>
      <c r="X513" s="214"/>
    </row>
    <row r="514" spans="1:24" ht="15.75" customHeight="1">
      <c r="A514" s="83"/>
      <c r="B514" s="218">
        <v>25.7</v>
      </c>
      <c r="C514" s="218">
        <v>6.79</v>
      </c>
      <c r="D514" s="218">
        <v>8.0000000000000004E-4</v>
      </c>
      <c r="E514" s="218">
        <v>3.0300000000000001E-2</v>
      </c>
      <c r="F514" s="218">
        <v>235.54</v>
      </c>
      <c r="G514" s="218">
        <v>412.69</v>
      </c>
      <c r="H514" s="218">
        <v>1.1232</v>
      </c>
      <c r="I514" s="218">
        <v>1.716</v>
      </c>
      <c r="J514" s="218">
        <v>1.4275</v>
      </c>
      <c r="K514" s="218">
        <v>1.0362</v>
      </c>
      <c r="L514" s="214"/>
      <c r="M514" s="214"/>
      <c r="N514" s="214"/>
      <c r="O514" s="214"/>
      <c r="P514" s="214"/>
      <c r="Q514" s="214"/>
      <c r="R514" s="214"/>
      <c r="S514" s="214"/>
      <c r="T514" s="214"/>
      <c r="U514" s="214"/>
      <c r="V514" s="214"/>
      <c r="W514" s="214"/>
      <c r="X514" s="214"/>
    </row>
    <row r="515" spans="1:24" ht="15.75" customHeight="1">
      <c r="A515" s="83"/>
      <c r="B515" s="218">
        <v>25.8</v>
      </c>
      <c r="C515" s="218">
        <v>6.81</v>
      </c>
      <c r="D515" s="218">
        <v>8.0000000000000004E-4</v>
      </c>
      <c r="E515" s="218">
        <v>3.0200000000000001E-2</v>
      </c>
      <c r="F515" s="218">
        <v>235.69</v>
      </c>
      <c r="G515" s="218">
        <v>412.74</v>
      </c>
      <c r="H515" s="218">
        <v>1.1236999999999999</v>
      </c>
      <c r="I515" s="218">
        <v>1.7159</v>
      </c>
      <c r="J515" s="218">
        <v>1.4279999999999999</v>
      </c>
      <c r="K515" s="218">
        <v>1.0368999999999999</v>
      </c>
      <c r="L515" s="214"/>
      <c r="M515" s="214"/>
      <c r="N515" s="214"/>
      <c r="O515" s="214"/>
      <c r="P515" s="214"/>
      <c r="Q515" s="214"/>
      <c r="R515" s="214"/>
      <c r="S515" s="214"/>
      <c r="T515" s="214"/>
      <c r="U515" s="214"/>
      <c r="V515" s="214"/>
      <c r="W515" s="214"/>
      <c r="X515" s="214"/>
    </row>
    <row r="516" spans="1:24" ht="15.75" customHeight="1">
      <c r="A516" s="83"/>
      <c r="B516" s="218">
        <v>25.9</v>
      </c>
      <c r="C516" s="218">
        <v>6.83</v>
      </c>
      <c r="D516" s="218">
        <v>8.0000000000000004E-4</v>
      </c>
      <c r="E516" s="218">
        <v>3.0099999999999998E-2</v>
      </c>
      <c r="F516" s="218">
        <v>235.83</v>
      </c>
      <c r="G516" s="218">
        <v>412.79</v>
      </c>
      <c r="H516" s="218">
        <v>1.1242000000000001</v>
      </c>
      <c r="I516" s="218">
        <v>1.7159</v>
      </c>
      <c r="J516" s="218">
        <v>1.4283999999999999</v>
      </c>
      <c r="K516" s="218">
        <v>1.0375000000000001</v>
      </c>
      <c r="L516" s="214"/>
      <c r="M516" s="214"/>
      <c r="N516" s="214"/>
      <c r="O516" s="214"/>
      <c r="P516" s="214"/>
      <c r="Q516" s="214"/>
      <c r="R516" s="214"/>
      <c r="S516" s="214"/>
      <c r="T516" s="214"/>
      <c r="U516" s="214"/>
      <c r="V516" s="214"/>
      <c r="W516" s="214"/>
      <c r="X516" s="214"/>
    </row>
    <row r="517" spans="1:24" ht="15.75" customHeight="1">
      <c r="A517" s="83"/>
      <c r="B517" s="218">
        <v>26</v>
      </c>
      <c r="C517" s="218">
        <v>6.85</v>
      </c>
      <c r="D517" s="218">
        <v>8.0000000000000004E-4</v>
      </c>
      <c r="E517" s="218">
        <v>0.03</v>
      </c>
      <c r="F517" s="218">
        <v>235.97</v>
      </c>
      <c r="G517" s="218">
        <v>412.84</v>
      </c>
      <c r="H517" s="218">
        <v>1.1246</v>
      </c>
      <c r="I517" s="218">
        <v>1.7159</v>
      </c>
      <c r="J517" s="218">
        <v>1.4288000000000001</v>
      </c>
      <c r="K517" s="218">
        <v>1.0382</v>
      </c>
      <c r="L517" s="214"/>
      <c r="M517" s="214"/>
      <c r="N517" s="214"/>
      <c r="O517" s="214"/>
      <c r="P517" s="214"/>
      <c r="Q517" s="214"/>
      <c r="R517" s="214"/>
      <c r="S517" s="214"/>
      <c r="T517" s="214"/>
      <c r="U517" s="214"/>
      <c r="V517" s="214"/>
      <c r="W517" s="214"/>
      <c r="X517" s="214"/>
    </row>
    <row r="518" spans="1:24" ht="15.75" customHeight="1">
      <c r="A518" s="83"/>
      <c r="B518" s="218">
        <v>26.1</v>
      </c>
      <c r="C518" s="218">
        <v>6.87</v>
      </c>
      <c r="D518" s="218">
        <v>8.0000000000000004E-4</v>
      </c>
      <c r="E518" s="218">
        <v>2.9899999999999999E-2</v>
      </c>
      <c r="F518" s="218">
        <v>236.12</v>
      </c>
      <c r="G518" s="218">
        <v>412.89</v>
      </c>
      <c r="H518" s="218">
        <v>1.1251</v>
      </c>
      <c r="I518" s="218">
        <v>1.7158</v>
      </c>
      <c r="J518" s="218">
        <v>1.4292</v>
      </c>
      <c r="K518" s="218">
        <v>1.0387999999999999</v>
      </c>
      <c r="L518" s="214"/>
      <c r="M518" s="214"/>
      <c r="N518" s="214"/>
      <c r="O518" s="214"/>
      <c r="P518" s="214"/>
      <c r="Q518" s="214"/>
      <c r="R518" s="214"/>
      <c r="S518" s="214"/>
      <c r="T518" s="214"/>
      <c r="U518" s="214"/>
      <c r="V518" s="214"/>
      <c r="W518" s="214"/>
      <c r="X518" s="214"/>
    </row>
    <row r="519" spans="1:24" ht="15.75" customHeight="1">
      <c r="A519" s="83"/>
      <c r="B519" s="218">
        <v>26.2</v>
      </c>
      <c r="C519" s="218">
        <v>6.89</v>
      </c>
      <c r="D519" s="218">
        <v>8.0000000000000004E-4</v>
      </c>
      <c r="E519" s="218">
        <v>2.98E-2</v>
      </c>
      <c r="F519" s="218">
        <v>236.26</v>
      </c>
      <c r="G519" s="218">
        <v>412.94</v>
      </c>
      <c r="H519" s="218">
        <v>1.1255999999999999</v>
      </c>
      <c r="I519" s="218">
        <v>1.7158</v>
      </c>
      <c r="J519" s="218">
        <v>1.4297</v>
      </c>
      <c r="K519" s="218">
        <v>1.0395000000000001</v>
      </c>
      <c r="L519" s="214"/>
      <c r="M519" s="214"/>
      <c r="N519" s="214"/>
      <c r="O519" s="214"/>
      <c r="P519" s="214"/>
      <c r="Q519" s="214"/>
      <c r="R519" s="214"/>
      <c r="S519" s="214"/>
      <c r="T519" s="214"/>
      <c r="U519" s="214"/>
      <c r="V519" s="214"/>
      <c r="W519" s="214"/>
      <c r="X519" s="214"/>
    </row>
    <row r="520" spans="1:24" ht="15.75" customHeight="1">
      <c r="A520" s="83"/>
      <c r="B520" s="218">
        <v>26.3</v>
      </c>
      <c r="C520" s="218">
        <v>6.92</v>
      </c>
      <c r="D520" s="218">
        <v>8.0000000000000004E-4</v>
      </c>
      <c r="E520" s="218">
        <v>2.9700000000000001E-2</v>
      </c>
      <c r="F520" s="218">
        <v>236.4</v>
      </c>
      <c r="G520" s="218">
        <v>412.99</v>
      </c>
      <c r="H520" s="218">
        <v>1.1261000000000001</v>
      </c>
      <c r="I520" s="218">
        <v>1.7158</v>
      </c>
      <c r="J520" s="218">
        <v>1.4300999999999999</v>
      </c>
      <c r="K520" s="218">
        <v>1.0401</v>
      </c>
      <c r="L520" s="214"/>
      <c r="M520" s="214"/>
      <c r="N520" s="214"/>
      <c r="O520" s="214"/>
      <c r="P520" s="214"/>
      <c r="Q520" s="214"/>
      <c r="R520" s="214"/>
      <c r="S520" s="214"/>
      <c r="T520" s="214"/>
      <c r="U520" s="214"/>
      <c r="V520" s="214"/>
      <c r="W520" s="214"/>
      <c r="X520" s="214"/>
    </row>
    <row r="521" spans="1:24" ht="15.75" customHeight="1">
      <c r="A521" s="83"/>
      <c r="B521" s="218">
        <v>26.4</v>
      </c>
      <c r="C521" s="218">
        <v>6.94</v>
      </c>
      <c r="D521" s="218">
        <v>8.0000000000000004E-4</v>
      </c>
      <c r="E521" s="218">
        <v>2.9600000000000001E-2</v>
      </c>
      <c r="F521" s="218">
        <v>236.54</v>
      </c>
      <c r="G521" s="218">
        <v>413.04</v>
      </c>
      <c r="H521" s="218">
        <v>1.1265000000000001</v>
      </c>
      <c r="I521" s="218">
        <v>1.7157</v>
      </c>
      <c r="J521" s="218">
        <v>1.4305000000000001</v>
      </c>
      <c r="K521" s="218">
        <v>1.0407999999999999</v>
      </c>
      <c r="L521" s="214"/>
      <c r="M521" s="214"/>
      <c r="N521" s="214"/>
      <c r="O521" s="214"/>
      <c r="P521" s="214"/>
      <c r="Q521" s="214"/>
      <c r="R521" s="214"/>
      <c r="S521" s="214"/>
      <c r="T521" s="214"/>
      <c r="U521" s="214"/>
      <c r="V521" s="214"/>
      <c r="W521" s="214"/>
      <c r="X521" s="214"/>
    </row>
    <row r="522" spans="1:24" ht="15.75" customHeight="1">
      <c r="A522" s="83"/>
      <c r="B522" s="218">
        <v>26.5</v>
      </c>
      <c r="C522" s="218">
        <v>6.96</v>
      </c>
      <c r="D522" s="218">
        <v>8.0000000000000004E-4</v>
      </c>
      <c r="E522" s="218">
        <v>2.9600000000000001E-2</v>
      </c>
      <c r="F522" s="218">
        <v>236.69</v>
      </c>
      <c r="G522" s="218">
        <v>413.09</v>
      </c>
      <c r="H522" s="218">
        <v>1.127</v>
      </c>
      <c r="I522" s="218">
        <v>1.7157</v>
      </c>
      <c r="J522" s="218">
        <v>1.4309000000000001</v>
      </c>
      <c r="K522" s="218">
        <v>1.0415000000000001</v>
      </c>
      <c r="L522" s="214"/>
      <c r="M522" s="214"/>
      <c r="N522" s="214"/>
      <c r="O522" s="214"/>
      <c r="P522" s="214"/>
      <c r="Q522" s="214"/>
      <c r="R522" s="214"/>
      <c r="S522" s="214"/>
      <c r="T522" s="214"/>
      <c r="U522" s="214"/>
      <c r="V522" s="214"/>
      <c r="W522" s="214"/>
      <c r="X522" s="214"/>
    </row>
    <row r="523" spans="1:24" ht="15.75" customHeight="1">
      <c r="A523" s="83"/>
      <c r="B523" s="218">
        <v>26.6</v>
      </c>
      <c r="C523" s="218">
        <v>6.98</v>
      </c>
      <c r="D523" s="218">
        <v>8.0000000000000004E-4</v>
      </c>
      <c r="E523" s="218">
        <v>2.9499999999999998E-2</v>
      </c>
      <c r="F523" s="218">
        <v>236.83</v>
      </c>
      <c r="G523" s="218">
        <v>413.14</v>
      </c>
      <c r="H523" s="218">
        <v>1.1274999999999999</v>
      </c>
      <c r="I523" s="218">
        <v>1.7157</v>
      </c>
      <c r="J523" s="218">
        <v>1.4314</v>
      </c>
      <c r="K523" s="218">
        <v>1.0421</v>
      </c>
      <c r="L523" s="214"/>
      <c r="M523" s="214"/>
      <c r="N523" s="214"/>
      <c r="O523" s="214"/>
      <c r="P523" s="214"/>
      <c r="Q523" s="214"/>
      <c r="R523" s="214"/>
      <c r="S523" s="214"/>
      <c r="T523" s="214"/>
      <c r="U523" s="214"/>
      <c r="V523" s="214"/>
      <c r="W523" s="214"/>
      <c r="X523" s="214"/>
    </row>
    <row r="524" spans="1:24" ht="15.75" customHeight="1">
      <c r="A524" s="83"/>
      <c r="B524" s="218">
        <v>26.7</v>
      </c>
      <c r="C524" s="218">
        <v>7</v>
      </c>
      <c r="D524" s="218">
        <v>8.0000000000000004E-4</v>
      </c>
      <c r="E524" s="218">
        <v>2.9399999999999999E-2</v>
      </c>
      <c r="F524" s="218">
        <v>236.97</v>
      </c>
      <c r="G524" s="218">
        <v>413.19</v>
      </c>
      <c r="H524" s="218">
        <v>1.1278999999999999</v>
      </c>
      <c r="I524" s="218">
        <v>1.7156</v>
      </c>
      <c r="J524" s="218">
        <v>1.4318</v>
      </c>
      <c r="K524" s="218">
        <v>1.0427999999999999</v>
      </c>
      <c r="L524" s="214"/>
      <c r="M524" s="214"/>
      <c r="N524" s="214"/>
      <c r="O524" s="214"/>
      <c r="P524" s="214"/>
      <c r="Q524" s="214"/>
      <c r="R524" s="214"/>
      <c r="S524" s="214"/>
      <c r="T524" s="214"/>
      <c r="U524" s="214"/>
      <c r="V524" s="214"/>
      <c r="W524" s="214"/>
      <c r="X524" s="214"/>
    </row>
    <row r="525" spans="1:24" ht="15.75" customHeight="1">
      <c r="A525" s="83"/>
      <c r="B525" s="218">
        <v>26.8</v>
      </c>
      <c r="C525" s="218">
        <v>7.02</v>
      </c>
      <c r="D525" s="218">
        <v>8.0000000000000004E-4</v>
      </c>
      <c r="E525" s="218">
        <v>2.93E-2</v>
      </c>
      <c r="F525" s="218">
        <v>237.12</v>
      </c>
      <c r="G525" s="218">
        <v>413.24</v>
      </c>
      <c r="H525" s="218">
        <v>1.1284000000000001</v>
      </c>
      <c r="I525" s="218">
        <v>1.7156</v>
      </c>
      <c r="J525" s="218">
        <v>1.4321999999999999</v>
      </c>
      <c r="K525" s="218">
        <v>1.0435000000000001</v>
      </c>
      <c r="L525" s="214"/>
      <c r="M525" s="214"/>
      <c r="N525" s="214"/>
      <c r="O525" s="214"/>
      <c r="P525" s="214"/>
      <c r="Q525" s="214"/>
      <c r="R525" s="214"/>
      <c r="S525" s="214"/>
      <c r="T525" s="214"/>
      <c r="U525" s="214"/>
      <c r="V525" s="214"/>
      <c r="W525" s="214"/>
      <c r="X525" s="214"/>
    </row>
    <row r="526" spans="1:24" ht="15.75" customHeight="1">
      <c r="A526" s="83"/>
      <c r="B526" s="218">
        <v>26.9</v>
      </c>
      <c r="C526" s="218">
        <v>7.04</v>
      </c>
      <c r="D526" s="218">
        <v>8.0000000000000004E-4</v>
      </c>
      <c r="E526" s="218">
        <v>2.92E-2</v>
      </c>
      <c r="F526" s="218">
        <v>237.26</v>
      </c>
      <c r="G526" s="218">
        <v>413.29</v>
      </c>
      <c r="H526" s="218">
        <v>1.1289</v>
      </c>
      <c r="I526" s="218">
        <v>1.7156</v>
      </c>
      <c r="J526" s="218">
        <v>1.4326000000000001</v>
      </c>
      <c r="K526" s="218">
        <v>1.0441</v>
      </c>
      <c r="L526" s="214"/>
      <c r="M526" s="214"/>
      <c r="N526" s="214"/>
      <c r="O526" s="214"/>
      <c r="P526" s="214"/>
      <c r="Q526" s="214"/>
      <c r="R526" s="214"/>
      <c r="S526" s="214"/>
      <c r="T526" s="214"/>
      <c r="U526" s="214"/>
      <c r="V526" s="214"/>
      <c r="W526" s="214"/>
      <c r="X526" s="214"/>
    </row>
    <row r="527" spans="1:24" ht="15.75" customHeight="1">
      <c r="A527" s="83"/>
      <c r="B527" s="218">
        <v>27</v>
      </c>
      <c r="C527" s="218">
        <v>7.06</v>
      </c>
      <c r="D527" s="218">
        <v>8.0000000000000004E-4</v>
      </c>
      <c r="E527" s="218">
        <v>2.9100000000000001E-2</v>
      </c>
      <c r="F527" s="218">
        <v>237.4</v>
      </c>
      <c r="G527" s="218">
        <v>413.34</v>
      </c>
      <c r="H527" s="218">
        <v>1.1294</v>
      </c>
      <c r="I527" s="218">
        <v>1.7155</v>
      </c>
      <c r="J527" s="218">
        <v>1.4331</v>
      </c>
      <c r="K527" s="218">
        <v>1.0448</v>
      </c>
      <c r="L527" s="214"/>
      <c r="M527" s="214"/>
      <c r="N527" s="214"/>
      <c r="O527" s="214"/>
      <c r="P527" s="214"/>
      <c r="Q527" s="214"/>
      <c r="R527" s="214"/>
      <c r="S527" s="214"/>
      <c r="T527" s="214"/>
      <c r="U527" s="214"/>
      <c r="V527" s="214"/>
      <c r="W527" s="214"/>
      <c r="X527" s="214"/>
    </row>
    <row r="528" spans="1:24" ht="15.75" customHeight="1">
      <c r="A528" s="83"/>
      <c r="B528" s="218">
        <v>27.1</v>
      </c>
      <c r="C528" s="218">
        <v>7.08</v>
      </c>
      <c r="D528" s="218">
        <v>8.0000000000000004E-4</v>
      </c>
      <c r="E528" s="218">
        <v>2.9000000000000001E-2</v>
      </c>
      <c r="F528" s="218">
        <v>237.55</v>
      </c>
      <c r="G528" s="218">
        <v>413.39</v>
      </c>
      <c r="H528" s="218">
        <v>1.1297999999999999</v>
      </c>
      <c r="I528" s="218">
        <v>1.7155</v>
      </c>
      <c r="J528" s="218">
        <v>1.4335</v>
      </c>
      <c r="K528" s="218">
        <v>1.0455000000000001</v>
      </c>
      <c r="L528" s="214"/>
      <c r="M528" s="214"/>
      <c r="N528" s="214"/>
      <c r="O528" s="214"/>
      <c r="P528" s="214"/>
      <c r="Q528" s="214"/>
      <c r="R528" s="214"/>
      <c r="S528" s="214"/>
      <c r="T528" s="214"/>
      <c r="U528" s="214"/>
      <c r="V528" s="214"/>
      <c r="W528" s="214"/>
      <c r="X528" s="214"/>
    </row>
    <row r="529" spans="1:24" ht="15.75" customHeight="1">
      <c r="A529" s="83"/>
      <c r="B529" s="218">
        <v>27.2</v>
      </c>
      <c r="C529" s="218">
        <v>7.1</v>
      </c>
      <c r="D529" s="218">
        <v>8.0000000000000004E-4</v>
      </c>
      <c r="E529" s="218">
        <v>2.8899999999999999E-2</v>
      </c>
      <c r="F529" s="218">
        <v>237.69</v>
      </c>
      <c r="G529" s="218">
        <v>413.44</v>
      </c>
      <c r="H529" s="218">
        <v>1.1303000000000001</v>
      </c>
      <c r="I529" s="218">
        <v>1.7155</v>
      </c>
      <c r="J529" s="218">
        <v>1.4339</v>
      </c>
      <c r="K529" s="218">
        <v>1.0461</v>
      </c>
      <c r="L529" s="214"/>
      <c r="M529" s="214"/>
      <c r="N529" s="214"/>
      <c r="O529" s="214"/>
      <c r="P529" s="214"/>
      <c r="Q529" s="214"/>
      <c r="R529" s="214"/>
      <c r="S529" s="214"/>
      <c r="T529" s="214"/>
      <c r="U529" s="214"/>
      <c r="V529" s="214"/>
      <c r="W529" s="214"/>
      <c r="X529" s="214"/>
    </row>
    <row r="530" spans="1:24" ht="15.75" customHeight="1">
      <c r="A530" s="83"/>
      <c r="B530" s="218">
        <v>27.3</v>
      </c>
      <c r="C530" s="218">
        <v>7.12</v>
      </c>
      <c r="D530" s="218">
        <v>8.0000000000000004E-4</v>
      </c>
      <c r="E530" s="218">
        <v>2.8899999999999999E-2</v>
      </c>
      <c r="F530" s="218">
        <v>237.83</v>
      </c>
      <c r="G530" s="218">
        <v>413.49</v>
      </c>
      <c r="H530" s="218">
        <v>1.1308</v>
      </c>
      <c r="I530" s="218">
        <v>1.7154</v>
      </c>
      <c r="J530" s="218">
        <v>1.4343999999999999</v>
      </c>
      <c r="K530" s="218">
        <v>1.0468</v>
      </c>
      <c r="L530" s="214"/>
      <c r="M530" s="214"/>
      <c r="N530" s="214"/>
      <c r="O530" s="214"/>
      <c r="P530" s="214"/>
      <c r="Q530" s="214"/>
      <c r="R530" s="214"/>
      <c r="S530" s="214"/>
      <c r="T530" s="214"/>
      <c r="U530" s="214"/>
      <c r="V530" s="214"/>
      <c r="W530" s="214"/>
      <c r="X530" s="214"/>
    </row>
    <row r="531" spans="1:24" ht="15.75" customHeight="1">
      <c r="A531" s="83"/>
      <c r="B531" s="218">
        <v>27.4</v>
      </c>
      <c r="C531" s="218">
        <v>7.14</v>
      </c>
      <c r="D531" s="218">
        <v>8.0000000000000004E-4</v>
      </c>
      <c r="E531" s="218">
        <v>2.8799999999999999E-2</v>
      </c>
      <c r="F531" s="218">
        <v>237.98</v>
      </c>
      <c r="G531" s="218">
        <v>413.54</v>
      </c>
      <c r="H531" s="218">
        <v>1.1312</v>
      </c>
      <c r="I531" s="218">
        <v>1.7154</v>
      </c>
      <c r="J531" s="218">
        <v>1.4348000000000001</v>
      </c>
      <c r="K531" s="218">
        <v>1.0475000000000001</v>
      </c>
      <c r="L531" s="214"/>
      <c r="M531" s="214"/>
      <c r="N531" s="214"/>
      <c r="O531" s="214"/>
      <c r="P531" s="214"/>
      <c r="Q531" s="214"/>
      <c r="R531" s="214"/>
      <c r="S531" s="214"/>
      <c r="T531" s="214"/>
      <c r="U531" s="214"/>
      <c r="V531" s="214"/>
      <c r="W531" s="214"/>
      <c r="X531" s="214"/>
    </row>
    <row r="532" spans="1:24" ht="15.75" customHeight="1">
      <c r="A532" s="83"/>
      <c r="B532" s="218">
        <v>27.5</v>
      </c>
      <c r="C532" s="218">
        <v>7.16</v>
      </c>
      <c r="D532" s="218">
        <v>8.0000000000000004E-4</v>
      </c>
      <c r="E532" s="218">
        <v>2.87E-2</v>
      </c>
      <c r="F532" s="218">
        <v>238.12</v>
      </c>
      <c r="G532" s="218">
        <v>413.59</v>
      </c>
      <c r="H532" s="218">
        <v>1.1316999999999999</v>
      </c>
      <c r="I532" s="218">
        <v>1.7154</v>
      </c>
      <c r="J532" s="218">
        <v>1.4353</v>
      </c>
      <c r="K532" s="218">
        <v>1.0482</v>
      </c>
      <c r="L532" s="214"/>
      <c r="M532" s="214"/>
      <c r="N532" s="214"/>
      <c r="O532" s="214"/>
      <c r="P532" s="214"/>
      <c r="Q532" s="214"/>
      <c r="R532" s="214"/>
      <c r="S532" s="214"/>
      <c r="T532" s="214"/>
      <c r="U532" s="214"/>
      <c r="V532" s="214"/>
      <c r="W532" s="214"/>
      <c r="X532" s="214"/>
    </row>
    <row r="533" spans="1:24" ht="15.75" customHeight="1">
      <c r="A533" s="83"/>
      <c r="B533" s="218">
        <v>27.6</v>
      </c>
      <c r="C533" s="218">
        <v>7.18</v>
      </c>
      <c r="D533" s="218">
        <v>8.0000000000000004E-4</v>
      </c>
      <c r="E533" s="218">
        <v>2.86E-2</v>
      </c>
      <c r="F533" s="218">
        <v>238.26</v>
      </c>
      <c r="G533" s="218">
        <v>413.64</v>
      </c>
      <c r="H533" s="218">
        <v>1.1322000000000001</v>
      </c>
      <c r="I533" s="218">
        <v>1.7153</v>
      </c>
      <c r="J533" s="218">
        <v>1.4357</v>
      </c>
      <c r="K533" s="218">
        <v>1.0488</v>
      </c>
      <c r="L533" s="214"/>
      <c r="M533" s="214"/>
      <c r="N533" s="214"/>
      <c r="O533" s="214"/>
      <c r="P533" s="214"/>
      <c r="Q533" s="214"/>
      <c r="R533" s="214"/>
      <c r="S533" s="214"/>
      <c r="T533" s="214"/>
      <c r="U533" s="214"/>
      <c r="V533" s="214"/>
      <c r="W533" s="214"/>
      <c r="X533" s="214"/>
    </row>
    <row r="534" spans="1:24" ht="15.75" customHeight="1">
      <c r="A534" s="83"/>
      <c r="B534" s="218">
        <v>27.7</v>
      </c>
      <c r="C534" s="218">
        <v>7.21</v>
      </c>
      <c r="D534" s="218">
        <v>8.0000000000000004E-4</v>
      </c>
      <c r="E534" s="218">
        <v>2.8500000000000001E-2</v>
      </c>
      <c r="F534" s="218">
        <v>238.41</v>
      </c>
      <c r="G534" s="218">
        <v>413.69</v>
      </c>
      <c r="H534" s="218">
        <v>1.1327</v>
      </c>
      <c r="I534" s="218">
        <v>1.7153</v>
      </c>
      <c r="J534" s="218">
        <v>1.4360999999999999</v>
      </c>
      <c r="K534" s="218">
        <v>1.0495000000000001</v>
      </c>
      <c r="L534" s="214"/>
      <c r="M534" s="214"/>
      <c r="N534" s="214"/>
      <c r="O534" s="214"/>
      <c r="P534" s="214"/>
      <c r="Q534" s="214"/>
      <c r="R534" s="214"/>
      <c r="S534" s="214"/>
      <c r="T534" s="214"/>
      <c r="U534" s="214"/>
      <c r="V534" s="214"/>
      <c r="W534" s="214"/>
      <c r="X534" s="214"/>
    </row>
    <row r="535" spans="1:24" ht="15.75" customHeight="1">
      <c r="A535" s="83"/>
      <c r="B535" s="218">
        <v>27.8</v>
      </c>
      <c r="C535" s="218">
        <v>7.23</v>
      </c>
      <c r="D535" s="218">
        <v>8.0000000000000004E-4</v>
      </c>
      <c r="E535" s="218">
        <v>2.8400000000000002E-2</v>
      </c>
      <c r="F535" s="218">
        <v>238.55</v>
      </c>
      <c r="G535" s="218">
        <v>413.74</v>
      </c>
      <c r="H535" s="218">
        <v>1.1331</v>
      </c>
      <c r="I535" s="218">
        <v>1.7152000000000001</v>
      </c>
      <c r="J535" s="218">
        <v>1.4366000000000001</v>
      </c>
      <c r="K535" s="218">
        <v>1.0502</v>
      </c>
      <c r="L535" s="214"/>
      <c r="M535" s="214"/>
      <c r="N535" s="214"/>
      <c r="O535" s="214"/>
      <c r="P535" s="214"/>
      <c r="Q535" s="214"/>
      <c r="R535" s="214"/>
      <c r="S535" s="214"/>
      <c r="T535" s="214"/>
      <c r="U535" s="214"/>
      <c r="V535" s="214"/>
      <c r="W535" s="214"/>
      <c r="X535" s="214"/>
    </row>
    <row r="536" spans="1:24" ht="15.75" customHeight="1">
      <c r="A536" s="83"/>
      <c r="B536" s="218">
        <v>27.9</v>
      </c>
      <c r="C536" s="218">
        <v>7.25</v>
      </c>
      <c r="D536" s="218">
        <v>8.0000000000000004E-4</v>
      </c>
      <c r="E536" s="218">
        <v>2.8299999999999999E-2</v>
      </c>
      <c r="F536" s="218">
        <v>238.7</v>
      </c>
      <c r="G536" s="218">
        <v>413.79</v>
      </c>
      <c r="H536" s="218">
        <v>1.1335999999999999</v>
      </c>
      <c r="I536" s="218">
        <v>1.7152000000000001</v>
      </c>
      <c r="J536" s="218">
        <v>1.4370000000000001</v>
      </c>
      <c r="K536" s="218">
        <v>1.0508999999999999</v>
      </c>
      <c r="L536" s="214"/>
      <c r="M536" s="214"/>
      <c r="N536" s="214"/>
      <c r="O536" s="214"/>
      <c r="P536" s="214"/>
      <c r="Q536" s="214"/>
      <c r="R536" s="214"/>
      <c r="S536" s="214"/>
      <c r="T536" s="214"/>
      <c r="U536" s="214"/>
      <c r="V536" s="214"/>
      <c r="W536" s="214"/>
      <c r="X536" s="214"/>
    </row>
    <row r="537" spans="1:24" ht="15.75" customHeight="1">
      <c r="A537" s="83"/>
      <c r="B537" s="218">
        <v>28</v>
      </c>
      <c r="C537" s="218">
        <v>7.27</v>
      </c>
      <c r="D537" s="218">
        <v>8.0000000000000004E-4</v>
      </c>
      <c r="E537" s="218">
        <v>2.8299999999999999E-2</v>
      </c>
      <c r="F537" s="218">
        <v>238.84</v>
      </c>
      <c r="G537" s="218">
        <v>413.84</v>
      </c>
      <c r="H537" s="218">
        <v>1.1341000000000001</v>
      </c>
      <c r="I537" s="218">
        <v>1.7152000000000001</v>
      </c>
      <c r="J537" s="218">
        <v>1.4375</v>
      </c>
      <c r="K537" s="218">
        <v>1.0516000000000001</v>
      </c>
      <c r="L537" s="214"/>
      <c r="M537" s="214"/>
      <c r="N537" s="214"/>
      <c r="O537" s="214"/>
      <c r="P537" s="214"/>
      <c r="Q537" s="214"/>
      <c r="R537" s="214"/>
      <c r="S537" s="214"/>
      <c r="T537" s="214"/>
      <c r="U537" s="214"/>
      <c r="V537" s="214"/>
      <c r="W537" s="214"/>
      <c r="X537" s="214"/>
    </row>
    <row r="538" spans="1:24" ht="15.75" customHeight="1">
      <c r="A538" s="83"/>
      <c r="B538" s="218">
        <v>28.1</v>
      </c>
      <c r="C538" s="218">
        <v>7.29</v>
      </c>
      <c r="D538" s="218">
        <v>8.0000000000000004E-4</v>
      </c>
      <c r="E538" s="218">
        <v>2.8199999999999999E-2</v>
      </c>
      <c r="F538" s="218">
        <v>238.98</v>
      </c>
      <c r="G538" s="218">
        <v>413.89</v>
      </c>
      <c r="H538" s="218">
        <v>1.1346000000000001</v>
      </c>
      <c r="I538" s="218">
        <v>1.7151000000000001</v>
      </c>
      <c r="J538" s="218">
        <v>1.4379</v>
      </c>
      <c r="K538" s="218">
        <v>1.0523</v>
      </c>
      <c r="L538" s="214"/>
      <c r="M538" s="214"/>
      <c r="N538" s="214"/>
      <c r="O538" s="214"/>
      <c r="P538" s="214"/>
      <c r="Q538" s="214"/>
      <c r="R538" s="214"/>
      <c r="S538" s="214"/>
      <c r="T538" s="214"/>
      <c r="U538" s="214"/>
      <c r="V538" s="214"/>
      <c r="W538" s="214"/>
      <c r="X538" s="214"/>
    </row>
    <row r="539" spans="1:24" ht="15.75" customHeight="1">
      <c r="A539" s="83"/>
      <c r="B539" s="218">
        <v>28.2</v>
      </c>
      <c r="C539" s="218">
        <v>7.31</v>
      </c>
      <c r="D539" s="218">
        <v>8.0000000000000004E-4</v>
      </c>
      <c r="E539" s="218">
        <v>2.81E-2</v>
      </c>
      <c r="F539" s="218">
        <v>239.13</v>
      </c>
      <c r="G539" s="218">
        <v>413.94</v>
      </c>
      <c r="H539" s="218">
        <v>1.135</v>
      </c>
      <c r="I539" s="218">
        <v>1.7151000000000001</v>
      </c>
      <c r="J539" s="218">
        <v>1.4382999999999999</v>
      </c>
      <c r="K539" s="218">
        <v>1.0528999999999999</v>
      </c>
      <c r="L539" s="214"/>
      <c r="M539" s="214"/>
      <c r="N539" s="214"/>
      <c r="O539" s="214"/>
      <c r="P539" s="214"/>
      <c r="Q539" s="214"/>
      <c r="R539" s="214"/>
      <c r="S539" s="214"/>
      <c r="T539" s="214"/>
      <c r="U539" s="214"/>
      <c r="V539" s="214"/>
      <c r="W539" s="214"/>
      <c r="X539" s="214"/>
    </row>
    <row r="540" spans="1:24" ht="15.75" customHeight="1">
      <c r="A540" s="83"/>
      <c r="B540" s="218">
        <v>28.3</v>
      </c>
      <c r="C540" s="218">
        <v>7.33</v>
      </c>
      <c r="D540" s="218">
        <v>8.0000000000000004E-4</v>
      </c>
      <c r="E540" s="218">
        <v>2.8000000000000001E-2</v>
      </c>
      <c r="F540" s="218">
        <v>239.27</v>
      </c>
      <c r="G540" s="218">
        <v>413.99</v>
      </c>
      <c r="H540" s="218">
        <v>1.1355</v>
      </c>
      <c r="I540" s="218">
        <v>1.7151000000000001</v>
      </c>
      <c r="J540" s="218">
        <v>1.4388000000000001</v>
      </c>
      <c r="K540" s="218">
        <v>1.0536000000000001</v>
      </c>
      <c r="L540" s="214"/>
      <c r="M540" s="214"/>
      <c r="N540" s="214"/>
      <c r="O540" s="214"/>
      <c r="P540" s="214"/>
      <c r="Q540" s="214"/>
      <c r="R540" s="214"/>
      <c r="S540" s="214"/>
      <c r="T540" s="214"/>
      <c r="U540" s="214"/>
      <c r="V540" s="214"/>
      <c r="W540" s="214"/>
      <c r="X540" s="214"/>
    </row>
    <row r="541" spans="1:24" ht="15.75" customHeight="1">
      <c r="A541" s="83"/>
      <c r="B541" s="218">
        <v>28.4</v>
      </c>
      <c r="C541" s="218">
        <v>7.35</v>
      </c>
      <c r="D541" s="218">
        <v>8.0000000000000004E-4</v>
      </c>
      <c r="E541" s="218">
        <v>2.7900000000000001E-2</v>
      </c>
      <c r="F541" s="218">
        <v>239.41</v>
      </c>
      <c r="G541" s="218">
        <v>414.04</v>
      </c>
      <c r="H541" s="218">
        <v>1.1359999999999999</v>
      </c>
      <c r="I541" s="218">
        <v>1.7150000000000001</v>
      </c>
      <c r="J541" s="218">
        <v>1.4392</v>
      </c>
      <c r="K541" s="218">
        <v>1.0543</v>
      </c>
      <c r="L541" s="214"/>
      <c r="M541" s="214"/>
      <c r="N541" s="214"/>
      <c r="O541" s="214"/>
      <c r="P541" s="214"/>
      <c r="Q541" s="214"/>
      <c r="R541" s="214"/>
      <c r="S541" s="214"/>
      <c r="T541" s="214"/>
      <c r="U541" s="214"/>
      <c r="V541" s="214"/>
      <c r="W541" s="214"/>
      <c r="X541" s="214"/>
    </row>
    <row r="542" spans="1:24" ht="15.75" customHeight="1">
      <c r="A542" s="83"/>
      <c r="B542" s="218">
        <v>28.5</v>
      </c>
      <c r="C542" s="218">
        <v>7.38</v>
      </c>
      <c r="D542" s="218">
        <v>8.0000000000000004E-4</v>
      </c>
      <c r="E542" s="218">
        <v>2.7799999999999998E-2</v>
      </c>
      <c r="F542" s="218">
        <v>239.56</v>
      </c>
      <c r="G542" s="218">
        <v>414.08</v>
      </c>
      <c r="H542" s="218">
        <v>1.1364000000000001</v>
      </c>
      <c r="I542" s="218">
        <v>1.7150000000000001</v>
      </c>
      <c r="J542" s="218">
        <v>1.4397</v>
      </c>
      <c r="K542" s="218">
        <v>1.0549999999999999</v>
      </c>
      <c r="L542" s="214"/>
      <c r="M542" s="214"/>
      <c r="N542" s="214"/>
      <c r="O542" s="214"/>
      <c r="P542" s="214"/>
      <c r="Q542" s="214"/>
      <c r="R542" s="214"/>
      <c r="S542" s="214"/>
      <c r="T542" s="214"/>
      <c r="U542" s="214"/>
      <c r="V542" s="214"/>
      <c r="W542" s="214"/>
      <c r="X542" s="214"/>
    </row>
    <row r="543" spans="1:24" ht="15.75" customHeight="1">
      <c r="A543" s="83"/>
      <c r="B543" s="218">
        <v>28.6</v>
      </c>
      <c r="C543" s="218">
        <v>7.4</v>
      </c>
      <c r="D543" s="218">
        <v>8.0000000000000004E-4</v>
      </c>
      <c r="E543" s="218">
        <v>2.7799999999999998E-2</v>
      </c>
      <c r="F543" s="218">
        <v>239.7</v>
      </c>
      <c r="G543" s="218">
        <v>414.13</v>
      </c>
      <c r="H543" s="218">
        <v>1.1369</v>
      </c>
      <c r="I543" s="218">
        <v>1.7150000000000001</v>
      </c>
      <c r="J543" s="218">
        <v>1.4400999999999999</v>
      </c>
      <c r="K543" s="218">
        <v>1.0557000000000001</v>
      </c>
      <c r="L543" s="214"/>
      <c r="M543" s="214"/>
      <c r="N543" s="214"/>
      <c r="O543" s="214"/>
      <c r="P543" s="214"/>
      <c r="Q543" s="214"/>
      <c r="R543" s="214"/>
      <c r="S543" s="214"/>
      <c r="T543" s="214"/>
      <c r="U543" s="214"/>
      <c r="V543" s="214"/>
      <c r="W543" s="214"/>
      <c r="X543" s="214"/>
    </row>
    <row r="544" spans="1:24" ht="15.75" customHeight="1">
      <c r="A544" s="83"/>
      <c r="B544" s="218">
        <v>28.7</v>
      </c>
      <c r="C544" s="218">
        <v>7.42</v>
      </c>
      <c r="D544" s="218">
        <v>8.0000000000000004E-4</v>
      </c>
      <c r="E544" s="218">
        <v>2.7699999999999999E-2</v>
      </c>
      <c r="F544" s="218">
        <v>239.85</v>
      </c>
      <c r="G544" s="218">
        <v>414.18</v>
      </c>
      <c r="H544" s="218">
        <v>1.1374</v>
      </c>
      <c r="I544" s="218">
        <v>1.7149000000000001</v>
      </c>
      <c r="J544" s="218">
        <v>1.4406000000000001</v>
      </c>
      <c r="K544" s="218">
        <v>1.0564</v>
      </c>
      <c r="L544" s="214"/>
      <c r="M544" s="214"/>
      <c r="N544" s="214"/>
      <c r="O544" s="214"/>
      <c r="P544" s="214"/>
      <c r="Q544" s="214"/>
      <c r="R544" s="214"/>
      <c r="S544" s="214"/>
      <c r="T544" s="214"/>
      <c r="U544" s="214"/>
      <c r="V544" s="214"/>
      <c r="W544" s="214"/>
      <c r="X544" s="214"/>
    </row>
    <row r="545" spans="1:24" ht="15.75" customHeight="1">
      <c r="A545" s="83"/>
      <c r="B545" s="218">
        <v>28.8</v>
      </c>
      <c r="C545" s="218">
        <v>7.44</v>
      </c>
      <c r="D545" s="218">
        <v>8.0000000000000004E-4</v>
      </c>
      <c r="E545" s="218">
        <v>2.76E-2</v>
      </c>
      <c r="F545" s="218">
        <v>239.99</v>
      </c>
      <c r="G545" s="218">
        <v>414.23</v>
      </c>
      <c r="H545" s="218">
        <v>1.1377999999999999</v>
      </c>
      <c r="I545" s="218">
        <v>1.7149000000000001</v>
      </c>
      <c r="J545" s="218">
        <v>1.4410000000000001</v>
      </c>
      <c r="K545" s="218">
        <v>1.0570999999999999</v>
      </c>
      <c r="L545" s="214"/>
      <c r="M545" s="214"/>
      <c r="N545" s="214"/>
      <c r="O545" s="214"/>
      <c r="P545" s="214"/>
      <c r="Q545" s="214"/>
      <c r="R545" s="214"/>
      <c r="S545" s="214"/>
      <c r="T545" s="214"/>
      <c r="U545" s="214"/>
      <c r="V545" s="214"/>
      <c r="W545" s="214"/>
      <c r="X545" s="214"/>
    </row>
    <row r="546" spans="1:24" ht="15.75" customHeight="1">
      <c r="A546" s="83"/>
      <c r="B546" s="218">
        <v>28.9</v>
      </c>
      <c r="C546" s="218">
        <v>7.46</v>
      </c>
      <c r="D546" s="218">
        <v>8.0000000000000004E-4</v>
      </c>
      <c r="E546" s="218">
        <v>2.75E-2</v>
      </c>
      <c r="F546" s="218">
        <v>240.13</v>
      </c>
      <c r="G546" s="218">
        <v>414.28</v>
      </c>
      <c r="H546" s="218">
        <v>1.1383000000000001</v>
      </c>
      <c r="I546" s="218">
        <v>1.7149000000000001</v>
      </c>
      <c r="J546" s="218">
        <v>1.4415</v>
      </c>
      <c r="K546" s="218">
        <v>1.0578000000000001</v>
      </c>
      <c r="L546" s="214"/>
      <c r="M546" s="214"/>
      <c r="N546" s="214"/>
      <c r="O546" s="214"/>
      <c r="P546" s="214"/>
      <c r="Q546" s="214"/>
      <c r="R546" s="214"/>
      <c r="S546" s="214"/>
      <c r="T546" s="214"/>
      <c r="U546" s="214"/>
      <c r="V546" s="214"/>
      <c r="W546" s="214"/>
      <c r="X546" s="214"/>
    </row>
    <row r="547" spans="1:24" ht="15.75" customHeight="1">
      <c r="A547" s="83"/>
      <c r="B547" s="218">
        <v>29</v>
      </c>
      <c r="C547" s="218">
        <v>7.48</v>
      </c>
      <c r="D547" s="218">
        <v>8.0000000000000004E-4</v>
      </c>
      <c r="E547" s="218">
        <v>2.7400000000000001E-2</v>
      </c>
      <c r="F547" s="218">
        <v>240.28</v>
      </c>
      <c r="G547" s="218">
        <v>414.33</v>
      </c>
      <c r="H547" s="218">
        <v>1.1388</v>
      </c>
      <c r="I547" s="218">
        <v>1.7148000000000001</v>
      </c>
      <c r="J547" s="218">
        <v>1.4419</v>
      </c>
      <c r="K547" s="218">
        <v>1.0585</v>
      </c>
      <c r="L547" s="214"/>
      <c r="M547" s="214"/>
      <c r="N547" s="214"/>
      <c r="O547" s="214"/>
      <c r="P547" s="214"/>
      <c r="Q547" s="214"/>
      <c r="R547" s="214"/>
      <c r="S547" s="214"/>
      <c r="T547" s="214"/>
      <c r="U547" s="214"/>
      <c r="V547" s="214"/>
      <c r="W547" s="214"/>
      <c r="X547" s="214"/>
    </row>
    <row r="548" spans="1:24" ht="15.75" customHeight="1">
      <c r="A548" s="83"/>
      <c r="B548" s="218">
        <v>29.1</v>
      </c>
      <c r="C548" s="218">
        <v>7.5</v>
      </c>
      <c r="D548" s="218">
        <v>8.0000000000000004E-4</v>
      </c>
      <c r="E548" s="218">
        <v>2.7400000000000001E-2</v>
      </c>
      <c r="F548" s="218">
        <v>240.42</v>
      </c>
      <c r="G548" s="218">
        <v>414.38</v>
      </c>
      <c r="H548" s="218">
        <v>1.1393</v>
      </c>
      <c r="I548" s="218">
        <v>1.7148000000000001</v>
      </c>
      <c r="J548" s="218">
        <v>1.4423999999999999</v>
      </c>
      <c r="K548" s="218">
        <v>1.0591999999999999</v>
      </c>
      <c r="L548" s="214"/>
      <c r="M548" s="214"/>
      <c r="N548" s="214"/>
      <c r="O548" s="214"/>
      <c r="P548" s="214"/>
      <c r="Q548" s="214"/>
      <c r="R548" s="214"/>
      <c r="S548" s="214"/>
      <c r="T548" s="214"/>
      <c r="U548" s="214"/>
      <c r="V548" s="214"/>
      <c r="W548" s="214"/>
      <c r="X548" s="214"/>
    </row>
    <row r="549" spans="1:24" ht="15.75" customHeight="1">
      <c r="A549" s="83"/>
      <c r="B549" s="218">
        <v>29.2</v>
      </c>
      <c r="C549" s="218">
        <v>7.53</v>
      </c>
      <c r="D549" s="218">
        <v>8.0000000000000004E-4</v>
      </c>
      <c r="E549" s="218">
        <v>2.7300000000000001E-2</v>
      </c>
      <c r="F549" s="218">
        <v>240.57</v>
      </c>
      <c r="G549" s="218">
        <v>414.43</v>
      </c>
      <c r="H549" s="218">
        <v>1.1396999999999999</v>
      </c>
      <c r="I549" s="218">
        <v>1.7148000000000001</v>
      </c>
      <c r="J549" s="218">
        <v>1.4428000000000001</v>
      </c>
      <c r="K549" s="218">
        <v>1.0599000000000001</v>
      </c>
      <c r="L549" s="214"/>
      <c r="M549" s="214"/>
      <c r="N549" s="214"/>
      <c r="O549" s="214"/>
      <c r="P549" s="214"/>
      <c r="Q549" s="214"/>
      <c r="R549" s="214"/>
      <c r="S549" s="214"/>
      <c r="T549" s="214"/>
      <c r="U549" s="214"/>
      <c r="V549" s="214"/>
      <c r="W549" s="214"/>
      <c r="X549" s="214"/>
    </row>
    <row r="550" spans="1:24" ht="15.75" customHeight="1">
      <c r="A550" s="83"/>
      <c r="B550" s="218">
        <v>29.3</v>
      </c>
      <c r="C550" s="218">
        <v>7.55</v>
      </c>
      <c r="D550" s="218">
        <v>8.0000000000000004E-4</v>
      </c>
      <c r="E550" s="218">
        <v>2.7199999999999998E-2</v>
      </c>
      <c r="F550" s="218">
        <v>240.71</v>
      </c>
      <c r="G550" s="218">
        <v>414.48</v>
      </c>
      <c r="H550" s="218">
        <v>1.1402000000000001</v>
      </c>
      <c r="I550" s="218">
        <v>1.7146999999999999</v>
      </c>
      <c r="J550" s="218">
        <v>1.4433</v>
      </c>
      <c r="K550" s="218">
        <v>1.0606</v>
      </c>
      <c r="L550" s="214"/>
      <c r="M550" s="214"/>
      <c r="N550" s="214"/>
      <c r="O550" s="214"/>
      <c r="P550" s="214"/>
      <c r="Q550" s="214"/>
      <c r="R550" s="214"/>
      <c r="S550" s="214"/>
      <c r="T550" s="214"/>
      <c r="U550" s="214"/>
      <c r="V550" s="214"/>
      <c r="W550" s="214"/>
      <c r="X550" s="214"/>
    </row>
    <row r="551" spans="1:24" ht="15.75" customHeight="1">
      <c r="A551" s="83"/>
      <c r="B551" s="218">
        <v>29.4</v>
      </c>
      <c r="C551" s="218">
        <v>7.57</v>
      </c>
      <c r="D551" s="218">
        <v>8.0000000000000004E-4</v>
      </c>
      <c r="E551" s="218">
        <v>2.7099999999999999E-2</v>
      </c>
      <c r="F551" s="218">
        <v>240.86</v>
      </c>
      <c r="G551" s="218">
        <v>414.53</v>
      </c>
      <c r="H551" s="218">
        <v>1.1407</v>
      </c>
      <c r="I551" s="218">
        <v>1.7146999999999999</v>
      </c>
      <c r="J551" s="218">
        <v>1.4437</v>
      </c>
      <c r="K551" s="218">
        <v>1.0612999999999999</v>
      </c>
      <c r="L551" s="214"/>
      <c r="M551" s="214"/>
      <c r="N551" s="214"/>
      <c r="O551" s="214"/>
      <c r="P551" s="214"/>
      <c r="Q551" s="214"/>
      <c r="R551" s="214"/>
      <c r="S551" s="214"/>
      <c r="T551" s="214"/>
      <c r="U551" s="214"/>
      <c r="V551" s="214"/>
      <c r="W551" s="214"/>
      <c r="X551" s="214"/>
    </row>
    <row r="552" spans="1:24" ht="15.75" customHeight="1">
      <c r="A552" s="83"/>
      <c r="B552" s="218">
        <v>29.5</v>
      </c>
      <c r="C552" s="218">
        <v>7.59</v>
      </c>
      <c r="D552" s="218">
        <v>8.0000000000000004E-4</v>
      </c>
      <c r="E552" s="218">
        <v>2.7E-2</v>
      </c>
      <c r="F552" s="218">
        <v>241</v>
      </c>
      <c r="G552" s="218">
        <v>414.57</v>
      </c>
      <c r="H552" s="218">
        <v>1.1411</v>
      </c>
      <c r="I552" s="218">
        <v>1.7146999999999999</v>
      </c>
      <c r="J552" s="218">
        <v>1.4441999999999999</v>
      </c>
      <c r="K552" s="218">
        <v>1.0620000000000001</v>
      </c>
      <c r="L552" s="214"/>
      <c r="M552" s="214"/>
      <c r="N552" s="214"/>
      <c r="O552" s="214"/>
      <c r="P552" s="214"/>
      <c r="Q552" s="214"/>
      <c r="R552" s="214"/>
      <c r="S552" s="214"/>
      <c r="T552" s="214"/>
      <c r="U552" s="214"/>
      <c r="V552" s="214"/>
      <c r="W552" s="214"/>
      <c r="X552" s="214"/>
    </row>
    <row r="553" spans="1:24" ht="15.75" customHeight="1">
      <c r="A553" s="83"/>
      <c r="B553" s="218">
        <v>29.6</v>
      </c>
      <c r="C553" s="218">
        <v>7.61</v>
      </c>
      <c r="D553" s="218">
        <v>8.0000000000000004E-4</v>
      </c>
      <c r="E553" s="218">
        <v>2.7E-2</v>
      </c>
      <c r="F553" s="218">
        <v>241.14</v>
      </c>
      <c r="G553" s="218">
        <v>414.62</v>
      </c>
      <c r="H553" s="218">
        <v>1.1415999999999999</v>
      </c>
      <c r="I553" s="218">
        <v>1.7145999999999999</v>
      </c>
      <c r="J553" s="218">
        <v>1.4446000000000001</v>
      </c>
      <c r="K553" s="218">
        <v>1.0627</v>
      </c>
      <c r="L553" s="214"/>
      <c r="M553" s="214"/>
      <c r="N553" s="214"/>
      <c r="O553" s="214"/>
      <c r="P553" s="214"/>
      <c r="Q553" s="214"/>
      <c r="R553" s="214"/>
      <c r="S553" s="214"/>
      <c r="T553" s="214"/>
      <c r="U553" s="214"/>
      <c r="V553" s="214"/>
      <c r="W553" s="214"/>
      <c r="X553" s="214"/>
    </row>
    <row r="554" spans="1:24" ht="15.75" customHeight="1">
      <c r="A554" s="83"/>
      <c r="B554" s="218">
        <v>29.7</v>
      </c>
      <c r="C554" s="218">
        <v>7.64</v>
      </c>
      <c r="D554" s="218">
        <v>8.0000000000000004E-4</v>
      </c>
      <c r="E554" s="218">
        <v>2.69E-2</v>
      </c>
      <c r="F554" s="218">
        <v>241.29</v>
      </c>
      <c r="G554" s="218">
        <v>414.67</v>
      </c>
      <c r="H554" s="218">
        <v>1.1420999999999999</v>
      </c>
      <c r="I554" s="218">
        <v>1.7145999999999999</v>
      </c>
      <c r="J554" s="218">
        <v>1.4451000000000001</v>
      </c>
      <c r="K554" s="218">
        <v>1.0633999999999999</v>
      </c>
      <c r="L554" s="214"/>
      <c r="M554" s="214"/>
      <c r="N554" s="214"/>
      <c r="O554" s="214"/>
      <c r="P554" s="214"/>
      <c r="Q554" s="214"/>
      <c r="R554" s="214"/>
      <c r="S554" s="214"/>
      <c r="T554" s="214"/>
      <c r="U554" s="214"/>
      <c r="V554" s="214"/>
      <c r="W554" s="214"/>
      <c r="X554" s="214"/>
    </row>
    <row r="555" spans="1:24" ht="15.75" customHeight="1">
      <c r="A555" s="83"/>
      <c r="B555" s="218">
        <v>29.8</v>
      </c>
      <c r="C555" s="218">
        <v>7.66</v>
      </c>
      <c r="D555" s="218">
        <v>8.0000000000000004E-4</v>
      </c>
      <c r="E555" s="218">
        <v>2.6800000000000001E-2</v>
      </c>
      <c r="F555" s="218">
        <v>241.43</v>
      </c>
      <c r="G555" s="218">
        <v>414.72</v>
      </c>
      <c r="H555" s="218">
        <v>1.1426000000000001</v>
      </c>
      <c r="I555" s="218">
        <v>1.7145999999999999</v>
      </c>
      <c r="J555" s="218">
        <v>1.4456</v>
      </c>
      <c r="K555" s="218">
        <v>1.0641</v>
      </c>
      <c r="L555" s="214"/>
      <c r="M555" s="214"/>
      <c r="N555" s="214"/>
      <c r="O555" s="214"/>
      <c r="P555" s="214"/>
      <c r="Q555" s="214"/>
      <c r="R555" s="214"/>
      <c r="S555" s="214"/>
      <c r="T555" s="214"/>
      <c r="U555" s="214"/>
      <c r="V555" s="214"/>
      <c r="W555" s="214"/>
      <c r="X555" s="214"/>
    </row>
    <row r="556" spans="1:24" ht="15.75" customHeight="1">
      <c r="A556" s="83"/>
      <c r="B556" s="218">
        <v>29.9</v>
      </c>
      <c r="C556" s="218">
        <v>7.68</v>
      </c>
      <c r="D556" s="218">
        <v>8.0000000000000004E-4</v>
      </c>
      <c r="E556" s="218">
        <v>2.6700000000000002E-2</v>
      </c>
      <c r="F556" s="218">
        <v>241.58</v>
      </c>
      <c r="G556" s="218">
        <v>414.77</v>
      </c>
      <c r="H556" s="218">
        <v>1.143</v>
      </c>
      <c r="I556" s="218">
        <v>1.7144999999999999</v>
      </c>
      <c r="J556" s="218">
        <v>1.446</v>
      </c>
      <c r="K556" s="218">
        <v>1.0648</v>
      </c>
      <c r="L556" s="214"/>
      <c r="M556" s="214"/>
      <c r="N556" s="214"/>
      <c r="O556" s="214"/>
      <c r="P556" s="214"/>
      <c r="Q556" s="214"/>
      <c r="R556" s="214"/>
      <c r="S556" s="214"/>
      <c r="T556" s="214"/>
      <c r="U556" s="214"/>
      <c r="V556" s="214"/>
      <c r="W556" s="214"/>
      <c r="X556" s="214"/>
    </row>
    <row r="557" spans="1:24" ht="15.75" customHeight="1">
      <c r="A557" s="83"/>
      <c r="B557" s="218">
        <v>30</v>
      </c>
      <c r="C557" s="218">
        <v>7.7</v>
      </c>
      <c r="D557" s="218">
        <v>8.0000000000000004E-4</v>
      </c>
      <c r="E557" s="218">
        <v>2.6599999999999999E-2</v>
      </c>
      <c r="F557" s="218">
        <v>241.72</v>
      </c>
      <c r="G557" s="218">
        <v>414.82</v>
      </c>
      <c r="H557" s="218">
        <v>1.1435</v>
      </c>
      <c r="I557" s="218">
        <v>1.7144999999999999</v>
      </c>
      <c r="J557" s="218">
        <v>1.4464999999999999</v>
      </c>
      <c r="K557" s="218">
        <v>1.0654999999999999</v>
      </c>
      <c r="L557" s="214"/>
      <c r="M557" s="214"/>
      <c r="N557" s="214"/>
      <c r="O557" s="214"/>
      <c r="P557" s="214"/>
      <c r="Q557" s="214"/>
      <c r="R557" s="214"/>
      <c r="S557" s="214"/>
      <c r="T557" s="214"/>
      <c r="U557" s="214"/>
      <c r="V557" s="214"/>
      <c r="W557" s="214"/>
      <c r="X557" s="214"/>
    </row>
    <row r="558" spans="1:24" ht="15.75" customHeight="1">
      <c r="A558" s="83"/>
      <c r="B558" s="218">
        <v>30.1</v>
      </c>
      <c r="C558" s="218">
        <v>7.72</v>
      </c>
      <c r="D558" s="218">
        <v>8.0000000000000004E-4</v>
      </c>
      <c r="E558" s="218">
        <v>2.6599999999999999E-2</v>
      </c>
      <c r="F558" s="218">
        <v>241.87</v>
      </c>
      <c r="G558" s="218">
        <v>414.87</v>
      </c>
      <c r="H558" s="218">
        <v>1.1439999999999999</v>
      </c>
      <c r="I558" s="218">
        <v>1.7144999999999999</v>
      </c>
      <c r="J558" s="218">
        <v>1.4469000000000001</v>
      </c>
      <c r="K558" s="218">
        <v>1.0662</v>
      </c>
      <c r="L558" s="214"/>
      <c r="M558" s="214"/>
      <c r="N558" s="214"/>
      <c r="O558" s="214"/>
      <c r="P558" s="214"/>
      <c r="Q558" s="214"/>
      <c r="R558" s="214"/>
      <c r="S558" s="214"/>
      <c r="T558" s="214"/>
      <c r="U558" s="214"/>
      <c r="V558" s="214"/>
      <c r="W558" s="214"/>
      <c r="X558" s="214"/>
    </row>
    <row r="559" spans="1:24" ht="15.75" customHeight="1">
      <c r="A559" s="83"/>
      <c r="B559" s="218">
        <v>30.2</v>
      </c>
      <c r="C559" s="218">
        <v>7.75</v>
      </c>
      <c r="D559" s="218">
        <v>8.0000000000000004E-4</v>
      </c>
      <c r="E559" s="218">
        <v>2.6499999999999999E-2</v>
      </c>
      <c r="F559" s="218">
        <v>242.01</v>
      </c>
      <c r="G559" s="218">
        <v>414.92</v>
      </c>
      <c r="H559" s="218">
        <v>1.1444000000000001</v>
      </c>
      <c r="I559" s="218">
        <v>1.7143999999999999</v>
      </c>
      <c r="J559" s="218">
        <v>1.4474</v>
      </c>
      <c r="K559" s="218">
        <v>1.0669</v>
      </c>
      <c r="L559" s="214"/>
      <c r="M559" s="214"/>
      <c r="N559" s="214"/>
      <c r="O559" s="214"/>
      <c r="P559" s="214"/>
      <c r="Q559" s="214"/>
      <c r="R559" s="214"/>
      <c r="S559" s="214"/>
      <c r="T559" s="214"/>
      <c r="U559" s="214"/>
      <c r="V559" s="214"/>
      <c r="W559" s="214"/>
      <c r="X559" s="214"/>
    </row>
    <row r="560" spans="1:24" ht="15.75" customHeight="1">
      <c r="A560" s="83"/>
      <c r="B560" s="218">
        <v>30.3</v>
      </c>
      <c r="C560" s="218">
        <v>7.77</v>
      </c>
      <c r="D560" s="218">
        <v>8.0000000000000004E-4</v>
      </c>
      <c r="E560" s="218">
        <v>2.64E-2</v>
      </c>
      <c r="F560" s="218">
        <v>242.16</v>
      </c>
      <c r="G560" s="218">
        <v>414.96</v>
      </c>
      <c r="H560" s="218">
        <v>1.1449</v>
      </c>
      <c r="I560" s="218">
        <v>1.7143999999999999</v>
      </c>
      <c r="J560" s="218">
        <v>1.4479</v>
      </c>
      <c r="K560" s="218">
        <v>1.0676000000000001</v>
      </c>
      <c r="L560" s="214"/>
      <c r="M560" s="214"/>
      <c r="N560" s="214"/>
      <c r="O560" s="214"/>
      <c r="P560" s="214"/>
      <c r="Q560" s="214"/>
      <c r="R560" s="214"/>
      <c r="S560" s="214"/>
      <c r="T560" s="214"/>
      <c r="U560" s="214"/>
      <c r="V560" s="214"/>
      <c r="W560" s="214"/>
      <c r="X560" s="214"/>
    </row>
    <row r="561" spans="1:24" ht="15.75" customHeight="1">
      <c r="A561" s="83"/>
      <c r="B561" s="218">
        <v>30.4</v>
      </c>
      <c r="C561" s="218">
        <v>7.79</v>
      </c>
      <c r="D561" s="218">
        <v>8.0000000000000004E-4</v>
      </c>
      <c r="E561" s="218">
        <v>2.63E-2</v>
      </c>
      <c r="F561" s="218">
        <v>242.3</v>
      </c>
      <c r="G561" s="218">
        <v>415.01</v>
      </c>
      <c r="H561" s="218">
        <v>1.1454</v>
      </c>
      <c r="I561" s="218">
        <v>1.7143999999999999</v>
      </c>
      <c r="J561" s="218">
        <v>1.4482999999999999</v>
      </c>
      <c r="K561" s="218">
        <v>1.0683</v>
      </c>
      <c r="L561" s="214"/>
      <c r="M561" s="214"/>
      <c r="N561" s="214"/>
      <c r="O561" s="214"/>
      <c r="P561" s="214"/>
      <c r="Q561" s="214"/>
      <c r="R561" s="214"/>
      <c r="S561" s="214"/>
      <c r="T561" s="214"/>
      <c r="U561" s="214"/>
      <c r="V561" s="214"/>
      <c r="W561" s="214"/>
      <c r="X561" s="214"/>
    </row>
    <row r="562" spans="1:24" ht="15.75" customHeight="1">
      <c r="A562" s="83"/>
      <c r="B562" s="218">
        <v>30.5</v>
      </c>
      <c r="C562" s="218">
        <v>7.81</v>
      </c>
      <c r="D562" s="218">
        <v>8.0000000000000004E-4</v>
      </c>
      <c r="E562" s="218">
        <v>2.63E-2</v>
      </c>
      <c r="F562" s="218">
        <v>242.45</v>
      </c>
      <c r="G562" s="218">
        <v>415.06</v>
      </c>
      <c r="H562" s="218">
        <v>1.1458999999999999</v>
      </c>
      <c r="I562" s="218">
        <v>1.7142999999999999</v>
      </c>
      <c r="J562" s="218">
        <v>1.4488000000000001</v>
      </c>
      <c r="K562" s="218">
        <v>1.069</v>
      </c>
      <c r="L562" s="214"/>
      <c r="M562" s="214"/>
      <c r="N562" s="214"/>
      <c r="O562" s="214"/>
      <c r="P562" s="214"/>
      <c r="Q562" s="214"/>
      <c r="R562" s="214"/>
      <c r="S562" s="214"/>
      <c r="T562" s="214"/>
      <c r="U562" s="214"/>
      <c r="V562" s="214"/>
      <c r="W562" s="214"/>
      <c r="X562" s="214"/>
    </row>
    <row r="563" spans="1:24" ht="15.75" customHeight="1">
      <c r="A563" s="83"/>
      <c r="B563" s="218">
        <v>30.6</v>
      </c>
      <c r="C563" s="218">
        <v>7.84</v>
      </c>
      <c r="D563" s="218">
        <v>8.0000000000000004E-4</v>
      </c>
      <c r="E563" s="218">
        <v>2.6200000000000001E-2</v>
      </c>
      <c r="F563" s="218">
        <v>242.59</v>
      </c>
      <c r="G563" s="218">
        <v>415.11</v>
      </c>
      <c r="H563" s="218">
        <v>1.1463000000000001</v>
      </c>
      <c r="I563" s="218">
        <v>1.7142999999999999</v>
      </c>
      <c r="J563" s="218">
        <v>1.4493</v>
      </c>
      <c r="K563" s="218">
        <v>1.0698000000000001</v>
      </c>
      <c r="L563" s="214"/>
      <c r="M563" s="214"/>
      <c r="N563" s="214"/>
      <c r="O563" s="214"/>
      <c r="P563" s="214"/>
      <c r="Q563" s="214"/>
      <c r="R563" s="214"/>
      <c r="S563" s="214"/>
      <c r="T563" s="214"/>
      <c r="U563" s="214"/>
      <c r="V563" s="214"/>
      <c r="W563" s="214"/>
      <c r="X563" s="214"/>
    </row>
    <row r="564" spans="1:24" ht="15.75" customHeight="1">
      <c r="A564" s="83"/>
      <c r="B564" s="218">
        <v>30.7</v>
      </c>
      <c r="C564" s="218">
        <v>7.86</v>
      </c>
      <c r="D564" s="218">
        <v>8.0000000000000004E-4</v>
      </c>
      <c r="E564" s="218">
        <v>2.6100000000000002E-2</v>
      </c>
      <c r="F564" s="218">
        <v>242.74</v>
      </c>
      <c r="G564" s="218">
        <v>415.16</v>
      </c>
      <c r="H564" s="218">
        <v>1.1468</v>
      </c>
      <c r="I564" s="218">
        <v>1.7142999999999999</v>
      </c>
      <c r="J564" s="218">
        <v>1.4497</v>
      </c>
      <c r="K564" s="218">
        <v>1.0705</v>
      </c>
      <c r="L564" s="214"/>
      <c r="M564" s="214"/>
      <c r="N564" s="214"/>
      <c r="O564" s="214"/>
      <c r="P564" s="214"/>
      <c r="Q564" s="214"/>
      <c r="R564" s="214"/>
      <c r="S564" s="214"/>
      <c r="T564" s="214"/>
      <c r="U564" s="214"/>
      <c r="V564" s="214"/>
      <c r="W564" s="214"/>
      <c r="X564" s="214"/>
    </row>
    <row r="565" spans="1:24" ht="15.75" customHeight="1">
      <c r="A565" s="83"/>
      <c r="B565" s="218">
        <v>30.8</v>
      </c>
      <c r="C565" s="218">
        <v>7.88</v>
      </c>
      <c r="D565" s="218">
        <v>8.0000000000000004E-4</v>
      </c>
      <c r="E565" s="218">
        <v>2.5999999999999999E-2</v>
      </c>
      <c r="F565" s="218">
        <v>242.88</v>
      </c>
      <c r="G565" s="218">
        <v>415.21</v>
      </c>
      <c r="H565" s="218">
        <v>1.1473</v>
      </c>
      <c r="I565" s="218">
        <v>1.7141999999999999</v>
      </c>
      <c r="J565" s="218">
        <v>1.4501999999999999</v>
      </c>
      <c r="K565" s="218">
        <v>1.0711999999999999</v>
      </c>
      <c r="L565" s="214"/>
      <c r="M565" s="214"/>
      <c r="N565" s="214"/>
      <c r="O565" s="214"/>
      <c r="P565" s="214"/>
      <c r="Q565" s="214"/>
      <c r="R565" s="214"/>
      <c r="S565" s="214"/>
      <c r="T565" s="214"/>
      <c r="U565" s="214"/>
      <c r="V565" s="214"/>
      <c r="W565" s="214"/>
      <c r="X565" s="214"/>
    </row>
    <row r="566" spans="1:24" ht="15.75" customHeight="1">
      <c r="A566" s="83"/>
      <c r="B566" s="218">
        <v>30.9</v>
      </c>
      <c r="C566" s="218">
        <v>7.9</v>
      </c>
      <c r="D566" s="218">
        <v>8.0000000000000004E-4</v>
      </c>
      <c r="E566" s="218">
        <v>2.5899999999999999E-2</v>
      </c>
      <c r="F566" s="218">
        <v>243.03</v>
      </c>
      <c r="G566" s="218">
        <v>415.25</v>
      </c>
      <c r="H566" s="218">
        <v>1.1476999999999999</v>
      </c>
      <c r="I566" s="218">
        <v>1.7141999999999999</v>
      </c>
      <c r="J566" s="218">
        <v>1.4507000000000001</v>
      </c>
      <c r="K566" s="218">
        <v>1.0719000000000001</v>
      </c>
      <c r="L566" s="214"/>
      <c r="M566" s="214"/>
      <c r="N566" s="214"/>
      <c r="O566" s="214"/>
      <c r="P566" s="214"/>
      <c r="Q566" s="214"/>
      <c r="R566" s="214"/>
      <c r="S566" s="214"/>
      <c r="T566" s="214"/>
      <c r="U566" s="214"/>
      <c r="V566" s="214"/>
      <c r="W566" s="214"/>
      <c r="X566" s="214"/>
    </row>
    <row r="567" spans="1:24" ht="15.75" customHeight="1">
      <c r="A567" s="83"/>
      <c r="B567" s="218">
        <v>31</v>
      </c>
      <c r="C567" s="218">
        <v>7.93</v>
      </c>
      <c r="D567" s="218">
        <v>8.0000000000000004E-4</v>
      </c>
      <c r="E567" s="218">
        <v>2.5899999999999999E-2</v>
      </c>
      <c r="F567" s="218">
        <v>243.17</v>
      </c>
      <c r="G567" s="218">
        <v>415.3</v>
      </c>
      <c r="H567" s="218">
        <v>1.1482000000000001</v>
      </c>
      <c r="I567" s="218">
        <v>1.7141999999999999</v>
      </c>
      <c r="J567" s="218">
        <v>1.4511000000000001</v>
      </c>
      <c r="K567" s="218">
        <v>1.0727</v>
      </c>
      <c r="L567" s="214"/>
      <c r="M567" s="214"/>
      <c r="N567" s="214"/>
      <c r="O567" s="214"/>
      <c r="P567" s="214"/>
      <c r="Q567" s="214"/>
      <c r="R567" s="214"/>
      <c r="S567" s="214"/>
      <c r="T567" s="214"/>
      <c r="U567" s="214"/>
      <c r="V567" s="214"/>
      <c r="W567" s="214"/>
      <c r="X567" s="214"/>
    </row>
    <row r="568" spans="1:24" ht="15.75" customHeight="1">
      <c r="A568" s="83"/>
      <c r="B568" s="218">
        <v>31.1</v>
      </c>
      <c r="C568" s="218">
        <v>7.95</v>
      </c>
      <c r="D568" s="218">
        <v>8.0000000000000004E-4</v>
      </c>
      <c r="E568" s="218">
        <v>2.58E-2</v>
      </c>
      <c r="F568" s="218">
        <v>243.32</v>
      </c>
      <c r="G568" s="218">
        <v>415.35</v>
      </c>
      <c r="H568" s="218">
        <v>1.1487000000000001</v>
      </c>
      <c r="I568" s="218">
        <v>1.7141</v>
      </c>
      <c r="J568" s="218">
        <v>1.4516</v>
      </c>
      <c r="K568" s="218">
        <v>1.0733999999999999</v>
      </c>
      <c r="L568" s="214"/>
      <c r="M568" s="214"/>
      <c r="N568" s="214"/>
      <c r="O568" s="214"/>
      <c r="P568" s="214"/>
      <c r="Q568" s="214"/>
      <c r="R568" s="214"/>
      <c r="S568" s="214"/>
      <c r="T568" s="214"/>
      <c r="U568" s="214"/>
      <c r="V568" s="214"/>
      <c r="W568" s="214"/>
      <c r="X568" s="214"/>
    </row>
    <row r="569" spans="1:24" ht="15.75" customHeight="1">
      <c r="A569" s="83"/>
      <c r="B569" s="218">
        <v>31.2</v>
      </c>
      <c r="C569" s="218">
        <v>7.97</v>
      </c>
      <c r="D569" s="218">
        <v>8.0000000000000004E-4</v>
      </c>
      <c r="E569" s="218">
        <v>2.5700000000000001E-2</v>
      </c>
      <c r="F569" s="218">
        <v>243.46</v>
      </c>
      <c r="G569" s="218">
        <v>415.4</v>
      </c>
      <c r="H569" s="218">
        <v>1.1491</v>
      </c>
      <c r="I569" s="218">
        <v>1.7141</v>
      </c>
      <c r="J569" s="218">
        <v>1.4520999999999999</v>
      </c>
      <c r="K569" s="218">
        <v>1.0741000000000001</v>
      </c>
      <c r="L569" s="214"/>
      <c r="M569" s="214"/>
      <c r="N569" s="214"/>
      <c r="O569" s="214"/>
      <c r="P569" s="214"/>
      <c r="Q569" s="214"/>
      <c r="R569" s="214"/>
      <c r="S569" s="214"/>
      <c r="T569" s="214"/>
      <c r="U569" s="214"/>
      <c r="V569" s="214"/>
      <c r="W569" s="214"/>
      <c r="X569" s="214"/>
    </row>
    <row r="570" spans="1:24" ht="15.75" customHeight="1">
      <c r="A570" s="83"/>
      <c r="B570" s="218">
        <v>31.3</v>
      </c>
      <c r="C570" s="218">
        <v>7.99</v>
      </c>
      <c r="D570" s="218">
        <v>8.0000000000000004E-4</v>
      </c>
      <c r="E570" s="218">
        <v>2.5600000000000001E-2</v>
      </c>
      <c r="F570" s="218">
        <v>243.61</v>
      </c>
      <c r="G570" s="218">
        <v>415.45</v>
      </c>
      <c r="H570" s="218">
        <v>1.1496</v>
      </c>
      <c r="I570" s="218">
        <v>1.714</v>
      </c>
      <c r="J570" s="218">
        <v>1.4525999999999999</v>
      </c>
      <c r="K570" s="218">
        <v>1.0748</v>
      </c>
      <c r="L570" s="214"/>
      <c r="M570" s="214"/>
      <c r="N570" s="214"/>
      <c r="O570" s="214"/>
      <c r="P570" s="214"/>
      <c r="Q570" s="214"/>
      <c r="R570" s="214"/>
      <c r="S570" s="214"/>
      <c r="T570" s="214"/>
      <c r="U570" s="214"/>
      <c r="V570" s="214"/>
      <c r="W570" s="214"/>
      <c r="X570" s="214"/>
    </row>
    <row r="571" spans="1:24" ht="15.75" customHeight="1">
      <c r="A571" s="83"/>
      <c r="B571" s="218">
        <v>31.4</v>
      </c>
      <c r="C571" s="218">
        <v>8.02</v>
      </c>
      <c r="D571" s="218">
        <v>8.0000000000000004E-4</v>
      </c>
      <c r="E571" s="218">
        <v>2.5600000000000001E-2</v>
      </c>
      <c r="F571" s="218">
        <v>243.75</v>
      </c>
      <c r="G571" s="218">
        <v>415.49</v>
      </c>
      <c r="H571" s="218">
        <v>1.1500999999999999</v>
      </c>
      <c r="I571" s="218">
        <v>1.714</v>
      </c>
      <c r="J571" s="218">
        <v>1.4530000000000001</v>
      </c>
      <c r="K571" s="218">
        <v>1.0755999999999999</v>
      </c>
      <c r="L571" s="214"/>
      <c r="M571" s="214"/>
      <c r="N571" s="214"/>
      <c r="O571" s="214"/>
      <c r="P571" s="214"/>
      <c r="Q571" s="214"/>
      <c r="R571" s="214"/>
      <c r="S571" s="214"/>
      <c r="T571" s="214"/>
      <c r="U571" s="214"/>
      <c r="V571" s="214"/>
      <c r="W571" s="214"/>
      <c r="X571" s="214"/>
    </row>
    <row r="572" spans="1:24" ht="15.75" customHeight="1">
      <c r="A572" s="83"/>
      <c r="B572" s="218">
        <v>31.5</v>
      </c>
      <c r="C572" s="218">
        <v>8.0399999999999991</v>
      </c>
      <c r="D572" s="218">
        <v>8.0000000000000004E-4</v>
      </c>
      <c r="E572" s="218">
        <v>2.5499999999999998E-2</v>
      </c>
      <c r="F572" s="218">
        <v>243.9</v>
      </c>
      <c r="G572" s="218">
        <v>415.54</v>
      </c>
      <c r="H572" s="218">
        <v>1.1506000000000001</v>
      </c>
      <c r="I572" s="218">
        <v>1.714</v>
      </c>
      <c r="J572" s="218">
        <v>1.4535</v>
      </c>
      <c r="K572" s="218">
        <v>1.0763</v>
      </c>
      <c r="L572" s="214"/>
      <c r="M572" s="214"/>
      <c r="N572" s="214"/>
      <c r="O572" s="214"/>
      <c r="P572" s="214"/>
      <c r="Q572" s="214"/>
      <c r="R572" s="214"/>
      <c r="S572" s="214"/>
      <c r="T572" s="214"/>
      <c r="U572" s="214"/>
      <c r="V572" s="214"/>
      <c r="W572" s="214"/>
      <c r="X572" s="214"/>
    </row>
    <row r="573" spans="1:24" ht="15.75" customHeight="1">
      <c r="A573" s="83"/>
      <c r="B573" s="218">
        <v>31.6</v>
      </c>
      <c r="C573" s="218">
        <v>8.06</v>
      </c>
      <c r="D573" s="218">
        <v>8.0000000000000004E-4</v>
      </c>
      <c r="E573" s="218">
        <v>2.5399999999999999E-2</v>
      </c>
      <c r="F573" s="218">
        <v>244.04</v>
      </c>
      <c r="G573" s="218">
        <v>415.59</v>
      </c>
      <c r="H573" s="218">
        <v>1.151</v>
      </c>
      <c r="I573" s="218">
        <v>1.7139</v>
      </c>
      <c r="J573" s="218">
        <v>1.454</v>
      </c>
      <c r="K573" s="218">
        <v>1.077</v>
      </c>
      <c r="L573" s="214"/>
      <c r="M573" s="214"/>
      <c r="N573" s="214"/>
      <c r="O573" s="214"/>
      <c r="P573" s="214"/>
      <c r="Q573" s="214"/>
      <c r="R573" s="214"/>
      <c r="S573" s="214"/>
      <c r="T573" s="214"/>
      <c r="U573" s="214"/>
      <c r="V573" s="214"/>
      <c r="W573" s="214"/>
      <c r="X573" s="214"/>
    </row>
    <row r="574" spans="1:24" ht="15.75" customHeight="1">
      <c r="A574" s="83"/>
      <c r="B574" s="218">
        <v>31.7</v>
      </c>
      <c r="C574" s="218">
        <v>8.09</v>
      </c>
      <c r="D574" s="218">
        <v>8.0000000000000004E-4</v>
      </c>
      <c r="E574" s="218">
        <v>2.53E-2</v>
      </c>
      <c r="F574" s="218">
        <v>244.19</v>
      </c>
      <c r="G574" s="218">
        <v>415.64</v>
      </c>
      <c r="H574" s="218">
        <v>1.1515</v>
      </c>
      <c r="I574" s="218">
        <v>1.7139</v>
      </c>
      <c r="J574" s="218">
        <v>1.4544999999999999</v>
      </c>
      <c r="K574" s="218">
        <v>1.0778000000000001</v>
      </c>
      <c r="L574" s="214"/>
      <c r="M574" s="214"/>
      <c r="N574" s="214"/>
      <c r="O574" s="214"/>
      <c r="P574" s="214"/>
      <c r="Q574" s="214"/>
      <c r="R574" s="214"/>
      <c r="S574" s="214"/>
      <c r="T574" s="214"/>
      <c r="U574" s="214"/>
      <c r="V574" s="214"/>
      <c r="W574" s="214"/>
      <c r="X574" s="214"/>
    </row>
    <row r="575" spans="1:24" ht="15.75" customHeight="1">
      <c r="A575" s="83"/>
      <c r="B575" s="218">
        <v>31.8</v>
      </c>
      <c r="C575" s="218">
        <v>8.11</v>
      </c>
      <c r="D575" s="218">
        <v>8.0000000000000004E-4</v>
      </c>
      <c r="E575" s="218">
        <v>2.53E-2</v>
      </c>
      <c r="F575" s="218">
        <v>244.33</v>
      </c>
      <c r="G575" s="218">
        <v>415.69</v>
      </c>
      <c r="H575" s="218">
        <v>1.1519999999999999</v>
      </c>
      <c r="I575" s="218">
        <v>1.7139</v>
      </c>
      <c r="J575" s="218">
        <v>1.4549000000000001</v>
      </c>
      <c r="K575" s="218">
        <v>1.0785</v>
      </c>
      <c r="L575" s="214"/>
      <c r="M575" s="214"/>
      <c r="N575" s="214"/>
      <c r="O575" s="214"/>
      <c r="P575" s="214"/>
      <c r="Q575" s="214"/>
      <c r="R575" s="214"/>
      <c r="S575" s="214"/>
      <c r="T575" s="214"/>
      <c r="U575" s="214"/>
      <c r="V575" s="214"/>
      <c r="W575" s="214"/>
      <c r="X575" s="214"/>
    </row>
    <row r="576" spans="1:24" ht="15.75" customHeight="1">
      <c r="A576" s="83"/>
      <c r="B576" s="218">
        <v>31.9</v>
      </c>
      <c r="C576" s="218">
        <v>8.1300000000000008</v>
      </c>
      <c r="D576" s="218">
        <v>8.0000000000000004E-4</v>
      </c>
      <c r="E576" s="218">
        <v>2.52E-2</v>
      </c>
      <c r="F576" s="218">
        <v>244.48</v>
      </c>
      <c r="G576" s="218">
        <v>415.73</v>
      </c>
      <c r="H576" s="218">
        <v>1.1524000000000001</v>
      </c>
      <c r="I576" s="218">
        <v>1.7138</v>
      </c>
      <c r="J576" s="218">
        <v>1.4554</v>
      </c>
      <c r="K576" s="218">
        <v>1.0791999999999999</v>
      </c>
      <c r="L576" s="214"/>
      <c r="M576" s="214"/>
      <c r="N576" s="214"/>
      <c r="O576" s="214"/>
      <c r="P576" s="214"/>
      <c r="Q576" s="214"/>
      <c r="R576" s="214"/>
      <c r="S576" s="214"/>
      <c r="T576" s="214"/>
      <c r="U576" s="214"/>
      <c r="V576" s="214"/>
      <c r="W576" s="214"/>
      <c r="X576" s="214"/>
    </row>
    <row r="577" spans="1:24" ht="15.75" customHeight="1">
      <c r="A577" s="83"/>
      <c r="B577" s="218">
        <v>32</v>
      </c>
      <c r="C577" s="218">
        <v>8.15</v>
      </c>
      <c r="D577" s="218">
        <v>8.0000000000000004E-4</v>
      </c>
      <c r="E577" s="218">
        <v>2.5100000000000001E-2</v>
      </c>
      <c r="F577" s="218">
        <v>244.62</v>
      </c>
      <c r="G577" s="218">
        <v>415.78</v>
      </c>
      <c r="H577" s="218">
        <v>1.1529</v>
      </c>
      <c r="I577" s="218">
        <v>1.7138</v>
      </c>
      <c r="J577" s="218">
        <v>1.4559</v>
      </c>
      <c r="K577" s="218">
        <v>1.08</v>
      </c>
      <c r="L577" s="214"/>
      <c r="M577" s="214"/>
      <c r="N577" s="214"/>
      <c r="O577" s="214"/>
      <c r="P577" s="214"/>
      <c r="Q577" s="214"/>
      <c r="R577" s="214"/>
      <c r="S577" s="214"/>
      <c r="T577" s="214"/>
      <c r="U577" s="214"/>
      <c r="V577" s="214"/>
      <c r="W577" s="214"/>
      <c r="X577" s="214"/>
    </row>
    <row r="578" spans="1:24" ht="15.75" customHeight="1">
      <c r="A578" s="83"/>
      <c r="B578" s="218">
        <v>32.1</v>
      </c>
      <c r="C578" s="218">
        <v>8.18</v>
      </c>
      <c r="D578" s="218">
        <v>8.0000000000000004E-4</v>
      </c>
      <c r="E578" s="218">
        <v>2.5100000000000001E-2</v>
      </c>
      <c r="F578" s="218">
        <v>244.77</v>
      </c>
      <c r="G578" s="218">
        <v>415.83</v>
      </c>
      <c r="H578" s="218">
        <v>1.1534</v>
      </c>
      <c r="I578" s="218">
        <v>1.7138</v>
      </c>
      <c r="J578" s="218">
        <v>1.4563999999999999</v>
      </c>
      <c r="K578" s="218">
        <v>1.0807</v>
      </c>
      <c r="L578" s="214"/>
      <c r="M578" s="214"/>
      <c r="N578" s="214"/>
      <c r="O578" s="214"/>
      <c r="P578" s="214"/>
      <c r="Q578" s="214"/>
      <c r="R578" s="214"/>
      <c r="S578" s="214"/>
      <c r="T578" s="214"/>
      <c r="U578" s="214"/>
      <c r="V578" s="214"/>
      <c r="W578" s="214"/>
      <c r="X578" s="214"/>
    </row>
    <row r="579" spans="1:24" ht="15.75" customHeight="1">
      <c r="A579" s="83"/>
      <c r="B579" s="218">
        <v>32.200000000000003</v>
      </c>
      <c r="C579" s="218">
        <v>8.1999999999999993</v>
      </c>
      <c r="D579" s="218">
        <v>8.0000000000000004E-4</v>
      </c>
      <c r="E579" s="218">
        <v>2.5000000000000001E-2</v>
      </c>
      <c r="F579" s="218">
        <v>244.91</v>
      </c>
      <c r="G579" s="218">
        <v>415.88</v>
      </c>
      <c r="H579" s="218">
        <v>1.1538999999999999</v>
      </c>
      <c r="I579" s="218">
        <v>1.7137</v>
      </c>
      <c r="J579" s="218">
        <v>1.4569000000000001</v>
      </c>
      <c r="K579" s="218">
        <v>1.0813999999999999</v>
      </c>
      <c r="L579" s="214"/>
      <c r="M579" s="214"/>
      <c r="N579" s="214"/>
      <c r="O579" s="214"/>
      <c r="P579" s="214"/>
      <c r="Q579" s="214"/>
      <c r="R579" s="214"/>
      <c r="S579" s="214"/>
      <c r="T579" s="214"/>
      <c r="U579" s="214"/>
      <c r="V579" s="214"/>
      <c r="W579" s="214"/>
      <c r="X579" s="214"/>
    </row>
    <row r="580" spans="1:24" ht="15.75" customHeight="1">
      <c r="A580" s="83"/>
      <c r="B580" s="218">
        <v>32.299999999999997</v>
      </c>
      <c r="C580" s="218">
        <v>8.2200000000000006</v>
      </c>
      <c r="D580" s="218">
        <v>8.0000000000000004E-4</v>
      </c>
      <c r="E580" s="218">
        <v>2.4899999999999999E-2</v>
      </c>
      <c r="F580" s="218">
        <v>245.06</v>
      </c>
      <c r="G580" s="218">
        <v>415.92</v>
      </c>
      <c r="H580" s="218">
        <v>1.1543000000000001</v>
      </c>
      <c r="I580" s="218">
        <v>1.7137</v>
      </c>
      <c r="J580" s="218">
        <v>1.4574</v>
      </c>
      <c r="K580" s="218">
        <v>1.0822000000000001</v>
      </c>
      <c r="L580" s="214"/>
      <c r="M580" s="214"/>
      <c r="N580" s="214"/>
      <c r="O580" s="214"/>
      <c r="P580" s="214"/>
      <c r="Q580" s="214"/>
      <c r="R580" s="214"/>
      <c r="S580" s="214"/>
      <c r="T580" s="214"/>
      <c r="U580" s="214"/>
      <c r="V580" s="214"/>
      <c r="W580" s="214"/>
      <c r="X580" s="214"/>
    </row>
    <row r="581" spans="1:24" ht="15.75" customHeight="1">
      <c r="A581" s="83"/>
      <c r="B581" s="218">
        <v>32.4</v>
      </c>
      <c r="C581" s="218">
        <v>8.25</v>
      </c>
      <c r="D581" s="218">
        <v>8.0000000000000004E-4</v>
      </c>
      <c r="E581" s="218">
        <v>2.4799999999999999E-2</v>
      </c>
      <c r="F581" s="218">
        <v>245.2</v>
      </c>
      <c r="G581" s="218">
        <v>415.97</v>
      </c>
      <c r="H581" s="218">
        <v>1.1548</v>
      </c>
      <c r="I581" s="218">
        <v>1.7137</v>
      </c>
      <c r="J581" s="218">
        <v>1.4578</v>
      </c>
      <c r="K581" s="218">
        <v>1.0829</v>
      </c>
      <c r="L581" s="214"/>
      <c r="M581" s="214"/>
      <c r="N581" s="214"/>
      <c r="O581" s="214"/>
      <c r="P581" s="214"/>
      <c r="Q581" s="214"/>
      <c r="R581" s="214"/>
      <c r="S581" s="214"/>
      <c r="T581" s="214"/>
      <c r="U581" s="214"/>
      <c r="V581" s="214"/>
      <c r="W581" s="214"/>
      <c r="X581" s="214"/>
    </row>
    <row r="582" spans="1:24" ht="15.75" customHeight="1">
      <c r="A582" s="83"/>
      <c r="B582" s="218">
        <v>32.5</v>
      </c>
      <c r="C582" s="218">
        <v>8.27</v>
      </c>
      <c r="D582" s="218">
        <v>8.0000000000000004E-4</v>
      </c>
      <c r="E582" s="218">
        <v>2.4799999999999999E-2</v>
      </c>
      <c r="F582" s="218">
        <v>245.35</v>
      </c>
      <c r="G582" s="218">
        <v>416.02</v>
      </c>
      <c r="H582" s="218">
        <v>1.1553</v>
      </c>
      <c r="I582" s="218">
        <v>1.7136</v>
      </c>
      <c r="J582" s="218">
        <v>1.4582999999999999</v>
      </c>
      <c r="K582" s="218">
        <v>1.0837000000000001</v>
      </c>
      <c r="L582" s="214"/>
      <c r="M582" s="214"/>
      <c r="N582" s="214"/>
      <c r="O582" s="214"/>
      <c r="P582" s="214"/>
      <c r="Q582" s="214"/>
      <c r="R582" s="214"/>
      <c r="S582" s="214"/>
      <c r="T582" s="214"/>
      <c r="U582" s="214"/>
      <c r="V582" s="214"/>
      <c r="W582" s="214"/>
      <c r="X582" s="214"/>
    </row>
    <row r="583" spans="1:24" ht="15.75" customHeight="1">
      <c r="A583" s="83"/>
      <c r="B583" s="218">
        <v>32.6</v>
      </c>
      <c r="C583" s="218">
        <v>8.2899999999999991</v>
      </c>
      <c r="D583" s="218">
        <v>8.0000000000000004E-4</v>
      </c>
      <c r="E583" s="218">
        <v>2.47E-2</v>
      </c>
      <c r="F583" s="218">
        <v>245.5</v>
      </c>
      <c r="G583" s="218">
        <v>416.07</v>
      </c>
      <c r="H583" s="218">
        <v>1.1556999999999999</v>
      </c>
      <c r="I583" s="218">
        <v>1.7136</v>
      </c>
      <c r="J583" s="218">
        <v>1.4588000000000001</v>
      </c>
      <c r="K583" s="218">
        <v>1.0844</v>
      </c>
      <c r="L583" s="214"/>
      <c r="M583" s="214"/>
      <c r="N583" s="214"/>
      <c r="O583" s="214"/>
      <c r="P583" s="214"/>
      <c r="Q583" s="214"/>
      <c r="R583" s="214"/>
      <c r="S583" s="214"/>
      <c r="T583" s="214"/>
      <c r="U583" s="214"/>
      <c r="V583" s="214"/>
      <c r="W583" s="214"/>
      <c r="X583" s="214"/>
    </row>
    <row r="584" spans="1:24" ht="15.75" customHeight="1">
      <c r="A584" s="83"/>
      <c r="B584" s="218">
        <v>32.700000000000003</v>
      </c>
      <c r="C584" s="218">
        <v>8.32</v>
      </c>
      <c r="D584" s="218">
        <v>8.0000000000000004E-4</v>
      </c>
      <c r="E584" s="218">
        <v>2.46E-2</v>
      </c>
      <c r="F584" s="218">
        <v>245.64</v>
      </c>
      <c r="G584" s="218">
        <v>416.11</v>
      </c>
      <c r="H584" s="218">
        <v>1.1561999999999999</v>
      </c>
      <c r="I584" s="218">
        <v>1.7136</v>
      </c>
      <c r="J584" s="218">
        <v>1.4593</v>
      </c>
      <c r="K584" s="218">
        <v>1.0851999999999999</v>
      </c>
      <c r="L584" s="214"/>
      <c r="M584" s="214"/>
      <c r="N584" s="214"/>
      <c r="O584" s="214"/>
      <c r="P584" s="214"/>
      <c r="Q584" s="214"/>
      <c r="R584" s="214"/>
      <c r="S584" s="214"/>
      <c r="T584" s="214"/>
      <c r="U584" s="214"/>
      <c r="V584" s="214"/>
      <c r="W584" s="214"/>
      <c r="X584" s="214"/>
    </row>
    <row r="585" spans="1:24" ht="15.75" customHeight="1">
      <c r="A585" s="83"/>
      <c r="B585" s="218">
        <v>32.799999999999997</v>
      </c>
      <c r="C585" s="218">
        <v>8.34</v>
      </c>
      <c r="D585" s="218">
        <v>8.0000000000000004E-4</v>
      </c>
      <c r="E585" s="218">
        <v>2.4500000000000001E-2</v>
      </c>
      <c r="F585" s="218">
        <v>245.79</v>
      </c>
      <c r="G585" s="218">
        <v>416.16</v>
      </c>
      <c r="H585" s="218">
        <v>1.1567000000000001</v>
      </c>
      <c r="I585" s="218">
        <v>1.7135</v>
      </c>
      <c r="J585" s="218">
        <v>1.4598</v>
      </c>
      <c r="K585" s="218">
        <v>1.0859000000000001</v>
      </c>
      <c r="L585" s="214"/>
      <c r="M585" s="214"/>
      <c r="N585" s="214"/>
      <c r="O585" s="214"/>
      <c r="P585" s="214"/>
      <c r="Q585" s="214"/>
      <c r="R585" s="214"/>
      <c r="S585" s="214"/>
      <c r="T585" s="214"/>
      <c r="U585" s="214"/>
      <c r="V585" s="214"/>
      <c r="W585" s="214"/>
      <c r="X585" s="214"/>
    </row>
    <row r="586" spans="1:24" ht="15.75" customHeight="1">
      <c r="A586" s="83"/>
      <c r="B586" s="218">
        <v>32.9</v>
      </c>
      <c r="C586" s="218">
        <v>8.36</v>
      </c>
      <c r="D586" s="218">
        <v>8.0000000000000004E-4</v>
      </c>
      <c r="E586" s="218">
        <v>2.4500000000000001E-2</v>
      </c>
      <c r="F586" s="218">
        <v>245.93</v>
      </c>
      <c r="G586" s="218">
        <v>416.21</v>
      </c>
      <c r="H586" s="218">
        <v>1.1571</v>
      </c>
      <c r="I586" s="218">
        <v>1.7135</v>
      </c>
      <c r="J586" s="218">
        <v>1.4602999999999999</v>
      </c>
      <c r="K586" s="218">
        <v>1.0867</v>
      </c>
      <c r="L586" s="214"/>
      <c r="M586" s="214"/>
      <c r="N586" s="214"/>
      <c r="O586" s="214"/>
      <c r="P586" s="214"/>
      <c r="Q586" s="214"/>
      <c r="R586" s="214"/>
      <c r="S586" s="214"/>
      <c r="T586" s="214"/>
      <c r="U586" s="214"/>
      <c r="V586" s="214"/>
      <c r="W586" s="214"/>
      <c r="X586" s="214"/>
    </row>
    <row r="587" spans="1:24" ht="15.75" customHeight="1">
      <c r="A587" s="83"/>
      <c r="B587" s="218">
        <v>33</v>
      </c>
      <c r="C587" s="218">
        <v>8.39</v>
      </c>
      <c r="D587" s="218">
        <v>8.9999999999999998E-4</v>
      </c>
      <c r="E587" s="218">
        <v>2.4400000000000002E-2</v>
      </c>
      <c r="F587" s="218">
        <v>246.08</v>
      </c>
      <c r="G587" s="218">
        <v>416.26</v>
      </c>
      <c r="H587" s="218">
        <v>1.1576</v>
      </c>
      <c r="I587" s="218">
        <v>1.7135</v>
      </c>
      <c r="J587" s="218">
        <v>1.4608000000000001</v>
      </c>
      <c r="K587" s="218">
        <v>1.0873999999999999</v>
      </c>
      <c r="L587" s="214"/>
      <c r="M587" s="214"/>
      <c r="N587" s="214"/>
      <c r="O587" s="214"/>
      <c r="P587" s="214"/>
      <c r="Q587" s="214"/>
      <c r="R587" s="214"/>
      <c r="S587" s="214"/>
      <c r="T587" s="214"/>
      <c r="U587" s="214"/>
      <c r="V587" s="214"/>
      <c r="W587" s="214"/>
      <c r="X587" s="214"/>
    </row>
    <row r="588" spans="1:24" ht="15.75" customHeight="1">
      <c r="A588" s="83"/>
      <c r="B588" s="218">
        <v>33.1</v>
      </c>
      <c r="C588" s="218">
        <v>8.41</v>
      </c>
      <c r="D588" s="218">
        <v>8.9999999999999998E-4</v>
      </c>
      <c r="E588" s="218">
        <v>2.4299999999999999E-2</v>
      </c>
      <c r="F588" s="218">
        <v>246.23</v>
      </c>
      <c r="G588" s="218">
        <v>416.3</v>
      </c>
      <c r="H588" s="218">
        <v>1.1580999999999999</v>
      </c>
      <c r="I588" s="218">
        <v>1.7134</v>
      </c>
      <c r="J588" s="218">
        <v>1.4613</v>
      </c>
      <c r="K588" s="218">
        <v>1.0882000000000001</v>
      </c>
      <c r="L588" s="214"/>
      <c r="M588" s="214"/>
      <c r="N588" s="214"/>
      <c r="O588" s="214"/>
      <c r="P588" s="214"/>
      <c r="Q588" s="214"/>
      <c r="R588" s="214"/>
      <c r="S588" s="214"/>
      <c r="T588" s="214"/>
      <c r="U588" s="214"/>
      <c r="V588" s="214"/>
      <c r="W588" s="214"/>
      <c r="X588" s="214"/>
    </row>
    <row r="589" spans="1:24" ht="15.75" customHeight="1">
      <c r="A589" s="83"/>
      <c r="B589" s="218">
        <v>33.200000000000003</v>
      </c>
      <c r="C589" s="218">
        <v>8.44</v>
      </c>
      <c r="D589" s="218">
        <v>8.9999999999999998E-4</v>
      </c>
      <c r="E589" s="218">
        <v>2.4299999999999999E-2</v>
      </c>
      <c r="F589" s="218">
        <v>246.37</v>
      </c>
      <c r="G589" s="218">
        <v>416.35</v>
      </c>
      <c r="H589" s="218">
        <v>1.1586000000000001</v>
      </c>
      <c r="I589" s="218">
        <v>1.7134</v>
      </c>
      <c r="J589" s="218">
        <v>1.4618</v>
      </c>
      <c r="K589" s="218">
        <v>1.0889</v>
      </c>
      <c r="L589" s="214"/>
      <c r="M589" s="214"/>
      <c r="N589" s="214"/>
      <c r="O589" s="214"/>
      <c r="P589" s="214"/>
      <c r="Q589" s="214"/>
      <c r="R589" s="214"/>
      <c r="S589" s="214"/>
      <c r="T589" s="214"/>
      <c r="U589" s="214"/>
      <c r="V589" s="214"/>
      <c r="W589" s="214"/>
      <c r="X589" s="214"/>
    </row>
    <row r="590" spans="1:24" ht="15.75" customHeight="1">
      <c r="A590" s="83"/>
      <c r="B590" s="218">
        <v>33.299999999999997</v>
      </c>
      <c r="C590" s="218">
        <v>8.4600000000000009</v>
      </c>
      <c r="D590" s="218">
        <v>8.9999999999999998E-4</v>
      </c>
      <c r="E590" s="218">
        <v>2.4199999999999999E-2</v>
      </c>
      <c r="F590" s="218">
        <v>246.52</v>
      </c>
      <c r="G590" s="218">
        <v>416.4</v>
      </c>
      <c r="H590" s="218">
        <v>1.159</v>
      </c>
      <c r="I590" s="218">
        <v>1.7134</v>
      </c>
      <c r="J590" s="218">
        <v>1.4622999999999999</v>
      </c>
      <c r="K590" s="218">
        <v>1.0896999999999999</v>
      </c>
      <c r="L590" s="214"/>
      <c r="M590" s="214"/>
      <c r="N590" s="214"/>
      <c r="O590" s="214"/>
      <c r="P590" s="214"/>
      <c r="Q590" s="214"/>
      <c r="R590" s="214"/>
      <c r="S590" s="214"/>
      <c r="T590" s="214"/>
      <c r="U590" s="214"/>
      <c r="V590" s="214"/>
      <c r="W590" s="214"/>
      <c r="X590" s="214"/>
    </row>
    <row r="591" spans="1:24" ht="15.75" customHeight="1">
      <c r="A591" s="83"/>
      <c r="B591" s="218">
        <v>33.4</v>
      </c>
      <c r="C591" s="218">
        <v>8.48</v>
      </c>
      <c r="D591" s="218">
        <v>8.9999999999999998E-4</v>
      </c>
      <c r="E591" s="218">
        <v>2.41E-2</v>
      </c>
      <c r="F591" s="218">
        <v>246.66</v>
      </c>
      <c r="G591" s="218">
        <v>416.44</v>
      </c>
      <c r="H591" s="218">
        <v>1.1595</v>
      </c>
      <c r="I591" s="218">
        <v>1.7133</v>
      </c>
      <c r="J591" s="218">
        <v>1.4628000000000001</v>
      </c>
      <c r="K591" s="218">
        <v>1.0904</v>
      </c>
      <c r="L591" s="214"/>
      <c r="M591" s="214"/>
      <c r="N591" s="214"/>
      <c r="O591" s="214"/>
      <c r="P591" s="214"/>
      <c r="Q591" s="214"/>
      <c r="R591" s="214"/>
      <c r="S591" s="214"/>
      <c r="T591" s="214"/>
      <c r="U591" s="214"/>
      <c r="V591" s="214"/>
      <c r="W591" s="214"/>
      <c r="X591" s="214"/>
    </row>
    <row r="592" spans="1:24" ht="15.75" customHeight="1">
      <c r="A592" s="83"/>
      <c r="B592" s="218">
        <v>33.5</v>
      </c>
      <c r="C592" s="218">
        <v>8.51</v>
      </c>
      <c r="D592" s="218">
        <v>8.9999999999999998E-4</v>
      </c>
      <c r="E592" s="218">
        <v>2.41E-2</v>
      </c>
      <c r="F592" s="218">
        <v>246.81</v>
      </c>
      <c r="G592" s="218">
        <v>416.49</v>
      </c>
      <c r="H592" s="218">
        <v>1.1599999999999999</v>
      </c>
      <c r="I592" s="218">
        <v>1.7133</v>
      </c>
      <c r="J592" s="218">
        <v>1.4633</v>
      </c>
      <c r="K592" s="218">
        <v>1.0911999999999999</v>
      </c>
      <c r="L592" s="214"/>
      <c r="M592" s="214"/>
      <c r="N592" s="214"/>
      <c r="O592" s="214"/>
      <c r="P592" s="214"/>
      <c r="Q592" s="214"/>
      <c r="R592" s="214"/>
      <c r="S592" s="214"/>
      <c r="T592" s="214"/>
      <c r="U592" s="214"/>
      <c r="V592" s="214"/>
      <c r="W592" s="214"/>
      <c r="X592" s="214"/>
    </row>
    <row r="593" spans="1:24" ht="15.75" customHeight="1">
      <c r="A593" s="83"/>
      <c r="B593" s="218">
        <v>33.6</v>
      </c>
      <c r="C593" s="218">
        <v>8.5299999999999994</v>
      </c>
      <c r="D593" s="218">
        <v>8.9999999999999998E-4</v>
      </c>
      <c r="E593" s="218">
        <v>2.4E-2</v>
      </c>
      <c r="F593" s="218">
        <v>246.96</v>
      </c>
      <c r="G593" s="218">
        <v>416.54</v>
      </c>
      <c r="H593" s="218">
        <v>1.1604000000000001</v>
      </c>
      <c r="I593" s="218">
        <v>1.7133</v>
      </c>
      <c r="J593" s="218">
        <v>1.4638</v>
      </c>
      <c r="K593" s="218">
        <v>1.0920000000000001</v>
      </c>
      <c r="L593" s="214"/>
      <c r="M593" s="214"/>
      <c r="N593" s="214"/>
      <c r="O593" s="214"/>
      <c r="P593" s="214"/>
      <c r="Q593" s="214"/>
      <c r="R593" s="214"/>
      <c r="S593" s="214"/>
      <c r="T593" s="214"/>
      <c r="U593" s="214"/>
      <c r="V593" s="214"/>
      <c r="W593" s="214"/>
      <c r="X593" s="214"/>
    </row>
    <row r="594" spans="1:24" ht="15.75" customHeight="1">
      <c r="A594" s="83"/>
      <c r="B594" s="218">
        <v>33.700000000000003</v>
      </c>
      <c r="C594" s="218">
        <v>8.5500000000000007</v>
      </c>
      <c r="D594" s="218">
        <v>8.9999999999999998E-4</v>
      </c>
      <c r="E594" s="218">
        <v>2.3900000000000001E-2</v>
      </c>
      <c r="F594" s="218">
        <v>247.1</v>
      </c>
      <c r="G594" s="218">
        <v>416.58</v>
      </c>
      <c r="H594" s="218">
        <v>1.1609</v>
      </c>
      <c r="I594" s="218">
        <v>1.7132000000000001</v>
      </c>
      <c r="J594" s="218">
        <v>1.4642999999999999</v>
      </c>
      <c r="K594" s="218">
        <v>1.0927</v>
      </c>
      <c r="L594" s="214"/>
      <c r="M594" s="214"/>
      <c r="N594" s="214"/>
      <c r="O594" s="214"/>
      <c r="P594" s="214"/>
      <c r="Q594" s="214"/>
      <c r="R594" s="214"/>
      <c r="S594" s="214"/>
      <c r="T594" s="214"/>
      <c r="U594" s="214"/>
      <c r="V594" s="214"/>
      <c r="W594" s="214"/>
      <c r="X594" s="214"/>
    </row>
    <row r="595" spans="1:24" ht="15.75" customHeight="1">
      <c r="A595" s="83"/>
      <c r="B595" s="218">
        <v>33.799999999999997</v>
      </c>
      <c r="C595" s="218">
        <v>8.58</v>
      </c>
      <c r="D595" s="218">
        <v>8.9999999999999998E-4</v>
      </c>
      <c r="E595" s="218">
        <v>2.3800000000000002E-2</v>
      </c>
      <c r="F595" s="218">
        <v>247.25</v>
      </c>
      <c r="G595" s="218">
        <v>416.63</v>
      </c>
      <c r="H595" s="218">
        <v>1.1614</v>
      </c>
      <c r="I595" s="218">
        <v>1.7132000000000001</v>
      </c>
      <c r="J595" s="218">
        <v>1.4648000000000001</v>
      </c>
      <c r="K595" s="218">
        <v>1.0934999999999999</v>
      </c>
      <c r="L595" s="214"/>
      <c r="M595" s="214"/>
      <c r="N595" s="214"/>
      <c r="O595" s="214"/>
      <c r="P595" s="214"/>
      <c r="Q595" s="214"/>
      <c r="R595" s="214"/>
      <c r="S595" s="214"/>
      <c r="T595" s="214"/>
      <c r="U595" s="214"/>
      <c r="V595" s="214"/>
      <c r="W595" s="214"/>
      <c r="X595" s="214"/>
    </row>
    <row r="596" spans="1:24" ht="15.75" customHeight="1">
      <c r="A596" s="83"/>
      <c r="B596" s="218">
        <v>33.9</v>
      </c>
      <c r="C596" s="218">
        <v>8.6</v>
      </c>
      <c r="D596" s="218">
        <v>8.9999999999999998E-4</v>
      </c>
      <c r="E596" s="218">
        <v>2.3800000000000002E-2</v>
      </c>
      <c r="F596" s="218">
        <v>247.39</v>
      </c>
      <c r="G596" s="218">
        <v>416.68</v>
      </c>
      <c r="H596" s="218">
        <v>1.1617999999999999</v>
      </c>
      <c r="I596" s="218">
        <v>1.7132000000000001</v>
      </c>
      <c r="J596" s="218">
        <v>1.4653</v>
      </c>
      <c r="K596" s="218">
        <v>1.0943000000000001</v>
      </c>
      <c r="L596" s="214"/>
      <c r="M596" s="214"/>
      <c r="N596" s="214"/>
      <c r="O596" s="214"/>
      <c r="P596" s="214"/>
      <c r="Q596" s="214"/>
      <c r="R596" s="214"/>
      <c r="S596" s="214"/>
      <c r="T596" s="214"/>
      <c r="U596" s="214"/>
      <c r="V596" s="214"/>
      <c r="W596" s="214"/>
      <c r="X596" s="214"/>
    </row>
    <row r="597" spans="1:24" ht="15.75" customHeight="1">
      <c r="A597" s="83"/>
      <c r="B597" s="218">
        <v>34</v>
      </c>
      <c r="C597" s="218">
        <v>8.6300000000000008</v>
      </c>
      <c r="D597" s="218">
        <v>8.9999999999999998E-4</v>
      </c>
      <c r="E597" s="218">
        <v>2.3699999999999999E-2</v>
      </c>
      <c r="F597" s="218">
        <v>247.54</v>
      </c>
      <c r="G597" s="218">
        <v>416.72</v>
      </c>
      <c r="H597" s="218">
        <v>1.1623000000000001</v>
      </c>
      <c r="I597" s="218">
        <v>1.7131000000000001</v>
      </c>
      <c r="J597" s="218">
        <v>1.4658</v>
      </c>
      <c r="K597" s="218">
        <v>1.095</v>
      </c>
      <c r="L597" s="214"/>
      <c r="M597" s="214"/>
      <c r="N597" s="214"/>
      <c r="O597" s="214"/>
      <c r="P597" s="214"/>
      <c r="Q597" s="214"/>
      <c r="R597" s="214"/>
      <c r="S597" s="214"/>
      <c r="T597" s="214"/>
      <c r="U597" s="214"/>
      <c r="V597" s="214"/>
      <c r="W597" s="214"/>
      <c r="X597" s="214"/>
    </row>
    <row r="598" spans="1:24" ht="15.75" customHeight="1">
      <c r="A598" s="83"/>
      <c r="B598" s="218">
        <v>34.1</v>
      </c>
      <c r="C598" s="218">
        <v>8.65</v>
      </c>
      <c r="D598" s="218">
        <v>8.9999999999999998E-4</v>
      </c>
      <c r="E598" s="218">
        <v>2.3599999999999999E-2</v>
      </c>
      <c r="F598" s="218">
        <v>247.69</v>
      </c>
      <c r="G598" s="218">
        <v>416.77</v>
      </c>
      <c r="H598" s="218">
        <v>1.1628000000000001</v>
      </c>
      <c r="I598" s="218">
        <v>1.7131000000000001</v>
      </c>
      <c r="J598" s="218">
        <v>1.4662999999999999</v>
      </c>
      <c r="K598" s="218">
        <v>1.0958000000000001</v>
      </c>
      <c r="L598" s="214"/>
      <c r="M598" s="214"/>
      <c r="N598" s="214"/>
      <c r="O598" s="214"/>
      <c r="P598" s="214"/>
      <c r="Q598" s="214"/>
      <c r="R598" s="214"/>
      <c r="S598" s="214"/>
      <c r="T598" s="214"/>
      <c r="U598" s="214"/>
      <c r="V598" s="214"/>
      <c r="W598" s="214"/>
      <c r="X598" s="214"/>
    </row>
    <row r="599" spans="1:24" ht="15.75" customHeight="1">
      <c r="A599" s="83"/>
      <c r="B599" s="218">
        <v>34.200000000000003</v>
      </c>
      <c r="C599" s="218">
        <v>8.67</v>
      </c>
      <c r="D599" s="218">
        <v>8.9999999999999998E-4</v>
      </c>
      <c r="E599" s="218">
        <v>2.3599999999999999E-2</v>
      </c>
      <c r="F599" s="218">
        <v>247.83</v>
      </c>
      <c r="G599" s="218">
        <v>416.82</v>
      </c>
      <c r="H599" s="218">
        <v>1.1632</v>
      </c>
      <c r="I599" s="218">
        <v>1.7131000000000001</v>
      </c>
      <c r="J599" s="218">
        <v>1.4668000000000001</v>
      </c>
      <c r="K599" s="218">
        <v>1.0966</v>
      </c>
      <c r="L599" s="214"/>
      <c r="M599" s="214"/>
      <c r="N599" s="214"/>
      <c r="O599" s="214"/>
      <c r="P599" s="214"/>
      <c r="Q599" s="214"/>
      <c r="R599" s="214"/>
      <c r="S599" s="214"/>
      <c r="T599" s="214"/>
      <c r="U599" s="214"/>
      <c r="V599" s="214"/>
      <c r="W599" s="214"/>
      <c r="X599" s="214"/>
    </row>
    <row r="600" spans="1:24" ht="15.75" customHeight="1">
      <c r="A600" s="83"/>
      <c r="B600" s="218">
        <v>34.299999999999997</v>
      </c>
      <c r="C600" s="218">
        <v>8.6999999999999993</v>
      </c>
      <c r="D600" s="218">
        <v>8.9999999999999998E-4</v>
      </c>
      <c r="E600" s="218">
        <v>2.35E-2</v>
      </c>
      <c r="F600" s="218">
        <v>247.98</v>
      </c>
      <c r="G600" s="218">
        <v>416.86</v>
      </c>
      <c r="H600" s="218">
        <v>1.1637</v>
      </c>
      <c r="I600" s="218">
        <v>1.7130000000000001</v>
      </c>
      <c r="J600" s="218">
        <v>1.4673</v>
      </c>
      <c r="K600" s="218">
        <v>1.0973999999999999</v>
      </c>
      <c r="L600" s="214"/>
      <c r="M600" s="214"/>
      <c r="N600" s="214"/>
      <c r="O600" s="214"/>
      <c r="P600" s="214"/>
      <c r="Q600" s="214"/>
      <c r="R600" s="214"/>
      <c r="S600" s="214"/>
      <c r="T600" s="214"/>
      <c r="U600" s="214"/>
      <c r="V600" s="214"/>
      <c r="W600" s="214"/>
      <c r="X600" s="214"/>
    </row>
    <row r="601" spans="1:24" ht="15.75" customHeight="1">
      <c r="A601" s="83"/>
      <c r="B601" s="218">
        <v>34.4</v>
      </c>
      <c r="C601" s="218">
        <v>8.7200000000000006</v>
      </c>
      <c r="D601" s="218">
        <v>8.9999999999999998E-4</v>
      </c>
      <c r="E601" s="218">
        <v>2.3400000000000001E-2</v>
      </c>
      <c r="F601" s="218">
        <v>248.13</v>
      </c>
      <c r="G601" s="218">
        <v>416.91</v>
      </c>
      <c r="H601" s="218">
        <v>1.1641999999999999</v>
      </c>
      <c r="I601" s="218">
        <v>1.7130000000000001</v>
      </c>
      <c r="J601" s="218">
        <v>1.4678</v>
      </c>
      <c r="K601" s="218">
        <v>1.0981000000000001</v>
      </c>
      <c r="L601" s="214"/>
      <c r="M601" s="214"/>
      <c r="N601" s="214"/>
      <c r="O601" s="214"/>
      <c r="P601" s="214"/>
      <c r="Q601" s="214"/>
      <c r="R601" s="214"/>
      <c r="S601" s="214"/>
      <c r="T601" s="214"/>
      <c r="U601" s="214"/>
      <c r="V601" s="214"/>
      <c r="W601" s="214"/>
      <c r="X601" s="214"/>
    </row>
    <row r="602" spans="1:24" ht="15.75" customHeight="1">
      <c r="A602" s="83"/>
      <c r="B602" s="218">
        <v>34.5</v>
      </c>
      <c r="C602" s="218">
        <v>8.75</v>
      </c>
      <c r="D602" s="218">
        <v>8.9999999999999998E-4</v>
      </c>
      <c r="E602" s="218">
        <v>2.3400000000000001E-2</v>
      </c>
      <c r="F602" s="218">
        <v>248.27</v>
      </c>
      <c r="G602" s="218">
        <v>416.96</v>
      </c>
      <c r="H602" s="218">
        <v>1.1647000000000001</v>
      </c>
      <c r="I602" s="218">
        <v>1.7130000000000001</v>
      </c>
      <c r="J602" s="218">
        <v>1.4682999999999999</v>
      </c>
      <c r="K602" s="218">
        <v>1.0989</v>
      </c>
      <c r="L602" s="214"/>
      <c r="M602" s="214"/>
      <c r="N602" s="214"/>
      <c r="O602" s="214"/>
      <c r="P602" s="214"/>
      <c r="Q602" s="214"/>
      <c r="R602" s="214"/>
      <c r="S602" s="214"/>
      <c r="T602" s="214"/>
      <c r="U602" s="214"/>
      <c r="V602" s="214"/>
      <c r="W602" s="214"/>
      <c r="X602" s="214"/>
    </row>
    <row r="603" spans="1:24" ht="15.75" customHeight="1">
      <c r="A603" s="83"/>
      <c r="B603" s="218">
        <v>34.6</v>
      </c>
      <c r="C603" s="218">
        <v>8.77</v>
      </c>
      <c r="D603" s="218">
        <v>8.9999999999999998E-4</v>
      </c>
      <c r="E603" s="218">
        <v>2.3300000000000001E-2</v>
      </c>
      <c r="F603" s="218">
        <v>248.42</v>
      </c>
      <c r="G603" s="218">
        <v>417</v>
      </c>
      <c r="H603" s="218">
        <v>1.1651</v>
      </c>
      <c r="I603" s="218">
        <v>1.7129000000000001</v>
      </c>
      <c r="J603" s="218">
        <v>1.4688000000000001</v>
      </c>
      <c r="K603" s="218">
        <v>1.0996999999999999</v>
      </c>
      <c r="L603" s="214"/>
      <c r="M603" s="214"/>
      <c r="N603" s="214"/>
      <c r="O603" s="214"/>
      <c r="P603" s="214"/>
      <c r="Q603" s="214"/>
      <c r="R603" s="214"/>
      <c r="S603" s="214"/>
      <c r="T603" s="214"/>
      <c r="U603" s="214"/>
      <c r="V603" s="214"/>
      <c r="W603" s="214"/>
      <c r="X603" s="214"/>
    </row>
    <row r="604" spans="1:24" ht="15.75" customHeight="1">
      <c r="A604" s="83"/>
      <c r="B604" s="218">
        <v>34.700000000000003</v>
      </c>
      <c r="C604" s="218">
        <v>8.8000000000000007</v>
      </c>
      <c r="D604" s="218">
        <v>8.9999999999999998E-4</v>
      </c>
      <c r="E604" s="218">
        <v>2.3199999999999998E-2</v>
      </c>
      <c r="F604" s="218">
        <v>248.57</v>
      </c>
      <c r="G604" s="218">
        <v>417.05</v>
      </c>
      <c r="H604" s="218">
        <v>1.1656</v>
      </c>
      <c r="I604" s="218">
        <v>1.7129000000000001</v>
      </c>
      <c r="J604" s="218">
        <v>1.4693000000000001</v>
      </c>
      <c r="K604" s="218">
        <v>1.1005</v>
      </c>
      <c r="L604" s="214"/>
      <c r="M604" s="214"/>
      <c r="N604" s="214"/>
      <c r="O604" s="214"/>
      <c r="P604" s="214"/>
      <c r="Q604" s="214"/>
      <c r="R604" s="214"/>
      <c r="S604" s="214"/>
      <c r="T604" s="214"/>
      <c r="U604" s="214"/>
      <c r="V604" s="214"/>
      <c r="W604" s="214"/>
      <c r="X604" s="214"/>
    </row>
    <row r="605" spans="1:24" ht="15.75" customHeight="1">
      <c r="A605" s="83"/>
      <c r="B605" s="218">
        <v>34.799999999999997</v>
      </c>
      <c r="C605" s="218">
        <v>8.82</v>
      </c>
      <c r="D605" s="218">
        <v>8.9999999999999998E-4</v>
      </c>
      <c r="E605" s="218">
        <v>2.3199999999999998E-2</v>
      </c>
      <c r="F605" s="218">
        <v>248.71</v>
      </c>
      <c r="G605" s="218">
        <v>417.1</v>
      </c>
      <c r="H605" s="218">
        <v>1.1660999999999999</v>
      </c>
      <c r="I605" s="218">
        <v>1.7129000000000001</v>
      </c>
      <c r="J605" s="218">
        <v>1.4699</v>
      </c>
      <c r="K605" s="218">
        <v>1.1012999999999999</v>
      </c>
      <c r="L605" s="214"/>
      <c r="M605" s="214"/>
      <c r="N605" s="214"/>
      <c r="O605" s="214"/>
      <c r="P605" s="214"/>
      <c r="Q605" s="214"/>
      <c r="R605" s="214"/>
      <c r="S605" s="214"/>
      <c r="T605" s="214"/>
      <c r="U605" s="214"/>
      <c r="V605" s="214"/>
      <c r="W605" s="214"/>
      <c r="X605" s="214"/>
    </row>
    <row r="606" spans="1:24" ht="15.75" customHeight="1">
      <c r="A606" s="83"/>
      <c r="B606" s="218">
        <v>34.9</v>
      </c>
      <c r="C606" s="218">
        <v>8.85</v>
      </c>
      <c r="D606" s="218">
        <v>8.9999999999999998E-4</v>
      </c>
      <c r="E606" s="218">
        <v>2.3099999999999999E-2</v>
      </c>
      <c r="F606" s="218">
        <v>248.86</v>
      </c>
      <c r="G606" s="218">
        <v>417.14</v>
      </c>
      <c r="H606" s="218">
        <v>1.1665000000000001</v>
      </c>
      <c r="I606" s="218">
        <v>1.7128000000000001</v>
      </c>
      <c r="J606" s="218">
        <v>1.4703999999999999</v>
      </c>
      <c r="K606" s="218">
        <v>1.1020000000000001</v>
      </c>
      <c r="L606" s="214"/>
      <c r="M606" s="214"/>
      <c r="N606" s="214"/>
      <c r="O606" s="214"/>
      <c r="P606" s="214"/>
      <c r="Q606" s="214"/>
      <c r="R606" s="214"/>
      <c r="S606" s="214"/>
      <c r="T606" s="214"/>
      <c r="U606" s="214"/>
      <c r="V606" s="214"/>
      <c r="W606" s="214"/>
      <c r="X606" s="214"/>
    </row>
    <row r="607" spans="1:24" ht="15.75" customHeight="1">
      <c r="A607" s="83"/>
      <c r="B607" s="218">
        <v>35</v>
      </c>
      <c r="C607" s="218">
        <v>8.8699999999999992</v>
      </c>
      <c r="D607" s="218">
        <v>8.9999999999999998E-4</v>
      </c>
      <c r="E607" s="218">
        <v>2.3E-2</v>
      </c>
      <c r="F607" s="218">
        <v>249.01</v>
      </c>
      <c r="G607" s="218">
        <v>417.19</v>
      </c>
      <c r="H607" s="218">
        <v>1.167</v>
      </c>
      <c r="I607" s="218">
        <v>1.7128000000000001</v>
      </c>
      <c r="J607" s="218">
        <v>1.4709000000000001</v>
      </c>
      <c r="K607" s="218">
        <v>1.1028</v>
      </c>
      <c r="L607" s="214"/>
      <c r="M607" s="214"/>
      <c r="N607" s="214"/>
      <c r="O607" s="214"/>
      <c r="P607" s="214"/>
      <c r="Q607" s="214"/>
      <c r="R607" s="214"/>
      <c r="S607" s="214"/>
      <c r="T607" s="214"/>
      <c r="U607" s="214"/>
      <c r="V607" s="214"/>
      <c r="W607" s="214"/>
      <c r="X607" s="214"/>
    </row>
    <row r="608" spans="1:24" ht="15.75" customHeight="1">
      <c r="A608" s="83"/>
      <c r="B608" s="218">
        <v>35.1</v>
      </c>
      <c r="C608" s="218">
        <v>8.89</v>
      </c>
      <c r="D608" s="218">
        <v>8.9999999999999998E-4</v>
      </c>
      <c r="E608" s="218">
        <v>2.3E-2</v>
      </c>
      <c r="F608" s="218">
        <v>249.15</v>
      </c>
      <c r="G608" s="218">
        <v>417.23</v>
      </c>
      <c r="H608" s="218">
        <v>1.1675</v>
      </c>
      <c r="I608" s="218">
        <v>1.7128000000000001</v>
      </c>
      <c r="J608" s="218">
        <v>1.4714</v>
      </c>
      <c r="K608" s="218">
        <v>1.1035999999999999</v>
      </c>
      <c r="L608" s="214"/>
      <c r="M608" s="214"/>
      <c r="N608" s="214"/>
      <c r="O608" s="214"/>
      <c r="P608" s="214"/>
      <c r="Q608" s="214"/>
      <c r="R608" s="214"/>
      <c r="S608" s="214"/>
      <c r="T608" s="214"/>
      <c r="U608" s="214"/>
      <c r="V608" s="214"/>
      <c r="W608" s="214"/>
      <c r="X608" s="214"/>
    </row>
    <row r="609" spans="1:24" ht="15.75" customHeight="1">
      <c r="A609" s="83"/>
      <c r="B609" s="218">
        <v>35.200000000000003</v>
      </c>
      <c r="C609" s="218">
        <v>8.92</v>
      </c>
      <c r="D609" s="218">
        <v>8.9999999999999998E-4</v>
      </c>
      <c r="E609" s="218">
        <v>2.29E-2</v>
      </c>
      <c r="F609" s="218">
        <v>249.3</v>
      </c>
      <c r="G609" s="218">
        <v>417.28</v>
      </c>
      <c r="H609" s="218">
        <v>1.1678999999999999</v>
      </c>
      <c r="I609" s="218">
        <v>1.7126999999999999</v>
      </c>
      <c r="J609" s="218">
        <v>1.4719</v>
      </c>
      <c r="K609" s="218">
        <v>1.1044</v>
      </c>
      <c r="L609" s="214"/>
      <c r="M609" s="214"/>
      <c r="N609" s="214"/>
      <c r="O609" s="214"/>
      <c r="P609" s="214"/>
      <c r="Q609" s="214"/>
      <c r="R609" s="214"/>
      <c r="S609" s="214"/>
      <c r="T609" s="214"/>
      <c r="U609" s="214"/>
      <c r="V609" s="214"/>
      <c r="W609" s="214"/>
      <c r="X609" s="214"/>
    </row>
    <row r="610" spans="1:24" ht="15.75" customHeight="1">
      <c r="A610" s="83"/>
      <c r="B610" s="218">
        <v>35.299999999999997</v>
      </c>
      <c r="C610" s="218">
        <v>8.94</v>
      </c>
      <c r="D610" s="218">
        <v>8.9999999999999998E-4</v>
      </c>
      <c r="E610" s="218">
        <v>2.2800000000000001E-2</v>
      </c>
      <c r="F610" s="218">
        <v>249.45</v>
      </c>
      <c r="G610" s="218">
        <v>417.33</v>
      </c>
      <c r="H610" s="218">
        <v>1.1684000000000001</v>
      </c>
      <c r="I610" s="218">
        <v>1.7126999999999999</v>
      </c>
      <c r="J610" s="218">
        <v>1.4723999999999999</v>
      </c>
      <c r="K610" s="218">
        <v>1.1052</v>
      </c>
      <c r="L610" s="214"/>
      <c r="M610" s="214"/>
      <c r="N610" s="214"/>
      <c r="O610" s="214"/>
      <c r="P610" s="214"/>
      <c r="Q610" s="214"/>
      <c r="R610" s="214"/>
      <c r="S610" s="214"/>
      <c r="T610" s="214"/>
      <c r="U610" s="214"/>
      <c r="V610" s="214"/>
      <c r="W610" s="214"/>
      <c r="X610" s="214"/>
    </row>
    <row r="611" spans="1:24" ht="15.75" customHeight="1">
      <c r="A611" s="83"/>
      <c r="B611" s="218">
        <v>35.4</v>
      </c>
      <c r="C611" s="218">
        <v>8.9700000000000006</v>
      </c>
      <c r="D611" s="218">
        <v>8.9999999999999998E-4</v>
      </c>
      <c r="E611" s="218">
        <v>2.2800000000000001E-2</v>
      </c>
      <c r="F611" s="218">
        <v>249.59</v>
      </c>
      <c r="G611" s="218">
        <v>417.37</v>
      </c>
      <c r="H611" s="218">
        <v>1.1689000000000001</v>
      </c>
      <c r="I611" s="218">
        <v>1.7126999999999999</v>
      </c>
      <c r="J611" s="218">
        <v>1.4730000000000001</v>
      </c>
      <c r="K611" s="218">
        <v>1.1060000000000001</v>
      </c>
      <c r="L611" s="214"/>
      <c r="M611" s="214"/>
      <c r="N611" s="214"/>
      <c r="O611" s="214"/>
      <c r="P611" s="214"/>
      <c r="Q611" s="214"/>
      <c r="R611" s="214"/>
      <c r="S611" s="214"/>
      <c r="T611" s="214"/>
      <c r="U611" s="214"/>
      <c r="V611" s="214"/>
      <c r="W611" s="214"/>
      <c r="X611" s="214"/>
    </row>
    <row r="612" spans="1:24" ht="15.75" customHeight="1">
      <c r="A612" s="83"/>
      <c r="B612" s="218">
        <v>35.5</v>
      </c>
      <c r="C612" s="218">
        <v>8.99</v>
      </c>
      <c r="D612" s="218">
        <v>8.9999999999999998E-4</v>
      </c>
      <c r="E612" s="218">
        <v>2.2700000000000001E-2</v>
      </c>
      <c r="F612" s="218">
        <v>249.74</v>
      </c>
      <c r="G612" s="218">
        <v>417.42</v>
      </c>
      <c r="H612" s="218">
        <v>1.1694</v>
      </c>
      <c r="I612" s="218">
        <v>1.7125999999999999</v>
      </c>
      <c r="J612" s="218">
        <v>1.4735</v>
      </c>
      <c r="K612" s="218">
        <v>1.1068</v>
      </c>
      <c r="L612" s="214"/>
      <c r="M612" s="214"/>
      <c r="N612" s="214"/>
      <c r="O612" s="214"/>
      <c r="P612" s="214"/>
      <c r="Q612" s="214"/>
      <c r="R612" s="214"/>
      <c r="S612" s="214"/>
      <c r="T612" s="214"/>
      <c r="U612" s="214"/>
      <c r="V612" s="214"/>
      <c r="W612" s="214"/>
      <c r="X612" s="214"/>
    </row>
    <row r="613" spans="1:24" ht="15.75" customHeight="1">
      <c r="A613" s="83"/>
      <c r="B613" s="218">
        <v>35.6</v>
      </c>
      <c r="C613" s="218">
        <v>9.02</v>
      </c>
      <c r="D613" s="218">
        <v>8.9999999999999998E-4</v>
      </c>
      <c r="E613" s="218">
        <v>2.2599999999999999E-2</v>
      </c>
      <c r="F613" s="218">
        <v>249.89</v>
      </c>
      <c r="G613" s="218">
        <v>417.46</v>
      </c>
      <c r="H613" s="218">
        <v>1.1698</v>
      </c>
      <c r="I613" s="218">
        <v>1.7125999999999999</v>
      </c>
      <c r="J613" s="218">
        <v>1.474</v>
      </c>
      <c r="K613" s="218">
        <v>1.1075999999999999</v>
      </c>
      <c r="L613" s="214"/>
      <c r="M613" s="214"/>
      <c r="N613" s="214"/>
      <c r="O613" s="214"/>
      <c r="P613" s="214"/>
      <c r="Q613" s="214"/>
      <c r="R613" s="214"/>
      <c r="S613" s="214"/>
      <c r="T613" s="214"/>
      <c r="U613" s="214"/>
      <c r="V613" s="214"/>
      <c r="W613" s="214"/>
      <c r="X613" s="214"/>
    </row>
    <row r="614" spans="1:24" ht="15.75" customHeight="1">
      <c r="A614" s="83"/>
      <c r="B614" s="218">
        <v>35.700000000000003</v>
      </c>
      <c r="C614" s="218">
        <v>9.0399999999999991</v>
      </c>
      <c r="D614" s="218">
        <v>8.9999999999999998E-4</v>
      </c>
      <c r="E614" s="218">
        <v>2.2599999999999999E-2</v>
      </c>
      <c r="F614" s="218">
        <v>250.04</v>
      </c>
      <c r="G614" s="218">
        <v>417.51</v>
      </c>
      <c r="H614" s="218">
        <v>1.1702999999999999</v>
      </c>
      <c r="I614" s="218">
        <v>1.7124999999999999</v>
      </c>
      <c r="J614" s="218">
        <v>1.4744999999999999</v>
      </c>
      <c r="K614" s="218">
        <v>1.1084000000000001</v>
      </c>
      <c r="L614" s="214"/>
      <c r="M614" s="214"/>
      <c r="N614" s="214"/>
      <c r="O614" s="214"/>
      <c r="P614" s="214"/>
      <c r="Q614" s="214"/>
      <c r="R614" s="214"/>
      <c r="S614" s="214"/>
      <c r="T614" s="214"/>
      <c r="U614" s="214"/>
      <c r="V614" s="214"/>
      <c r="W614" s="214"/>
      <c r="X614" s="214"/>
    </row>
    <row r="615" spans="1:24" ht="15.75" customHeight="1">
      <c r="A615" s="83"/>
      <c r="B615" s="218">
        <v>35.799999999999997</v>
      </c>
      <c r="C615" s="218">
        <v>9.07</v>
      </c>
      <c r="D615" s="218">
        <v>8.9999999999999998E-4</v>
      </c>
      <c r="E615" s="218">
        <v>2.2499999999999999E-2</v>
      </c>
      <c r="F615" s="218">
        <v>250.18</v>
      </c>
      <c r="G615" s="218">
        <v>417.56</v>
      </c>
      <c r="H615" s="218">
        <v>1.1708000000000001</v>
      </c>
      <c r="I615" s="218">
        <v>1.7124999999999999</v>
      </c>
      <c r="J615" s="218">
        <v>1.4751000000000001</v>
      </c>
      <c r="K615" s="218">
        <v>1.1092</v>
      </c>
      <c r="L615" s="214"/>
      <c r="M615" s="214"/>
      <c r="N615" s="214"/>
      <c r="O615" s="214"/>
      <c r="P615" s="214"/>
      <c r="Q615" s="214"/>
      <c r="R615" s="214"/>
      <c r="S615" s="214"/>
      <c r="T615" s="214"/>
      <c r="U615" s="214"/>
      <c r="V615" s="214"/>
      <c r="W615" s="214"/>
      <c r="X615" s="214"/>
    </row>
    <row r="616" spans="1:24" ht="15.75" customHeight="1">
      <c r="A616" s="83"/>
      <c r="B616" s="218">
        <v>35.9</v>
      </c>
      <c r="C616" s="218">
        <v>9.09</v>
      </c>
      <c r="D616" s="218">
        <v>8.9999999999999998E-4</v>
      </c>
      <c r="E616" s="218">
        <v>2.24E-2</v>
      </c>
      <c r="F616" s="218">
        <v>250.33</v>
      </c>
      <c r="G616" s="218">
        <v>417.6</v>
      </c>
      <c r="H616" s="218">
        <v>1.1712</v>
      </c>
      <c r="I616" s="218">
        <v>1.7124999999999999</v>
      </c>
      <c r="J616" s="218">
        <v>1.4756</v>
      </c>
      <c r="K616" s="218">
        <v>1.1100000000000001</v>
      </c>
      <c r="L616" s="214"/>
      <c r="M616" s="214"/>
      <c r="N616" s="214"/>
      <c r="O616" s="214"/>
      <c r="P616" s="214"/>
      <c r="Q616" s="214"/>
      <c r="R616" s="214"/>
      <c r="S616" s="214"/>
      <c r="T616" s="214"/>
      <c r="U616" s="214"/>
      <c r="V616" s="214"/>
      <c r="W616" s="214"/>
      <c r="X616" s="214"/>
    </row>
    <row r="617" spans="1:24" ht="15.75" customHeight="1">
      <c r="A617" s="83"/>
      <c r="B617" s="218">
        <v>36</v>
      </c>
      <c r="C617" s="218">
        <v>9.1199999999999992</v>
      </c>
      <c r="D617" s="218">
        <v>8.9999999999999998E-4</v>
      </c>
      <c r="E617" s="218">
        <v>2.24E-2</v>
      </c>
      <c r="F617" s="218">
        <v>250.48</v>
      </c>
      <c r="G617" s="218">
        <v>417.65</v>
      </c>
      <c r="H617" s="218">
        <v>1.1717</v>
      </c>
      <c r="I617" s="218">
        <v>1.7123999999999999</v>
      </c>
      <c r="J617" s="218">
        <v>1.4761</v>
      </c>
      <c r="K617" s="218">
        <v>1.1108</v>
      </c>
      <c r="L617" s="214"/>
      <c r="M617" s="214"/>
      <c r="N617" s="214"/>
      <c r="O617" s="214"/>
      <c r="P617" s="214"/>
      <c r="Q617" s="214"/>
      <c r="R617" s="214"/>
      <c r="S617" s="214"/>
      <c r="T617" s="214"/>
      <c r="U617" s="214"/>
      <c r="V617" s="214"/>
      <c r="W617" s="214"/>
      <c r="X617" s="214"/>
    </row>
    <row r="618" spans="1:24" ht="15.75" customHeight="1">
      <c r="A618" s="83"/>
      <c r="B618" s="218">
        <v>36.1</v>
      </c>
      <c r="C618" s="218">
        <v>9.14</v>
      </c>
      <c r="D618" s="218">
        <v>8.9999999999999998E-4</v>
      </c>
      <c r="E618" s="218">
        <v>2.23E-2</v>
      </c>
      <c r="F618" s="218">
        <v>250.62</v>
      </c>
      <c r="G618" s="218">
        <v>417.69</v>
      </c>
      <c r="H618" s="218">
        <v>1.1721999999999999</v>
      </c>
      <c r="I618" s="218">
        <v>1.7123999999999999</v>
      </c>
      <c r="J618" s="218">
        <v>1.4765999999999999</v>
      </c>
      <c r="K618" s="218">
        <v>1.1115999999999999</v>
      </c>
      <c r="L618" s="214"/>
      <c r="M618" s="214"/>
      <c r="N618" s="214"/>
      <c r="O618" s="214"/>
      <c r="P618" s="214"/>
      <c r="Q618" s="214"/>
      <c r="R618" s="214"/>
      <c r="S618" s="214"/>
      <c r="T618" s="214"/>
      <c r="U618" s="214"/>
      <c r="V618" s="214"/>
      <c r="W618" s="214"/>
      <c r="X618" s="214"/>
    </row>
    <row r="619" spans="1:24" ht="15.75" customHeight="1">
      <c r="A619" s="83"/>
      <c r="B619" s="218">
        <v>36.200000000000003</v>
      </c>
      <c r="C619" s="218">
        <v>9.17</v>
      </c>
      <c r="D619" s="218">
        <v>8.9999999999999998E-4</v>
      </c>
      <c r="E619" s="218">
        <v>2.23E-2</v>
      </c>
      <c r="F619" s="218">
        <v>250.77</v>
      </c>
      <c r="G619" s="218">
        <v>417.74</v>
      </c>
      <c r="H619" s="218">
        <v>1.1726000000000001</v>
      </c>
      <c r="I619" s="218">
        <v>1.7123999999999999</v>
      </c>
      <c r="J619" s="218">
        <v>1.4772000000000001</v>
      </c>
      <c r="K619" s="218">
        <v>1.1124000000000001</v>
      </c>
      <c r="L619" s="214"/>
      <c r="M619" s="214"/>
      <c r="N619" s="214"/>
      <c r="O619" s="214"/>
      <c r="P619" s="214"/>
      <c r="Q619" s="214"/>
      <c r="R619" s="214"/>
      <c r="S619" s="214"/>
      <c r="T619" s="214"/>
      <c r="U619" s="214"/>
      <c r="V619" s="214"/>
      <c r="W619" s="214"/>
      <c r="X619" s="214"/>
    </row>
    <row r="620" spans="1:24" ht="15.75" customHeight="1">
      <c r="A620" s="83"/>
      <c r="B620" s="218">
        <v>36.299999999999997</v>
      </c>
      <c r="C620" s="218">
        <v>9.19</v>
      </c>
      <c r="D620" s="218">
        <v>8.9999999999999998E-4</v>
      </c>
      <c r="E620" s="218">
        <v>2.2200000000000001E-2</v>
      </c>
      <c r="F620" s="218">
        <v>250.92</v>
      </c>
      <c r="G620" s="218">
        <v>417.78</v>
      </c>
      <c r="H620" s="218">
        <v>1.1731</v>
      </c>
      <c r="I620" s="218">
        <v>1.7122999999999999</v>
      </c>
      <c r="J620" s="218">
        <v>1.4777</v>
      </c>
      <c r="K620" s="218">
        <v>1.1132</v>
      </c>
      <c r="L620" s="214"/>
      <c r="M620" s="214"/>
      <c r="N620" s="214"/>
      <c r="O620" s="214"/>
      <c r="P620" s="214"/>
      <c r="Q620" s="214"/>
      <c r="R620" s="214"/>
      <c r="S620" s="214"/>
      <c r="T620" s="214"/>
      <c r="U620" s="214"/>
      <c r="V620" s="214"/>
      <c r="W620" s="214"/>
      <c r="X620" s="214"/>
    </row>
    <row r="621" spans="1:24" ht="15.75" customHeight="1">
      <c r="A621" s="83"/>
      <c r="B621" s="218">
        <v>36.4</v>
      </c>
      <c r="C621" s="218">
        <v>9.2200000000000006</v>
      </c>
      <c r="D621" s="218">
        <v>8.9999999999999998E-4</v>
      </c>
      <c r="E621" s="218">
        <v>2.2100000000000002E-2</v>
      </c>
      <c r="F621" s="218">
        <v>251.07</v>
      </c>
      <c r="G621" s="218">
        <v>417.83</v>
      </c>
      <c r="H621" s="218">
        <v>1.1736</v>
      </c>
      <c r="I621" s="218">
        <v>1.7122999999999999</v>
      </c>
      <c r="J621" s="218">
        <v>1.4782</v>
      </c>
      <c r="K621" s="218">
        <v>1.1140000000000001</v>
      </c>
      <c r="L621" s="214"/>
      <c r="M621" s="214"/>
      <c r="N621" s="214"/>
      <c r="O621" s="214"/>
      <c r="P621" s="214"/>
      <c r="Q621" s="214"/>
      <c r="R621" s="214"/>
      <c r="S621" s="214"/>
      <c r="T621" s="214"/>
      <c r="U621" s="214"/>
      <c r="V621" s="214"/>
      <c r="W621" s="214"/>
      <c r="X621" s="214"/>
    </row>
    <row r="622" spans="1:24" ht="15.75" customHeight="1">
      <c r="A622" s="83"/>
      <c r="B622" s="218">
        <v>36.5</v>
      </c>
      <c r="C622" s="218">
        <v>9.24</v>
      </c>
      <c r="D622" s="218">
        <v>8.9999999999999998E-4</v>
      </c>
      <c r="E622" s="218">
        <v>2.2100000000000002E-2</v>
      </c>
      <c r="F622" s="218">
        <v>251.21</v>
      </c>
      <c r="G622" s="218">
        <v>417.88</v>
      </c>
      <c r="H622" s="218">
        <v>1.1740999999999999</v>
      </c>
      <c r="I622" s="218">
        <v>1.7122999999999999</v>
      </c>
      <c r="J622" s="218">
        <v>1.4787999999999999</v>
      </c>
      <c r="K622" s="218">
        <v>1.1148</v>
      </c>
      <c r="L622" s="214"/>
      <c r="M622" s="214"/>
      <c r="N622" s="214"/>
      <c r="O622" s="214"/>
      <c r="P622" s="214"/>
      <c r="Q622" s="214"/>
      <c r="R622" s="214"/>
      <c r="S622" s="214"/>
      <c r="T622" s="214"/>
      <c r="U622" s="214"/>
      <c r="V622" s="214"/>
      <c r="W622" s="214"/>
      <c r="X622" s="214"/>
    </row>
    <row r="623" spans="1:24" ht="15.75" customHeight="1">
      <c r="A623" s="83"/>
      <c r="B623" s="218">
        <v>36.6</v>
      </c>
      <c r="C623" s="218">
        <v>9.27</v>
      </c>
      <c r="D623" s="218">
        <v>8.9999999999999998E-4</v>
      </c>
      <c r="E623" s="218">
        <v>2.1999999999999999E-2</v>
      </c>
      <c r="F623" s="218">
        <v>251.36</v>
      </c>
      <c r="G623" s="218">
        <v>417.92</v>
      </c>
      <c r="H623" s="218">
        <v>1.1745000000000001</v>
      </c>
      <c r="I623" s="218">
        <v>1.7121999999999999</v>
      </c>
      <c r="J623" s="218">
        <v>1.4793000000000001</v>
      </c>
      <c r="K623" s="218">
        <v>1.1155999999999999</v>
      </c>
      <c r="L623" s="214"/>
      <c r="M623" s="214"/>
      <c r="N623" s="214"/>
      <c r="O623" s="214"/>
      <c r="P623" s="214"/>
      <c r="Q623" s="214"/>
      <c r="R623" s="214"/>
      <c r="S623" s="214"/>
      <c r="T623" s="214"/>
      <c r="U623" s="214"/>
      <c r="V623" s="214"/>
      <c r="W623" s="214"/>
      <c r="X623" s="214"/>
    </row>
    <row r="624" spans="1:24" ht="15.75" customHeight="1">
      <c r="A624" s="83"/>
      <c r="B624" s="218">
        <v>36.700000000000003</v>
      </c>
      <c r="C624" s="218">
        <v>9.3000000000000007</v>
      </c>
      <c r="D624" s="218">
        <v>8.9999999999999998E-4</v>
      </c>
      <c r="E624" s="218">
        <v>2.1899999999999999E-2</v>
      </c>
      <c r="F624" s="218">
        <v>251.51</v>
      </c>
      <c r="G624" s="218">
        <v>417.97</v>
      </c>
      <c r="H624" s="218">
        <v>1.175</v>
      </c>
      <c r="I624" s="218">
        <v>1.7121999999999999</v>
      </c>
      <c r="J624" s="218">
        <v>1.4799</v>
      </c>
      <c r="K624" s="218">
        <v>1.1165</v>
      </c>
      <c r="L624" s="214"/>
      <c r="M624" s="214"/>
      <c r="N624" s="214"/>
      <c r="O624" s="214"/>
      <c r="P624" s="214"/>
      <c r="Q624" s="214"/>
      <c r="R624" s="214"/>
      <c r="S624" s="214"/>
      <c r="T624" s="214"/>
      <c r="U624" s="214"/>
      <c r="V624" s="214"/>
      <c r="W624" s="214"/>
      <c r="X624" s="214"/>
    </row>
    <row r="625" spans="1:24" ht="15.75" customHeight="1">
      <c r="A625" s="83"/>
      <c r="B625" s="218">
        <v>36.799999999999997</v>
      </c>
      <c r="C625" s="218">
        <v>9.32</v>
      </c>
      <c r="D625" s="218">
        <v>8.9999999999999998E-4</v>
      </c>
      <c r="E625" s="218">
        <v>2.1899999999999999E-2</v>
      </c>
      <c r="F625" s="218">
        <v>251.66</v>
      </c>
      <c r="G625" s="218">
        <v>418.01</v>
      </c>
      <c r="H625" s="218">
        <v>1.1755</v>
      </c>
      <c r="I625" s="218">
        <v>1.7121999999999999</v>
      </c>
      <c r="J625" s="218">
        <v>1.4803999999999999</v>
      </c>
      <c r="K625" s="218">
        <v>1.1173</v>
      </c>
      <c r="L625" s="214"/>
      <c r="M625" s="214"/>
      <c r="N625" s="214"/>
      <c r="O625" s="214"/>
      <c r="P625" s="214"/>
      <c r="Q625" s="214"/>
      <c r="R625" s="214"/>
      <c r="S625" s="214"/>
      <c r="T625" s="214"/>
      <c r="U625" s="214"/>
      <c r="V625" s="214"/>
      <c r="W625" s="214"/>
      <c r="X625" s="214"/>
    </row>
    <row r="626" spans="1:24" ht="15.75" customHeight="1">
      <c r="A626" s="83"/>
      <c r="B626" s="218">
        <v>36.9</v>
      </c>
      <c r="C626" s="218">
        <v>9.35</v>
      </c>
      <c r="D626" s="218">
        <v>8.9999999999999998E-4</v>
      </c>
      <c r="E626" s="218">
        <v>2.18E-2</v>
      </c>
      <c r="F626" s="218">
        <v>251.81</v>
      </c>
      <c r="G626" s="218">
        <v>418.06</v>
      </c>
      <c r="H626" s="218">
        <v>1.1758999999999999</v>
      </c>
      <c r="I626" s="218">
        <v>1.7121</v>
      </c>
      <c r="J626" s="218">
        <v>1.4809000000000001</v>
      </c>
      <c r="K626" s="218">
        <v>1.1181000000000001</v>
      </c>
      <c r="L626" s="214"/>
      <c r="M626" s="214"/>
      <c r="N626" s="214"/>
      <c r="O626" s="214"/>
      <c r="P626" s="214"/>
      <c r="Q626" s="214"/>
      <c r="R626" s="214"/>
      <c r="S626" s="214"/>
      <c r="T626" s="214"/>
      <c r="U626" s="214"/>
      <c r="V626" s="214"/>
      <c r="W626" s="214"/>
      <c r="X626" s="214"/>
    </row>
    <row r="627" spans="1:24" ht="15.75" customHeight="1">
      <c r="A627" s="83"/>
      <c r="B627" s="218">
        <v>37</v>
      </c>
      <c r="C627" s="218">
        <v>9.3699999999999992</v>
      </c>
      <c r="D627" s="218">
        <v>8.9999999999999998E-4</v>
      </c>
      <c r="E627" s="218">
        <v>2.1700000000000001E-2</v>
      </c>
      <c r="F627" s="218">
        <v>251.95</v>
      </c>
      <c r="G627" s="218">
        <v>418.1</v>
      </c>
      <c r="H627" s="218">
        <v>1.1763999999999999</v>
      </c>
      <c r="I627" s="218">
        <v>1.7121</v>
      </c>
      <c r="J627" s="218">
        <v>1.4815</v>
      </c>
      <c r="K627" s="218">
        <v>1.1189</v>
      </c>
      <c r="L627" s="214"/>
      <c r="M627" s="214"/>
      <c r="N627" s="214"/>
      <c r="O627" s="214"/>
      <c r="P627" s="214"/>
      <c r="Q627" s="214"/>
      <c r="R627" s="214"/>
      <c r="S627" s="214"/>
      <c r="T627" s="214"/>
      <c r="U627" s="214"/>
      <c r="V627" s="214"/>
      <c r="W627" s="214"/>
      <c r="X627" s="214"/>
    </row>
    <row r="628" spans="1:24" ht="15.75" customHeight="1">
      <c r="A628" s="83"/>
      <c r="B628" s="218">
        <v>37.1</v>
      </c>
      <c r="C628" s="218">
        <v>9.4</v>
      </c>
      <c r="D628" s="218">
        <v>8.9999999999999998E-4</v>
      </c>
      <c r="E628" s="218">
        <v>2.1700000000000001E-2</v>
      </c>
      <c r="F628" s="218">
        <v>252.1</v>
      </c>
      <c r="G628" s="218">
        <v>418.15</v>
      </c>
      <c r="H628" s="218">
        <v>1.1769000000000001</v>
      </c>
      <c r="I628" s="218">
        <v>1.7121</v>
      </c>
      <c r="J628" s="218">
        <v>1.482</v>
      </c>
      <c r="K628" s="218">
        <v>1.1196999999999999</v>
      </c>
      <c r="L628" s="214"/>
      <c r="M628" s="214"/>
      <c r="N628" s="214"/>
      <c r="O628" s="214"/>
      <c r="P628" s="214"/>
      <c r="Q628" s="214"/>
      <c r="R628" s="214"/>
      <c r="S628" s="214"/>
      <c r="T628" s="214"/>
      <c r="U628" s="214"/>
      <c r="V628" s="214"/>
      <c r="W628" s="214"/>
      <c r="X628" s="214"/>
    </row>
    <row r="629" spans="1:24" ht="15.75" customHeight="1">
      <c r="A629" s="83"/>
      <c r="B629" s="218">
        <v>37.200000000000003</v>
      </c>
      <c r="C629" s="218">
        <v>9.42</v>
      </c>
      <c r="D629" s="218">
        <v>8.9999999999999998E-4</v>
      </c>
      <c r="E629" s="218">
        <v>2.1600000000000001E-2</v>
      </c>
      <c r="F629" s="218">
        <v>252.25</v>
      </c>
      <c r="G629" s="218">
        <v>418.19</v>
      </c>
      <c r="H629" s="218">
        <v>1.1773</v>
      </c>
      <c r="I629" s="218">
        <v>1.712</v>
      </c>
      <c r="J629" s="218">
        <v>1.4825999999999999</v>
      </c>
      <c r="K629" s="218">
        <v>1.1206</v>
      </c>
      <c r="L629" s="214"/>
      <c r="M629" s="214"/>
      <c r="N629" s="214"/>
      <c r="O629" s="214"/>
      <c r="P629" s="214"/>
      <c r="Q629" s="214"/>
      <c r="R629" s="214"/>
      <c r="S629" s="214"/>
      <c r="T629" s="214"/>
      <c r="U629" s="214"/>
      <c r="V629" s="214"/>
      <c r="W629" s="214"/>
      <c r="X629" s="214"/>
    </row>
    <row r="630" spans="1:24" ht="15.75" customHeight="1">
      <c r="A630" s="83"/>
      <c r="B630" s="218">
        <v>37.299999999999997</v>
      </c>
      <c r="C630" s="218">
        <v>9.4499999999999993</v>
      </c>
      <c r="D630" s="218">
        <v>8.9999999999999998E-4</v>
      </c>
      <c r="E630" s="218">
        <v>2.1600000000000001E-2</v>
      </c>
      <c r="F630" s="218">
        <v>252.4</v>
      </c>
      <c r="G630" s="218">
        <v>418.24</v>
      </c>
      <c r="H630" s="218">
        <v>1.1778</v>
      </c>
      <c r="I630" s="218">
        <v>1.712</v>
      </c>
      <c r="J630" s="218">
        <v>1.4831000000000001</v>
      </c>
      <c r="K630" s="218">
        <v>1.1214</v>
      </c>
      <c r="L630" s="214"/>
      <c r="M630" s="214"/>
      <c r="N630" s="214"/>
      <c r="O630" s="214"/>
      <c r="P630" s="214"/>
      <c r="Q630" s="214"/>
      <c r="R630" s="214"/>
      <c r="S630" s="214"/>
      <c r="T630" s="214"/>
      <c r="U630" s="214"/>
      <c r="V630" s="214"/>
      <c r="W630" s="214"/>
      <c r="X630" s="214"/>
    </row>
    <row r="631" spans="1:24" ht="15.75" customHeight="1">
      <c r="A631" s="83"/>
      <c r="B631" s="218">
        <v>37.4</v>
      </c>
      <c r="C631" s="218">
        <v>9.48</v>
      </c>
      <c r="D631" s="218">
        <v>8.9999999999999998E-4</v>
      </c>
      <c r="E631" s="218">
        <v>2.1499999999999998E-2</v>
      </c>
      <c r="F631" s="218">
        <v>252.54</v>
      </c>
      <c r="G631" s="218">
        <v>418.28</v>
      </c>
      <c r="H631" s="218">
        <v>1.1782999999999999</v>
      </c>
      <c r="I631" s="218">
        <v>1.712</v>
      </c>
      <c r="J631" s="218">
        <v>1.4837</v>
      </c>
      <c r="K631" s="218">
        <v>1.1222000000000001</v>
      </c>
      <c r="L631" s="214"/>
      <c r="M631" s="214"/>
      <c r="N631" s="214"/>
      <c r="O631" s="214"/>
      <c r="P631" s="214"/>
      <c r="Q631" s="214"/>
      <c r="R631" s="214"/>
      <c r="S631" s="214"/>
      <c r="T631" s="214"/>
      <c r="U631" s="214"/>
      <c r="V631" s="214"/>
      <c r="W631" s="214"/>
      <c r="X631" s="214"/>
    </row>
    <row r="632" spans="1:24" ht="15.75" customHeight="1">
      <c r="A632" s="83"/>
      <c r="B632" s="218">
        <v>37.5</v>
      </c>
      <c r="C632" s="218">
        <v>9.5</v>
      </c>
      <c r="D632" s="218">
        <v>8.9999999999999998E-4</v>
      </c>
      <c r="E632" s="218">
        <v>2.1399999999999999E-2</v>
      </c>
      <c r="F632" s="218">
        <v>252.69</v>
      </c>
      <c r="G632" s="218">
        <v>418.33</v>
      </c>
      <c r="H632" s="218">
        <v>1.1787000000000001</v>
      </c>
      <c r="I632" s="218">
        <v>1.7119</v>
      </c>
      <c r="J632" s="218">
        <v>1.4842</v>
      </c>
      <c r="K632" s="218">
        <v>1.1231</v>
      </c>
      <c r="L632" s="214"/>
      <c r="M632" s="214"/>
      <c r="N632" s="214"/>
      <c r="O632" s="214"/>
      <c r="P632" s="214"/>
      <c r="Q632" s="214"/>
      <c r="R632" s="214"/>
      <c r="S632" s="214"/>
      <c r="T632" s="214"/>
      <c r="U632" s="214"/>
      <c r="V632" s="214"/>
      <c r="W632" s="214"/>
      <c r="X632" s="214"/>
    </row>
    <row r="633" spans="1:24" ht="15.75" customHeight="1">
      <c r="A633" s="83"/>
      <c r="B633" s="218">
        <v>37.6</v>
      </c>
      <c r="C633" s="218">
        <v>9.5299999999999994</v>
      </c>
      <c r="D633" s="218">
        <v>8.9999999999999998E-4</v>
      </c>
      <c r="E633" s="218">
        <v>2.1399999999999999E-2</v>
      </c>
      <c r="F633" s="218">
        <v>252.84</v>
      </c>
      <c r="G633" s="218">
        <v>418.37</v>
      </c>
      <c r="H633" s="218">
        <v>1.1792</v>
      </c>
      <c r="I633" s="218">
        <v>1.7119</v>
      </c>
      <c r="J633" s="218">
        <v>1.4847999999999999</v>
      </c>
      <c r="K633" s="218">
        <v>1.1238999999999999</v>
      </c>
      <c r="L633" s="214"/>
      <c r="M633" s="214"/>
      <c r="N633" s="214"/>
      <c r="O633" s="214"/>
      <c r="P633" s="214"/>
      <c r="Q633" s="214"/>
      <c r="R633" s="214"/>
      <c r="S633" s="214"/>
      <c r="T633" s="214"/>
      <c r="U633" s="214"/>
      <c r="V633" s="214"/>
      <c r="W633" s="214"/>
      <c r="X633" s="214"/>
    </row>
    <row r="634" spans="1:24" ht="15.75" customHeight="1">
      <c r="A634" s="83"/>
      <c r="B634" s="218">
        <v>37.700000000000003</v>
      </c>
      <c r="C634" s="218">
        <v>9.5500000000000007</v>
      </c>
      <c r="D634" s="218">
        <v>8.9999999999999998E-4</v>
      </c>
      <c r="E634" s="218">
        <v>2.1299999999999999E-2</v>
      </c>
      <c r="F634" s="218">
        <v>252.99</v>
      </c>
      <c r="G634" s="218">
        <v>418.42</v>
      </c>
      <c r="H634" s="218">
        <v>1.1797</v>
      </c>
      <c r="I634" s="218">
        <v>1.7119</v>
      </c>
      <c r="J634" s="218">
        <v>1.4853000000000001</v>
      </c>
      <c r="K634" s="218">
        <v>1.1247</v>
      </c>
      <c r="L634" s="214"/>
      <c r="M634" s="214"/>
      <c r="N634" s="214"/>
      <c r="O634" s="214"/>
      <c r="P634" s="214"/>
      <c r="Q634" s="214"/>
      <c r="R634" s="214"/>
      <c r="S634" s="214"/>
      <c r="T634" s="214"/>
      <c r="U634" s="214"/>
      <c r="V634" s="214"/>
      <c r="W634" s="214"/>
      <c r="X634" s="214"/>
    </row>
    <row r="635" spans="1:24" ht="15.75" customHeight="1">
      <c r="A635" s="83"/>
      <c r="B635" s="218">
        <v>37.799999999999997</v>
      </c>
      <c r="C635" s="218">
        <v>9.58</v>
      </c>
      <c r="D635" s="218">
        <v>8.9999999999999998E-4</v>
      </c>
      <c r="E635" s="218">
        <v>2.1299999999999999E-2</v>
      </c>
      <c r="F635" s="218">
        <v>253.14</v>
      </c>
      <c r="G635" s="218">
        <v>418.46</v>
      </c>
      <c r="H635" s="218">
        <v>1.1801999999999999</v>
      </c>
      <c r="I635" s="218">
        <v>1.7118</v>
      </c>
      <c r="J635" s="218">
        <v>1.4859</v>
      </c>
      <c r="K635" s="218">
        <v>1.1255999999999999</v>
      </c>
      <c r="L635" s="214"/>
      <c r="M635" s="214"/>
      <c r="N635" s="214"/>
      <c r="O635" s="214"/>
      <c r="P635" s="214"/>
      <c r="Q635" s="214"/>
      <c r="R635" s="214"/>
      <c r="S635" s="214"/>
      <c r="T635" s="214"/>
      <c r="U635" s="214"/>
      <c r="V635" s="214"/>
      <c r="W635" s="214"/>
      <c r="X635" s="214"/>
    </row>
    <row r="636" spans="1:24" ht="15.75" customHeight="1">
      <c r="A636" s="83"/>
      <c r="B636" s="218">
        <v>37.9</v>
      </c>
      <c r="C636" s="218">
        <v>9.61</v>
      </c>
      <c r="D636" s="218">
        <v>8.9999999999999998E-4</v>
      </c>
      <c r="E636" s="218">
        <v>2.12E-2</v>
      </c>
      <c r="F636" s="218">
        <v>253.28</v>
      </c>
      <c r="G636" s="218">
        <v>418.5</v>
      </c>
      <c r="H636" s="218">
        <v>1.1806000000000001</v>
      </c>
      <c r="I636" s="218">
        <v>1.7118</v>
      </c>
      <c r="J636" s="218">
        <v>1.4863999999999999</v>
      </c>
      <c r="K636" s="218">
        <v>1.1264000000000001</v>
      </c>
      <c r="L636" s="214"/>
      <c r="M636" s="214"/>
      <c r="N636" s="214"/>
      <c r="O636" s="214"/>
      <c r="P636" s="214"/>
      <c r="Q636" s="214"/>
      <c r="R636" s="214"/>
      <c r="S636" s="214"/>
      <c r="T636" s="214"/>
      <c r="U636" s="214"/>
      <c r="V636" s="214"/>
      <c r="W636" s="214"/>
      <c r="X636" s="214"/>
    </row>
    <row r="637" spans="1:24" ht="15.75" customHeight="1">
      <c r="A637" s="83"/>
      <c r="B637" s="218">
        <v>38</v>
      </c>
      <c r="C637" s="218">
        <v>9.6300000000000008</v>
      </c>
      <c r="D637" s="218">
        <v>8.9999999999999998E-4</v>
      </c>
      <c r="E637" s="218">
        <v>2.1100000000000001E-2</v>
      </c>
      <c r="F637" s="218">
        <v>253.43</v>
      </c>
      <c r="G637" s="218">
        <v>418.55</v>
      </c>
      <c r="H637" s="218">
        <v>1.1811</v>
      </c>
      <c r="I637" s="218">
        <v>1.7118</v>
      </c>
      <c r="J637" s="218">
        <v>1.4870000000000001</v>
      </c>
      <c r="K637" s="218">
        <v>1.1272</v>
      </c>
      <c r="L637" s="214"/>
      <c r="M637" s="214"/>
      <c r="N637" s="214"/>
      <c r="O637" s="214"/>
      <c r="P637" s="214"/>
      <c r="Q637" s="214"/>
      <c r="R637" s="214"/>
      <c r="S637" s="214"/>
      <c r="T637" s="214"/>
      <c r="U637" s="214"/>
      <c r="V637" s="214"/>
      <c r="W637" s="214"/>
      <c r="X637" s="214"/>
    </row>
    <row r="638" spans="1:24" ht="15.75" customHeight="1">
      <c r="A638" s="83"/>
      <c r="B638" s="218">
        <v>38.1</v>
      </c>
      <c r="C638" s="218">
        <v>9.66</v>
      </c>
      <c r="D638" s="218">
        <v>8.9999999999999998E-4</v>
      </c>
      <c r="E638" s="218">
        <v>2.1100000000000001E-2</v>
      </c>
      <c r="F638" s="218">
        <v>253.58</v>
      </c>
      <c r="G638" s="218">
        <v>418.59</v>
      </c>
      <c r="H638" s="218">
        <v>1.1816</v>
      </c>
      <c r="I638" s="218">
        <v>1.7117</v>
      </c>
      <c r="J638" s="218">
        <v>1.4875</v>
      </c>
      <c r="K638" s="218">
        <v>1.1281000000000001</v>
      </c>
      <c r="L638" s="214"/>
      <c r="M638" s="214"/>
      <c r="N638" s="214"/>
      <c r="O638" s="214"/>
      <c r="P638" s="214"/>
      <c r="Q638" s="214"/>
      <c r="R638" s="214"/>
      <c r="S638" s="214"/>
      <c r="T638" s="214"/>
      <c r="U638" s="214"/>
      <c r="V638" s="214"/>
      <c r="W638" s="214"/>
      <c r="X638" s="214"/>
    </row>
    <row r="639" spans="1:24" ht="15.75" customHeight="1">
      <c r="A639" s="83"/>
      <c r="B639" s="218">
        <v>38.200000000000003</v>
      </c>
      <c r="C639" s="218">
        <v>9.68</v>
      </c>
      <c r="D639" s="218">
        <v>8.9999999999999998E-4</v>
      </c>
      <c r="E639" s="218">
        <v>2.1000000000000001E-2</v>
      </c>
      <c r="F639" s="218">
        <v>253.73</v>
      </c>
      <c r="G639" s="218">
        <v>418.64</v>
      </c>
      <c r="H639" s="218">
        <v>1.1819999999999999</v>
      </c>
      <c r="I639" s="218">
        <v>1.7117</v>
      </c>
      <c r="J639" s="218">
        <v>1.4881</v>
      </c>
      <c r="K639" s="218">
        <v>1.1289</v>
      </c>
      <c r="L639" s="214"/>
      <c r="M639" s="214"/>
      <c r="N639" s="214"/>
      <c r="O639" s="214"/>
      <c r="P639" s="214"/>
      <c r="Q639" s="214"/>
      <c r="R639" s="214"/>
      <c r="S639" s="214"/>
      <c r="T639" s="214"/>
      <c r="U639" s="214"/>
      <c r="V639" s="214"/>
      <c r="W639" s="214"/>
      <c r="X639" s="214"/>
    </row>
    <row r="640" spans="1:24" ht="15.75" customHeight="1">
      <c r="A640" s="83"/>
      <c r="B640" s="218">
        <v>38.299999999999997</v>
      </c>
      <c r="C640" s="218">
        <v>9.7100000000000009</v>
      </c>
      <c r="D640" s="218">
        <v>8.9999999999999998E-4</v>
      </c>
      <c r="E640" s="218">
        <v>2.1000000000000001E-2</v>
      </c>
      <c r="F640" s="218">
        <v>253.88</v>
      </c>
      <c r="G640" s="218">
        <v>418.68</v>
      </c>
      <c r="H640" s="218">
        <v>1.1825000000000001</v>
      </c>
      <c r="I640" s="218">
        <v>1.7117</v>
      </c>
      <c r="J640" s="218">
        <v>1.4886999999999999</v>
      </c>
      <c r="K640" s="218">
        <v>1.1297999999999999</v>
      </c>
      <c r="L640" s="214"/>
      <c r="M640" s="214"/>
      <c r="N640" s="214"/>
      <c r="O640" s="214"/>
      <c r="P640" s="214"/>
      <c r="Q640" s="214"/>
      <c r="R640" s="214"/>
      <c r="S640" s="214"/>
      <c r="T640" s="214"/>
      <c r="U640" s="214"/>
      <c r="V640" s="214"/>
      <c r="W640" s="214"/>
      <c r="X640" s="214"/>
    </row>
    <row r="641" spans="1:24" ht="15.75" customHeight="1">
      <c r="A641" s="83"/>
      <c r="B641" s="218">
        <v>38.4</v>
      </c>
      <c r="C641" s="218">
        <v>9.74</v>
      </c>
      <c r="D641" s="218">
        <v>8.9999999999999998E-4</v>
      </c>
      <c r="E641" s="218">
        <v>2.0899999999999998E-2</v>
      </c>
      <c r="F641" s="218">
        <v>254.03</v>
      </c>
      <c r="G641" s="218">
        <v>418.73</v>
      </c>
      <c r="H641" s="218">
        <v>1.1830000000000001</v>
      </c>
      <c r="I641" s="218">
        <v>1.7116</v>
      </c>
      <c r="J641" s="218">
        <v>1.4892000000000001</v>
      </c>
      <c r="K641" s="218">
        <v>1.1306</v>
      </c>
      <c r="L641" s="214"/>
      <c r="M641" s="214"/>
      <c r="N641" s="214"/>
      <c r="O641" s="214"/>
      <c r="P641" s="214"/>
      <c r="Q641" s="214"/>
      <c r="R641" s="214"/>
      <c r="S641" s="214"/>
      <c r="T641" s="214"/>
      <c r="U641" s="214"/>
      <c r="V641" s="214"/>
      <c r="W641" s="214"/>
      <c r="X641" s="214"/>
    </row>
    <row r="642" spans="1:24" ht="15.75" customHeight="1">
      <c r="A642" s="83"/>
      <c r="B642" s="218">
        <v>38.5</v>
      </c>
      <c r="C642" s="218">
        <v>9.76</v>
      </c>
      <c r="D642" s="218">
        <v>8.9999999999999998E-4</v>
      </c>
      <c r="E642" s="218">
        <v>2.0799999999999999E-2</v>
      </c>
      <c r="F642" s="218">
        <v>254.18</v>
      </c>
      <c r="G642" s="218">
        <v>418.77</v>
      </c>
      <c r="H642" s="218">
        <v>1.1834</v>
      </c>
      <c r="I642" s="218">
        <v>1.7116</v>
      </c>
      <c r="J642" s="218">
        <v>1.4898</v>
      </c>
      <c r="K642" s="218">
        <v>1.1315</v>
      </c>
      <c r="L642" s="214"/>
      <c r="M642" s="214"/>
      <c r="N642" s="214"/>
      <c r="O642" s="214"/>
      <c r="P642" s="214"/>
      <c r="Q642" s="214"/>
      <c r="R642" s="214"/>
      <c r="S642" s="214"/>
      <c r="T642" s="214"/>
      <c r="U642" s="214"/>
      <c r="V642" s="214"/>
      <c r="W642" s="214"/>
      <c r="X642" s="214"/>
    </row>
    <row r="643" spans="1:24" ht="15.75" customHeight="1">
      <c r="A643" s="83"/>
      <c r="B643" s="218">
        <v>38.6</v>
      </c>
      <c r="C643" s="218">
        <v>9.7899999999999991</v>
      </c>
      <c r="D643" s="218">
        <v>8.9999999999999998E-4</v>
      </c>
      <c r="E643" s="218">
        <v>2.0799999999999999E-2</v>
      </c>
      <c r="F643" s="218">
        <v>254.32</v>
      </c>
      <c r="G643" s="218">
        <v>418.82</v>
      </c>
      <c r="H643" s="218">
        <v>1.1839</v>
      </c>
      <c r="I643" s="218">
        <v>1.7115</v>
      </c>
      <c r="J643" s="218">
        <v>1.4903</v>
      </c>
      <c r="K643" s="218">
        <v>1.1323000000000001</v>
      </c>
      <c r="L643" s="214"/>
      <c r="M643" s="214"/>
      <c r="N643" s="214"/>
      <c r="O643" s="214"/>
      <c r="P643" s="214"/>
      <c r="Q643" s="214"/>
      <c r="R643" s="214"/>
      <c r="S643" s="214"/>
      <c r="T643" s="214"/>
      <c r="U643" s="214"/>
      <c r="V643" s="214"/>
      <c r="W643" s="214"/>
      <c r="X643" s="214"/>
    </row>
    <row r="644" spans="1:24" ht="15.75" customHeight="1">
      <c r="A644" s="83"/>
      <c r="B644" s="218">
        <v>38.700000000000003</v>
      </c>
      <c r="C644" s="218">
        <v>9.82</v>
      </c>
      <c r="D644" s="218">
        <v>8.9999999999999998E-4</v>
      </c>
      <c r="E644" s="218">
        <v>2.07E-2</v>
      </c>
      <c r="F644" s="218">
        <v>254.47</v>
      </c>
      <c r="G644" s="218">
        <v>418.86</v>
      </c>
      <c r="H644" s="218">
        <v>1.1843999999999999</v>
      </c>
      <c r="I644" s="218">
        <v>1.7115</v>
      </c>
      <c r="J644" s="218">
        <v>1.4908999999999999</v>
      </c>
      <c r="K644" s="218">
        <v>1.1332</v>
      </c>
      <c r="L644" s="214"/>
      <c r="M644" s="214"/>
      <c r="N644" s="214"/>
      <c r="O644" s="214"/>
      <c r="P644" s="214"/>
      <c r="Q644" s="214"/>
      <c r="R644" s="214"/>
      <c r="S644" s="214"/>
      <c r="T644" s="214"/>
      <c r="U644" s="214"/>
      <c r="V644" s="214"/>
      <c r="W644" s="214"/>
      <c r="X644" s="214"/>
    </row>
    <row r="645" spans="1:24" ht="15.75" customHeight="1">
      <c r="A645" s="83"/>
      <c r="B645" s="218">
        <v>38.799999999999997</v>
      </c>
      <c r="C645" s="218">
        <v>9.84</v>
      </c>
      <c r="D645" s="218">
        <v>8.9999999999999998E-4</v>
      </c>
      <c r="E645" s="218">
        <v>2.07E-2</v>
      </c>
      <c r="F645" s="218">
        <v>254.62</v>
      </c>
      <c r="G645" s="218">
        <v>418.9</v>
      </c>
      <c r="H645" s="218">
        <v>1.1848000000000001</v>
      </c>
      <c r="I645" s="218">
        <v>1.7115</v>
      </c>
      <c r="J645" s="218">
        <v>1.4915</v>
      </c>
      <c r="K645" s="218">
        <v>1.1341000000000001</v>
      </c>
      <c r="L645" s="214"/>
      <c r="M645" s="214"/>
      <c r="N645" s="214"/>
      <c r="O645" s="214"/>
      <c r="P645" s="214"/>
      <c r="Q645" s="214"/>
      <c r="R645" s="214"/>
      <c r="S645" s="214"/>
      <c r="T645" s="214"/>
      <c r="U645" s="214"/>
      <c r="V645" s="214"/>
      <c r="W645" s="214"/>
      <c r="X645" s="214"/>
    </row>
    <row r="646" spans="1:24" ht="15.75" customHeight="1">
      <c r="A646" s="83"/>
      <c r="B646" s="218">
        <v>38.9</v>
      </c>
      <c r="C646" s="218">
        <v>9.8699999999999992</v>
      </c>
      <c r="D646" s="218">
        <v>8.9999999999999998E-4</v>
      </c>
      <c r="E646" s="218">
        <v>2.06E-2</v>
      </c>
      <c r="F646" s="218">
        <v>254.77</v>
      </c>
      <c r="G646" s="218">
        <v>418.95</v>
      </c>
      <c r="H646" s="218">
        <v>1.1853</v>
      </c>
      <c r="I646" s="218">
        <v>1.7114</v>
      </c>
      <c r="J646" s="218">
        <v>1.4921</v>
      </c>
      <c r="K646" s="218">
        <v>1.1349</v>
      </c>
      <c r="L646" s="214"/>
      <c r="M646" s="214"/>
      <c r="N646" s="214"/>
      <c r="O646" s="214"/>
      <c r="P646" s="214"/>
      <c r="Q646" s="214"/>
      <c r="R646" s="214"/>
      <c r="S646" s="214"/>
      <c r="T646" s="214"/>
      <c r="U646" s="214"/>
      <c r="V646" s="214"/>
      <c r="W646" s="214"/>
      <c r="X646" s="214"/>
    </row>
    <row r="647" spans="1:24" ht="15.75" customHeight="1">
      <c r="A647" s="83"/>
      <c r="B647" s="218">
        <v>39</v>
      </c>
      <c r="C647" s="218">
        <v>9.9</v>
      </c>
      <c r="D647" s="218">
        <v>8.9999999999999998E-4</v>
      </c>
      <c r="E647" s="218">
        <v>2.0500000000000001E-2</v>
      </c>
      <c r="F647" s="218">
        <v>254.92</v>
      </c>
      <c r="G647" s="218">
        <v>418.99</v>
      </c>
      <c r="H647" s="218">
        <v>1.1858</v>
      </c>
      <c r="I647" s="218">
        <v>1.7114</v>
      </c>
      <c r="J647" s="218">
        <v>1.4925999999999999</v>
      </c>
      <c r="K647" s="218">
        <v>1.1357999999999999</v>
      </c>
      <c r="L647" s="214"/>
      <c r="M647" s="214"/>
      <c r="N647" s="214"/>
      <c r="O647" s="214"/>
      <c r="P647" s="214"/>
      <c r="Q647" s="214"/>
      <c r="R647" s="214"/>
      <c r="S647" s="214"/>
      <c r="T647" s="214"/>
      <c r="U647" s="214"/>
      <c r="V647" s="214"/>
      <c r="W647" s="214"/>
      <c r="X647" s="214"/>
    </row>
    <row r="648" spans="1:24" ht="15.75" customHeight="1">
      <c r="A648" s="83"/>
      <c r="B648" s="218">
        <v>39.1</v>
      </c>
      <c r="C648" s="218">
        <v>9.92</v>
      </c>
      <c r="D648" s="218">
        <v>8.9999999999999998E-4</v>
      </c>
      <c r="E648" s="218">
        <v>2.0500000000000001E-2</v>
      </c>
      <c r="F648" s="218">
        <v>255.07</v>
      </c>
      <c r="G648" s="218">
        <v>419.04</v>
      </c>
      <c r="H648" s="218">
        <v>1.1862999999999999</v>
      </c>
      <c r="I648" s="218">
        <v>1.7114</v>
      </c>
      <c r="J648" s="218">
        <v>1.4932000000000001</v>
      </c>
      <c r="K648" s="218">
        <v>1.1366000000000001</v>
      </c>
      <c r="L648" s="214"/>
      <c r="M648" s="214"/>
      <c r="N648" s="214"/>
      <c r="O648" s="214"/>
      <c r="P648" s="214"/>
      <c r="Q648" s="214"/>
      <c r="R648" s="214"/>
      <c r="S648" s="214"/>
      <c r="T648" s="214"/>
      <c r="U648" s="214"/>
      <c r="V648" s="214"/>
      <c r="W648" s="214"/>
      <c r="X648" s="214"/>
    </row>
    <row r="649" spans="1:24" ht="15.75" customHeight="1">
      <c r="A649" s="83"/>
      <c r="B649" s="218">
        <v>39.200000000000003</v>
      </c>
      <c r="C649" s="218">
        <v>9.9499999999999993</v>
      </c>
      <c r="D649" s="218">
        <v>8.9999999999999998E-4</v>
      </c>
      <c r="E649" s="218">
        <v>2.0400000000000001E-2</v>
      </c>
      <c r="F649" s="218">
        <v>255.22</v>
      </c>
      <c r="G649" s="218">
        <v>419.08</v>
      </c>
      <c r="H649" s="218">
        <v>1.1867000000000001</v>
      </c>
      <c r="I649" s="218">
        <v>1.7113</v>
      </c>
      <c r="J649" s="218">
        <v>1.4938</v>
      </c>
      <c r="K649" s="218">
        <v>1.1375</v>
      </c>
      <c r="L649" s="214"/>
      <c r="M649" s="214"/>
      <c r="N649" s="214"/>
      <c r="O649" s="214"/>
      <c r="P649" s="214"/>
      <c r="Q649" s="214"/>
      <c r="R649" s="214"/>
      <c r="S649" s="214"/>
      <c r="T649" s="214"/>
      <c r="U649" s="214"/>
      <c r="V649" s="214"/>
      <c r="W649" s="214"/>
      <c r="X649" s="214"/>
    </row>
    <row r="650" spans="1:24" ht="15.75" customHeight="1">
      <c r="A650" s="83"/>
      <c r="B650" s="218">
        <v>39.299999999999997</v>
      </c>
      <c r="C650" s="218">
        <v>9.98</v>
      </c>
      <c r="D650" s="218">
        <v>8.9999999999999998E-4</v>
      </c>
      <c r="E650" s="218">
        <v>2.0400000000000001E-2</v>
      </c>
      <c r="F650" s="218">
        <v>255.37</v>
      </c>
      <c r="G650" s="218">
        <v>419.12</v>
      </c>
      <c r="H650" s="218">
        <v>1.1872</v>
      </c>
      <c r="I650" s="218">
        <v>1.7113</v>
      </c>
      <c r="J650" s="218">
        <v>1.4943</v>
      </c>
      <c r="K650" s="218">
        <v>1.1384000000000001</v>
      </c>
      <c r="L650" s="214"/>
      <c r="M650" s="214"/>
      <c r="N650" s="214"/>
      <c r="O650" s="214"/>
      <c r="P650" s="214"/>
      <c r="Q650" s="214"/>
      <c r="R650" s="214"/>
      <c r="S650" s="214"/>
      <c r="T650" s="214"/>
      <c r="U650" s="214"/>
      <c r="V650" s="214"/>
      <c r="W650" s="214"/>
      <c r="X650" s="214"/>
    </row>
    <row r="651" spans="1:24" ht="15.75" customHeight="1">
      <c r="A651" s="83"/>
      <c r="B651" s="218">
        <v>39.4</v>
      </c>
      <c r="C651" s="218">
        <v>10</v>
      </c>
      <c r="D651" s="218">
        <v>8.9999999999999998E-4</v>
      </c>
      <c r="E651" s="218">
        <v>2.0299999999999999E-2</v>
      </c>
      <c r="F651" s="218">
        <v>255.51</v>
      </c>
      <c r="G651" s="218">
        <v>419.17</v>
      </c>
      <c r="H651" s="218">
        <v>1.1877</v>
      </c>
      <c r="I651" s="218">
        <v>1.7113</v>
      </c>
      <c r="J651" s="218">
        <v>1.4948999999999999</v>
      </c>
      <c r="K651" s="218">
        <v>1.1392</v>
      </c>
      <c r="L651" s="214"/>
      <c r="M651" s="214"/>
      <c r="N651" s="214"/>
      <c r="O651" s="214"/>
      <c r="P651" s="214"/>
      <c r="Q651" s="214"/>
      <c r="R651" s="214"/>
      <c r="S651" s="214"/>
      <c r="T651" s="214"/>
      <c r="U651" s="214"/>
      <c r="V651" s="214"/>
      <c r="W651" s="214"/>
      <c r="X651" s="214"/>
    </row>
    <row r="652" spans="1:24" ht="15.75" customHeight="1">
      <c r="A652" s="83"/>
      <c r="B652" s="218">
        <v>39.5</v>
      </c>
      <c r="C652" s="218">
        <v>10.029999999999999</v>
      </c>
      <c r="D652" s="218">
        <v>8.9999999999999998E-4</v>
      </c>
      <c r="E652" s="218">
        <v>2.0299999999999999E-2</v>
      </c>
      <c r="F652" s="218">
        <v>255.66</v>
      </c>
      <c r="G652" s="218">
        <v>419.21</v>
      </c>
      <c r="H652" s="218">
        <v>1.1880999999999999</v>
      </c>
      <c r="I652" s="218">
        <v>1.7112000000000001</v>
      </c>
      <c r="J652" s="218">
        <v>1.4955000000000001</v>
      </c>
      <c r="K652" s="218">
        <v>1.1400999999999999</v>
      </c>
      <c r="L652" s="214"/>
      <c r="M652" s="214"/>
      <c r="N652" s="214"/>
      <c r="O652" s="214"/>
      <c r="P652" s="214"/>
      <c r="Q652" s="214"/>
      <c r="R652" s="214"/>
      <c r="S652" s="214"/>
      <c r="T652" s="214"/>
      <c r="U652" s="214"/>
      <c r="V652" s="214"/>
      <c r="W652" s="214"/>
      <c r="X652" s="214"/>
    </row>
    <row r="653" spans="1:24" ht="15.75" customHeight="1">
      <c r="A653" s="83"/>
      <c r="B653" s="218">
        <v>39.6</v>
      </c>
      <c r="C653" s="218">
        <v>10.06</v>
      </c>
      <c r="D653" s="218">
        <v>8.9999999999999998E-4</v>
      </c>
      <c r="E653" s="218">
        <v>2.0199999999999999E-2</v>
      </c>
      <c r="F653" s="218">
        <v>255.81</v>
      </c>
      <c r="G653" s="218">
        <v>419.25</v>
      </c>
      <c r="H653" s="218">
        <v>1.1886000000000001</v>
      </c>
      <c r="I653" s="218">
        <v>1.7112000000000001</v>
      </c>
      <c r="J653" s="218">
        <v>1.4961</v>
      </c>
      <c r="K653" s="218">
        <v>1.141</v>
      </c>
      <c r="L653" s="214"/>
      <c r="M653" s="214"/>
      <c r="N653" s="214"/>
      <c r="O653" s="214"/>
      <c r="P653" s="214"/>
      <c r="Q653" s="214"/>
      <c r="R653" s="214"/>
      <c r="S653" s="214"/>
      <c r="T653" s="214"/>
      <c r="U653" s="214"/>
      <c r="V653" s="214"/>
      <c r="W653" s="214"/>
      <c r="X653" s="214"/>
    </row>
    <row r="654" spans="1:24" ht="15.75" customHeight="1">
      <c r="A654" s="83"/>
      <c r="B654" s="218">
        <v>39.700000000000003</v>
      </c>
      <c r="C654" s="218">
        <v>10.08</v>
      </c>
      <c r="D654" s="218">
        <v>8.9999999999999998E-4</v>
      </c>
      <c r="E654" s="218">
        <v>2.01E-2</v>
      </c>
      <c r="F654" s="218">
        <v>255.96</v>
      </c>
      <c r="G654" s="218">
        <v>419.3</v>
      </c>
      <c r="H654" s="218">
        <v>1.1891</v>
      </c>
      <c r="I654" s="218">
        <v>1.7112000000000001</v>
      </c>
      <c r="J654" s="218">
        <v>1.4966999999999999</v>
      </c>
      <c r="K654" s="218">
        <v>1.1418999999999999</v>
      </c>
      <c r="L654" s="214"/>
      <c r="M654" s="214"/>
      <c r="N654" s="214"/>
      <c r="O654" s="214"/>
      <c r="P654" s="214"/>
      <c r="Q654" s="214"/>
      <c r="R654" s="214"/>
      <c r="S654" s="214"/>
      <c r="T654" s="214"/>
      <c r="U654" s="214"/>
      <c r="V654" s="214"/>
      <c r="W654" s="214"/>
      <c r="X654" s="214"/>
    </row>
    <row r="655" spans="1:24" ht="15.75" customHeight="1">
      <c r="A655" s="83"/>
      <c r="B655" s="218">
        <v>39.799999999999997</v>
      </c>
      <c r="C655" s="218">
        <v>10.11</v>
      </c>
      <c r="D655" s="218">
        <v>8.9999999999999998E-4</v>
      </c>
      <c r="E655" s="218">
        <v>2.01E-2</v>
      </c>
      <c r="F655" s="218">
        <v>256.11</v>
      </c>
      <c r="G655" s="218">
        <v>419.34</v>
      </c>
      <c r="H655" s="218">
        <v>1.1895</v>
      </c>
      <c r="I655" s="218">
        <v>1.7111000000000001</v>
      </c>
      <c r="J655" s="218">
        <v>1.4972000000000001</v>
      </c>
      <c r="K655" s="218">
        <v>1.1427</v>
      </c>
      <c r="L655" s="214"/>
      <c r="M655" s="214"/>
      <c r="N655" s="214"/>
      <c r="O655" s="214"/>
      <c r="P655" s="214"/>
      <c r="Q655" s="214"/>
      <c r="R655" s="214"/>
      <c r="S655" s="214"/>
      <c r="T655" s="214"/>
      <c r="U655" s="214"/>
      <c r="V655" s="214"/>
      <c r="W655" s="214"/>
      <c r="X655" s="214"/>
    </row>
    <row r="656" spans="1:24" ht="15.75" customHeight="1">
      <c r="A656" s="83"/>
      <c r="B656" s="218">
        <v>39.9</v>
      </c>
      <c r="C656" s="218">
        <v>10.14</v>
      </c>
      <c r="D656" s="218">
        <v>8.9999999999999998E-4</v>
      </c>
      <c r="E656" s="218">
        <v>0.02</v>
      </c>
      <c r="F656" s="218">
        <v>256.26</v>
      </c>
      <c r="G656" s="218">
        <v>419.39</v>
      </c>
      <c r="H656" s="218">
        <v>1.19</v>
      </c>
      <c r="I656" s="218">
        <v>1.7111000000000001</v>
      </c>
      <c r="J656" s="218">
        <v>1.4978</v>
      </c>
      <c r="K656" s="218">
        <v>1.1435999999999999</v>
      </c>
      <c r="L656" s="214"/>
      <c r="M656" s="214"/>
      <c r="N656" s="214"/>
      <c r="O656" s="214"/>
      <c r="P656" s="214"/>
      <c r="Q656" s="214"/>
      <c r="R656" s="214"/>
      <c r="S656" s="214"/>
      <c r="T656" s="214"/>
      <c r="U656" s="214"/>
      <c r="V656" s="214"/>
      <c r="W656" s="214"/>
      <c r="X656" s="214"/>
    </row>
    <row r="657" spans="1:24" ht="15.75" customHeight="1">
      <c r="A657" s="83"/>
      <c r="B657" s="218">
        <v>40</v>
      </c>
      <c r="C657" s="218">
        <v>10.17</v>
      </c>
      <c r="D657" s="218">
        <v>8.9999999999999998E-4</v>
      </c>
      <c r="E657" s="218">
        <v>0.02</v>
      </c>
      <c r="F657" s="218">
        <v>256.41000000000003</v>
      </c>
      <c r="G657" s="218">
        <v>419.43</v>
      </c>
      <c r="H657" s="218">
        <v>1.1904999999999999</v>
      </c>
      <c r="I657" s="218">
        <v>1.7111000000000001</v>
      </c>
      <c r="J657" s="218">
        <v>1.4984</v>
      </c>
      <c r="K657" s="218">
        <v>1.1445000000000001</v>
      </c>
      <c r="L657" s="214"/>
      <c r="M657" s="214"/>
      <c r="N657" s="214"/>
      <c r="O657" s="214"/>
      <c r="P657" s="214"/>
      <c r="Q657" s="214"/>
      <c r="R657" s="214"/>
      <c r="S657" s="214"/>
      <c r="T657" s="214"/>
      <c r="U657" s="214"/>
      <c r="V657" s="214"/>
      <c r="W657" s="214"/>
      <c r="X657" s="214"/>
    </row>
    <row r="658" spans="1:24" ht="15.75" customHeight="1">
      <c r="A658" s="83"/>
      <c r="B658" s="218">
        <v>40.1</v>
      </c>
      <c r="C658" s="218">
        <v>10.19</v>
      </c>
      <c r="D658" s="218">
        <v>8.9999999999999998E-4</v>
      </c>
      <c r="E658" s="218">
        <v>1.9900000000000001E-2</v>
      </c>
      <c r="F658" s="218">
        <v>256.56</v>
      </c>
      <c r="G658" s="218">
        <v>419.47</v>
      </c>
      <c r="H658" s="218">
        <v>1.1909000000000001</v>
      </c>
      <c r="I658" s="218">
        <v>1.7110000000000001</v>
      </c>
      <c r="J658" s="218">
        <v>1.4990000000000001</v>
      </c>
      <c r="K658" s="218">
        <v>1.1454</v>
      </c>
      <c r="L658" s="214"/>
      <c r="M658" s="214"/>
      <c r="N658" s="214"/>
      <c r="O658" s="214"/>
      <c r="P658" s="214"/>
      <c r="Q658" s="214"/>
      <c r="R658" s="214"/>
      <c r="S658" s="214"/>
      <c r="T658" s="214"/>
      <c r="U658" s="214"/>
      <c r="V658" s="214"/>
      <c r="W658" s="214"/>
      <c r="X658" s="214"/>
    </row>
    <row r="659" spans="1:24" ht="15.75" customHeight="1">
      <c r="A659" s="83"/>
      <c r="B659" s="218">
        <v>40.200000000000003</v>
      </c>
      <c r="C659" s="218">
        <v>10.220000000000001</v>
      </c>
      <c r="D659" s="218">
        <v>8.9999999999999998E-4</v>
      </c>
      <c r="E659" s="218">
        <v>1.9900000000000001E-2</v>
      </c>
      <c r="F659" s="218">
        <v>256.70999999999998</v>
      </c>
      <c r="G659" s="218">
        <v>419.52</v>
      </c>
      <c r="H659" s="218">
        <v>1.1914</v>
      </c>
      <c r="I659" s="218">
        <v>1.7110000000000001</v>
      </c>
      <c r="J659" s="218">
        <v>1.4996</v>
      </c>
      <c r="K659" s="218">
        <v>1.1463000000000001</v>
      </c>
      <c r="L659" s="214"/>
      <c r="M659" s="214"/>
      <c r="N659" s="214"/>
      <c r="O659" s="214"/>
      <c r="P659" s="214"/>
      <c r="Q659" s="214"/>
      <c r="R659" s="214"/>
      <c r="S659" s="214"/>
      <c r="T659" s="214"/>
      <c r="U659" s="214"/>
      <c r="V659" s="214"/>
      <c r="W659" s="214"/>
      <c r="X659" s="214"/>
    </row>
    <row r="660" spans="1:24" ht="15.75" customHeight="1">
      <c r="A660" s="83"/>
      <c r="B660" s="218">
        <v>40.299999999999997</v>
      </c>
      <c r="C660" s="218">
        <v>10.25</v>
      </c>
      <c r="D660" s="218">
        <v>8.9999999999999998E-4</v>
      </c>
      <c r="E660" s="218">
        <v>1.9800000000000002E-2</v>
      </c>
      <c r="F660" s="218">
        <v>256.86</v>
      </c>
      <c r="G660" s="218">
        <v>419.56</v>
      </c>
      <c r="H660" s="218">
        <v>1.1919</v>
      </c>
      <c r="I660" s="218">
        <v>1.7109000000000001</v>
      </c>
      <c r="J660" s="218">
        <v>1.5002</v>
      </c>
      <c r="K660" s="218">
        <v>1.1472</v>
      </c>
      <c r="L660" s="214"/>
      <c r="M660" s="214"/>
      <c r="N660" s="214"/>
      <c r="O660" s="214"/>
      <c r="P660" s="214"/>
      <c r="Q660" s="214"/>
      <c r="R660" s="214"/>
      <c r="S660" s="214"/>
      <c r="T660" s="214"/>
      <c r="U660" s="214"/>
      <c r="V660" s="214"/>
      <c r="W660" s="214"/>
      <c r="X660" s="214"/>
    </row>
    <row r="661" spans="1:24" ht="15.75" customHeight="1">
      <c r="A661" s="83"/>
      <c r="B661" s="218">
        <v>40.4</v>
      </c>
      <c r="C661" s="218">
        <v>10.28</v>
      </c>
      <c r="D661" s="218">
        <v>8.9999999999999998E-4</v>
      </c>
      <c r="E661" s="218">
        <v>1.9699999999999999E-2</v>
      </c>
      <c r="F661" s="218">
        <v>257.01</v>
      </c>
      <c r="G661" s="218">
        <v>419.6</v>
      </c>
      <c r="H661" s="218">
        <v>1.1923999999999999</v>
      </c>
      <c r="I661" s="218">
        <v>1.7109000000000001</v>
      </c>
      <c r="J661" s="218">
        <v>1.5007999999999999</v>
      </c>
      <c r="K661" s="218">
        <v>1.1480999999999999</v>
      </c>
      <c r="L661" s="214"/>
      <c r="M661" s="214"/>
      <c r="N661" s="214"/>
      <c r="O661" s="214"/>
      <c r="P661" s="214"/>
      <c r="Q661" s="214"/>
      <c r="R661" s="214"/>
      <c r="S661" s="214"/>
      <c r="T661" s="214"/>
      <c r="U661" s="214"/>
      <c r="V661" s="214"/>
      <c r="W661" s="214"/>
      <c r="X661" s="214"/>
    </row>
    <row r="662" spans="1:24" ht="15.75" customHeight="1">
      <c r="A662" s="83"/>
      <c r="B662" s="218">
        <v>40.5</v>
      </c>
      <c r="C662" s="218">
        <v>10.3</v>
      </c>
      <c r="D662" s="218">
        <v>8.9999999999999998E-4</v>
      </c>
      <c r="E662" s="218">
        <v>1.9699999999999999E-2</v>
      </c>
      <c r="F662" s="218">
        <v>257.16000000000003</v>
      </c>
      <c r="G662" s="218">
        <v>419.64</v>
      </c>
      <c r="H662" s="218">
        <v>1.1928000000000001</v>
      </c>
      <c r="I662" s="218">
        <v>1.7109000000000001</v>
      </c>
      <c r="J662" s="218">
        <v>1.5014000000000001</v>
      </c>
      <c r="K662" s="218">
        <v>1.149</v>
      </c>
      <c r="L662" s="214"/>
      <c r="M662" s="214"/>
      <c r="N662" s="214"/>
      <c r="O662" s="214"/>
      <c r="P662" s="214"/>
      <c r="Q662" s="214"/>
      <c r="R662" s="214"/>
      <c r="S662" s="214"/>
      <c r="T662" s="214"/>
      <c r="U662" s="214"/>
      <c r="V662" s="214"/>
      <c r="W662" s="214"/>
      <c r="X662" s="214"/>
    </row>
    <row r="663" spans="1:24" ht="15.75" customHeight="1">
      <c r="A663" s="83"/>
      <c r="B663" s="218">
        <v>40.6</v>
      </c>
      <c r="C663" s="218">
        <v>10.33</v>
      </c>
      <c r="D663" s="218">
        <v>8.9999999999999998E-4</v>
      </c>
      <c r="E663" s="218">
        <v>1.9599999999999999E-2</v>
      </c>
      <c r="F663" s="218">
        <v>257.31</v>
      </c>
      <c r="G663" s="218">
        <v>419.69</v>
      </c>
      <c r="H663" s="218">
        <v>1.1933</v>
      </c>
      <c r="I663" s="218">
        <v>1.7108000000000001</v>
      </c>
      <c r="J663" s="218">
        <v>1.502</v>
      </c>
      <c r="K663" s="218">
        <v>1.1498999999999999</v>
      </c>
      <c r="L663" s="214"/>
      <c r="M663" s="214"/>
      <c r="N663" s="214"/>
      <c r="O663" s="214"/>
      <c r="P663" s="214"/>
      <c r="Q663" s="214"/>
      <c r="R663" s="214"/>
      <c r="S663" s="214"/>
      <c r="T663" s="214"/>
      <c r="U663" s="214"/>
      <c r="V663" s="214"/>
      <c r="W663" s="214"/>
      <c r="X663" s="214"/>
    </row>
    <row r="664" spans="1:24" ht="15.75" customHeight="1">
      <c r="A664" s="83"/>
      <c r="B664" s="218">
        <v>40.700000000000003</v>
      </c>
      <c r="C664" s="218">
        <v>10.36</v>
      </c>
      <c r="D664" s="218">
        <v>8.9999999999999998E-4</v>
      </c>
      <c r="E664" s="218">
        <v>1.9599999999999999E-2</v>
      </c>
      <c r="F664" s="218">
        <v>257.45999999999998</v>
      </c>
      <c r="G664" s="218">
        <v>419.73</v>
      </c>
      <c r="H664" s="218">
        <v>1.1938</v>
      </c>
      <c r="I664" s="218">
        <v>1.7108000000000001</v>
      </c>
      <c r="J664" s="218">
        <v>1.5025999999999999</v>
      </c>
      <c r="K664" s="218">
        <v>1.1508</v>
      </c>
      <c r="L664" s="214"/>
      <c r="M664" s="214"/>
      <c r="N664" s="214"/>
      <c r="O664" s="214"/>
      <c r="P664" s="214"/>
      <c r="Q664" s="214"/>
      <c r="R664" s="214"/>
      <c r="S664" s="214"/>
      <c r="T664" s="214"/>
      <c r="U664" s="214"/>
      <c r="V664" s="214"/>
      <c r="W664" s="214"/>
      <c r="X664" s="214"/>
    </row>
    <row r="665" spans="1:24" ht="15.75" customHeight="1">
      <c r="A665" s="83"/>
      <c r="B665" s="218">
        <v>40.799999999999997</v>
      </c>
      <c r="C665" s="218">
        <v>10.39</v>
      </c>
      <c r="D665" s="218">
        <v>8.9999999999999998E-4</v>
      </c>
      <c r="E665" s="218">
        <v>1.95E-2</v>
      </c>
      <c r="F665" s="218">
        <v>257.61</v>
      </c>
      <c r="G665" s="218">
        <v>419.77</v>
      </c>
      <c r="H665" s="218">
        <v>1.1941999999999999</v>
      </c>
      <c r="I665" s="218">
        <v>1.7108000000000001</v>
      </c>
      <c r="J665" s="218">
        <v>1.5032000000000001</v>
      </c>
      <c r="K665" s="218">
        <v>1.1516999999999999</v>
      </c>
      <c r="L665" s="214"/>
      <c r="M665" s="214"/>
      <c r="N665" s="214"/>
      <c r="O665" s="214"/>
      <c r="P665" s="214"/>
      <c r="Q665" s="214"/>
      <c r="R665" s="214"/>
      <c r="S665" s="214"/>
      <c r="T665" s="214"/>
      <c r="U665" s="214"/>
      <c r="V665" s="214"/>
      <c r="W665" s="214"/>
      <c r="X665" s="214"/>
    </row>
    <row r="666" spans="1:24" ht="15.75" customHeight="1">
      <c r="A666" s="83"/>
      <c r="B666" s="218">
        <v>40.9</v>
      </c>
      <c r="C666" s="218">
        <v>10.41</v>
      </c>
      <c r="D666" s="218">
        <v>8.9999999999999998E-4</v>
      </c>
      <c r="E666" s="218">
        <v>1.95E-2</v>
      </c>
      <c r="F666" s="218">
        <v>257.76</v>
      </c>
      <c r="G666" s="218">
        <v>419.82</v>
      </c>
      <c r="H666" s="218">
        <v>1.1947000000000001</v>
      </c>
      <c r="I666" s="218">
        <v>1.7107000000000001</v>
      </c>
      <c r="J666" s="218">
        <v>1.5038</v>
      </c>
      <c r="K666" s="218">
        <v>1.1526000000000001</v>
      </c>
      <c r="L666" s="214"/>
      <c r="M666" s="214"/>
      <c r="N666" s="214"/>
      <c r="O666" s="214"/>
      <c r="P666" s="214"/>
      <c r="Q666" s="214"/>
      <c r="R666" s="214"/>
      <c r="S666" s="214"/>
      <c r="T666" s="214"/>
      <c r="U666" s="214"/>
      <c r="V666" s="214"/>
      <c r="W666" s="214"/>
      <c r="X666" s="214"/>
    </row>
    <row r="667" spans="1:24" ht="15.75" customHeight="1">
      <c r="A667" s="83"/>
      <c r="B667" s="218">
        <v>41</v>
      </c>
      <c r="C667" s="218">
        <v>10.44</v>
      </c>
      <c r="D667" s="218">
        <v>8.9999999999999998E-4</v>
      </c>
      <c r="E667" s="218">
        <v>1.9400000000000001E-2</v>
      </c>
      <c r="F667" s="218">
        <v>257.91000000000003</v>
      </c>
      <c r="G667" s="218">
        <v>419.86</v>
      </c>
      <c r="H667" s="218">
        <v>1.1952</v>
      </c>
      <c r="I667" s="218">
        <v>1.7107000000000001</v>
      </c>
      <c r="J667" s="218">
        <v>1.5044</v>
      </c>
      <c r="K667" s="218">
        <v>1.1535</v>
      </c>
      <c r="L667" s="214"/>
      <c r="M667" s="214"/>
      <c r="N667" s="214"/>
      <c r="O667" s="214"/>
      <c r="P667" s="214"/>
      <c r="Q667" s="214"/>
      <c r="R667" s="214"/>
      <c r="S667" s="214"/>
      <c r="T667" s="214"/>
      <c r="U667" s="214"/>
      <c r="V667" s="214"/>
      <c r="W667" s="214"/>
      <c r="X667" s="214"/>
    </row>
    <row r="668" spans="1:24" ht="15.75" customHeight="1">
      <c r="A668" s="83"/>
      <c r="B668" s="218">
        <v>41.1</v>
      </c>
      <c r="C668" s="218">
        <v>10.47</v>
      </c>
      <c r="D668" s="218">
        <v>8.9999999999999998E-4</v>
      </c>
      <c r="E668" s="218">
        <v>1.9400000000000001E-2</v>
      </c>
      <c r="F668" s="218">
        <v>258.05</v>
      </c>
      <c r="G668" s="218">
        <v>419.9</v>
      </c>
      <c r="H668" s="218">
        <v>1.1956</v>
      </c>
      <c r="I668" s="218">
        <v>1.7107000000000001</v>
      </c>
      <c r="J668" s="218">
        <v>1.5049999999999999</v>
      </c>
      <c r="K668" s="218">
        <v>1.1544000000000001</v>
      </c>
      <c r="L668" s="214"/>
      <c r="M668" s="214"/>
      <c r="N668" s="214"/>
      <c r="O668" s="214"/>
      <c r="P668" s="214"/>
      <c r="Q668" s="214"/>
      <c r="R668" s="214"/>
      <c r="S668" s="214"/>
      <c r="T668" s="214"/>
      <c r="U668" s="214"/>
      <c r="V668" s="214"/>
      <c r="W668" s="214"/>
      <c r="X668" s="214"/>
    </row>
    <row r="669" spans="1:24" ht="15.75" customHeight="1">
      <c r="A669" s="83"/>
      <c r="B669" s="218">
        <v>41.2</v>
      </c>
      <c r="C669" s="218">
        <v>10.5</v>
      </c>
      <c r="D669" s="218">
        <v>8.9999999999999998E-4</v>
      </c>
      <c r="E669" s="218">
        <v>1.9300000000000001E-2</v>
      </c>
      <c r="F669" s="218">
        <v>258.2</v>
      </c>
      <c r="G669" s="218">
        <v>419.94</v>
      </c>
      <c r="H669" s="218">
        <v>1.1960999999999999</v>
      </c>
      <c r="I669" s="218">
        <v>1.7105999999999999</v>
      </c>
      <c r="J669" s="218">
        <v>1.5056</v>
      </c>
      <c r="K669" s="218">
        <v>1.1553</v>
      </c>
      <c r="L669" s="214"/>
      <c r="M669" s="214"/>
      <c r="N669" s="214"/>
      <c r="O669" s="214"/>
      <c r="P669" s="214"/>
      <c r="Q669" s="214"/>
      <c r="R669" s="214"/>
      <c r="S669" s="214"/>
      <c r="T669" s="214"/>
      <c r="U669" s="214"/>
      <c r="V669" s="214"/>
      <c r="W669" s="214"/>
      <c r="X669" s="214"/>
    </row>
    <row r="670" spans="1:24" ht="15.75" customHeight="1">
      <c r="A670" s="83"/>
      <c r="B670" s="218">
        <v>41.3</v>
      </c>
      <c r="C670" s="218">
        <v>10.53</v>
      </c>
      <c r="D670" s="218">
        <v>8.9999999999999998E-4</v>
      </c>
      <c r="E670" s="218">
        <v>1.9199999999999998E-2</v>
      </c>
      <c r="F670" s="218">
        <v>258.35000000000002</v>
      </c>
      <c r="G670" s="218">
        <v>419.99</v>
      </c>
      <c r="H670" s="218">
        <v>1.1966000000000001</v>
      </c>
      <c r="I670" s="218">
        <v>1.7105999999999999</v>
      </c>
      <c r="J670" s="218">
        <v>1.5062</v>
      </c>
      <c r="K670" s="218">
        <v>1.1561999999999999</v>
      </c>
      <c r="L670" s="214"/>
      <c r="M670" s="214"/>
      <c r="N670" s="214"/>
      <c r="O670" s="214"/>
      <c r="P670" s="214"/>
      <c r="Q670" s="214"/>
      <c r="R670" s="214"/>
      <c r="S670" s="214"/>
      <c r="T670" s="214"/>
      <c r="U670" s="214"/>
      <c r="V670" s="214"/>
      <c r="W670" s="214"/>
      <c r="X670" s="214"/>
    </row>
    <row r="671" spans="1:24" ht="15.75" customHeight="1">
      <c r="A671" s="83"/>
      <c r="B671" s="218">
        <v>41.4</v>
      </c>
      <c r="C671" s="218">
        <v>10.55</v>
      </c>
      <c r="D671" s="218">
        <v>8.9999999999999998E-4</v>
      </c>
      <c r="E671" s="218">
        <v>1.9199999999999998E-2</v>
      </c>
      <c r="F671" s="218">
        <v>258.5</v>
      </c>
      <c r="G671" s="218">
        <v>420.03</v>
      </c>
      <c r="H671" s="218">
        <v>1.1970000000000001</v>
      </c>
      <c r="I671" s="218">
        <v>1.7105999999999999</v>
      </c>
      <c r="J671" s="218">
        <v>1.5067999999999999</v>
      </c>
      <c r="K671" s="218">
        <v>1.1571</v>
      </c>
      <c r="L671" s="214"/>
      <c r="M671" s="214"/>
      <c r="N671" s="214"/>
      <c r="O671" s="214"/>
      <c r="P671" s="214"/>
      <c r="Q671" s="214"/>
      <c r="R671" s="214"/>
      <c r="S671" s="214"/>
      <c r="T671" s="214"/>
      <c r="U671" s="214"/>
      <c r="V671" s="214"/>
      <c r="W671" s="214"/>
      <c r="X671" s="214"/>
    </row>
    <row r="672" spans="1:24" ht="15.75" customHeight="1">
      <c r="A672" s="83"/>
      <c r="B672" s="218">
        <v>41.5</v>
      </c>
      <c r="C672" s="218">
        <v>10.58</v>
      </c>
      <c r="D672" s="218">
        <v>8.9999999999999998E-4</v>
      </c>
      <c r="E672" s="218">
        <v>1.9099999999999999E-2</v>
      </c>
      <c r="F672" s="218">
        <v>258.64999999999998</v>
      </c>
      <c r="G672" s="218">
        <v>420.07</v>
      </c>
      <c r="H672" s="218">
        <v>1.1975</v>
      </c>
      <c r="I672" s="218">
        <v>1.7104999999999999</v>
      </c>
      <c r="J672" s="218">
        <v>1.5074000000000001</v>
      </c>
      <c r="K672" s="218">
        <v>1.1579999999999999</v>
      </c>
      <c r="L672" s="214"/>
      <c r="M672" s="214"/>
      <c r="N672" s="214"/>
      <c r="O672" s="214"/>
      <c r="P672" s="214"/>
      <c r="Q672" s="214"/>
      <c r="R672" s="214"/>
      <c r="S672" s="214"/>
      <c r="T672" s="214"/>
      <c r="U672" s="214"/>
      <c r="V672" s="214"/>
      <c r="W672" s="214"/>
      <c r="X672" s="214"/>
    </row>
    <row r="673" spans="1:24" ht="15.75" customHeight="1">
      <c r="A673" s="83"/>
      <c r="B673" s="218">
        <v>41.6</v>
      </c>
      <c r="C673" s="218">
        <v>10.61</v>
      </c>
      <c r="D673" s="218">
        <v>8.9999999999999998E-4</v>
      </c>
      <c r="E673" s="218">
        <v>1.9099999999999999E-2</v>
      </c>
      <c r="F673" s="218">
        <v>258.81</v>
      </c>
      <c r="G673" s="218">
        <v>420.11</v>
      </c>
      <c r="H673" s="218">
        <v>1.198</v>
      </c>
      <c r="I673" s="218">
        <v>1.7104999999999999</v>
      </c>
      <c r="J673" s="218">
        <v>1.508</v>
      </c>
      <c r="K673" s="218">
        <v>1.1589</v>
      </c>
      <c r="L673" s="214"/>
      <c r="M673" s="214"/>
      <c r="N673" s="214"/>
      <c r="O673" s="214"/>
      <c r="P673" s="214"/>
      <c r="Q673" s="214"/>
      <c r="R673" s="214"/>
      <c r="S673" s="214"/>
      <c r="T673" s="214"/>
      <c r="U673" s="214"/>
      <c r="V673" s="214"/>
      <c r="W673" s="214"/>
      <c r="X673" s="214"/>
    </row>
    <row r="674" spans="1:24" ht="15.75" customHeight="1">
      <c r="A674" s="83"/>
      <c r="B674" s="218">
        <v>41.7</v>
      </c>
      <c r="C674" s="218">
        <v>10.64</v>
      </c>
      <c r="D674" s="218">
        <v>8.9999999999999998E-4</v>
      </c>
      <c r="E674" s="218">
        <v>1.9E-2</v>
      </c>
      <c r="F674" s="218">
        <v>258.95999999999998</v>
      </c>
      <c r="G674" s="218">
        <v>420.16</v>
      </c>
      <c r="H674" s="218">
        <v>1.1984999999999999</v>
      </c>
      <c r="I674" s="218">
        <v>1.7103999999999999</v>
      </c>
      <c r="J674" s="218">
        <v>1.5085999999999999</v>
      </c>
      <c r="K674" s="218">
        <v>1.1598999999999999</v>
      </c>
      <c r="L674" s="214"/>
      <c r="M674" s="214"/>
      <c r="N674" s="214"/>
      <c r="O674" s="214"/>
      <c r="P674" s="214"/>
      <c r="Q674" s="214"/>
      <c r="R674" s="214"/>
      <c r="S674" s="214"/>
      <c r="T674" s="214"/>
      <c r="U674" s="214"/>
      <c r="V674" s="214"/>
      <c r="W674" s="214"/>
      <c r="X674" s="214"/>
    </row>
    <row r="675" spans="1:24" ht="15.75" customHeight="1">
      <c r="A675" s="83"/>
      <c r="B675" s="218">
        <v>41.8</v>
      </c>
      <c r="C675" s="218">
        <v>10.67</v>
      </c>
      <c r="D675" s="218">
        <v>8.9999999999999998E-4</v>
      </c>
      <c r="E675" s="218">
        <v>1.9E-2</v>
      </c>
      <c r="F675" s="218">
        <v>259.11</v>
      </c>
      <c r="G675" s="218">
        <v>420.2</v>
      </c>
      <c r="H675" s="218">
        <v>1.1989000000000001</v>
      </c>
      <c r="I675" s="218">
        <v>1.7103999999999999</v>
      </c>
      <c r="J675" s="218">
        <v>1.5092000000000001</v>
      </c>
      <c r="K675" s="218">
        <v>1.1608000000000001</v>
      </c>
      <c r="L675" s="214"/>
      <c r="M675" s="214"/>
      <c r="N675" s="214"/>
      <c r="O675" s="214"/>
      <c r="P675" s="214"/>
      <c r="Q675" s="214"/>
      <c r="R675" s="214"/>
      <c r="S675" s="214"/>
      <c r="T675" s="214"/>
      <c r="U675" s="214"/>
      <c r="V675" s="214"/>
      <c r="W675" s="214"/>
      <c r="X675" s="214"/>
    </row>
    <row r="676" spans="1:24" ht="15.75" customHeight="1">
      <c r="A676" s="83"/>
      <c r="B676" s="218">
        <v>41.9</v>
      </c>
      <c r="C676" s="218">
        <v>10.69</v>
      </c>
      <c r="D676" s="218">
        <v>8.9999999999999998E-4</v>
      </c>
      <c r="E676" s="218">
        <v>1.89E-2</v>
      </c>
      <c r="F676" s="218">
        <v>259.26</v>
      </c>
      <c r="G676" s="218">
        <v>420.24</v>
      </c>
      <c r="H676" s="218">
        <v>1.1994</v>
      </c>
      <c r="I676" s="218">
        <v>1.7103999999999999</v>
      </c>
      <c r="J676" s="218">
        <v>1.5098</v>
      </c>
      <c r="K676" s="218">
        <v>1.1617</v>
      </c>
      <c r="L676" s="214"/>
      <c r="M676" s="214"/>
      <c r="N676" s="214"/>
      <c r="O676" s="214"/>
      <c r="P676" s="214"/>
      <c r="Q676" s="214"/>
      <c r="R676" s="214"/>
      <c r="S676" s="214"/>
      <c r="T676" s="214"/>
      <c r="U676" s="214"/>
      <c r="V676" s="214"/>
      <c r="W676" s="214"/>
      <c r="X676" s="214"/>
    </row>
    <row r="677" spans="1:24" ht="15.75" customHeight="1">
      <c r="A677" s="83"/>
      <c r="B677" s="218">
        <v>42</v>
      </c>
      <c r="C677" s="218">
        <v>10.72</v>
      </c>
      <c r="D677" s="218">
        <v>8.9999999999999998E-4</v>
      </c>
      <c r="E677" s="218">
        <v>1.89E-2</v>
      </c>
      <c r="F677" s="218">
        <v>259.41000000000003</v>
      </c>
      <c r="G677" s="218">
        <v>420.28</v>
      </c>
      <c r="H677" s="218">
        <v>1.1999</v>
      </c>
      <c r="I677" s="218">
        <v>1.7102999999999999</v>
      </c>
      <c r="J677" s="218">
        <v>1.5105</v>
      </c>
      <c r="K677" s="218">
        <v>1.1626000000000001</v>
      </c>
      <c r="L677" s="214"/>
      <c r="M677" s="214"/>
      <c r="N677" s="214"/>
      <c r="O677" s="214"/>
      <c r="P677" s="214"/>
      <c r="Q677" s="214"/>
      <c r="R677" s="214"/>
      <c r="S677" s="214"/>
      <c r="T677" s="214"/>
      <c r="U677" s="214"/>
      <c r="V677" s="214"/>
      <c r="W677" s="214"/>
      <c r="X677" s="214"/>
    </row>
    <row r="678" spans="1:24" ht="15.75" customHeight="1">
      <c r="A678" s="83"/>
      <c r="B678" s="218">
        <v>42.1</v>
      </c>
      <c r="C678" s="218">
        <v>10.75</v>
      </c>
      <c r="D678" s="218">
        <v>8.9999999999999998E-4</v>
      </c>
      <c r="E678" s="218">
        <v>1.8800000000000001E-2</v>
      </c>
      <c r="F678" s="218">
        <v>259.56</v>
      </c>
      <c r="G678" s="218">
        <v>420.33</v>
      </c>
      <c r="H678" s="218">
        <v>1.2002999999999999</v>
      </c>
      <c r="I678" s="218">
        <v>1.7102999999999999</v>
      </c>
      <c r="J678" s="218">
        <v>1.5111000000000001</v>
      </c>
      <c r="K678" s="218">
        <v>1.1636</v>
      </c>
      <c r="L678" s="214"/>
      <c r="M678" s="214"/>
      <c r="N678" s="214"/>
      <c r="O678" s="214"/>
      <c r="P678" s="214"/>
      <c r="Q678" s="214"/>
      <c r="R678" s="214"/>
      <c r="S678" s="214"/>
      <c r="T678" s="214"/>
      <c r="U678" s="214"/>
      <c r="V678" s="214"/>
      <c r="W678" s="214"/>
      <c r="X678" s="214"/>
    </row>
    <row r="679" spans="1:24" ht="15.75" customHeight="1">
      <c r="A679" s="83"/>
      <c r="B679" s="218">
        <v>42.2</v>
      </c>
      <c r="C679" s="218">
        <v>10.78</v>
      </c>
      <c r="D679" s="218">
        <v>8.9999999999999998E-4</v>
      </c>
      <c r="E679" s="218">
        <v>1.8800000000000001E-2</v>
      </c>
      <c r="F679" s="218">
        <v>259.70999999999998</v>
      </c>
      <c r="G679" s="218">
        <v>420.37</v>
      </c>
      <c r="H679" s="218">
        <v>1.2008000000000001</v>
      </c>
      <c r="I679" s="218">
        <v>1.7102999999999999</v>
      </c>
      <c r="J679" s="218">
        <v>1.5117</v>
      </c>
      <c r="K679" s="218">
        <v>1.1645000000000001</v>
      </c>
      <c r="L679" s="214"/>
      <c r="M679" s="214"/>
      <c r="N679" s="214"/>
      <c r="O679" s="214"/>
      <c r="P679" s="214"/>
      <c r="Q679" s="214"/>
      <c r="R679" s="214"/>
      <c r="S679" s="214"/>
      <c r="T679" s="214"/>
      <c r="U679" s="214"/>
      <c r="V679" s="214"/>
      <c r="W679" s="214"/>
      <c r="X679" s="214"/>
    </row>
    <row r="680" spans="1:24" ht="15.75" customHeight="1">
      <c r="A680" s="83"/>
      <c r="B680" s="218">
        <v>42.3</v>
      </c>
      <c r="C680" s="218">
        <v>10.81</v>
      </c>
      <c r="D680" s="218">
        <v>8.9999999999999998E-4</v>
      </c>
      <c r="E680" s="218">
        <v>1.8700000000000001E-2</v>
      </c>
      <c r="F680" s="218">
        <v>259.86</v>
      </c>
      <c r="G680" s="218">
        <v>420.41</v>
      </c>
      <c r="H680" s="218">
        <v>1.2013</v>
      </c>
      <c r="I680" s="218">
        <v>1.7101999999999999</v>
      </c>
      <c r="J680" s="218">
        <v>1.5123</v>
      </c>
      <c r="K680" s="218">
        <v>1.1655</v>
      </c>
      <c r="L680" s="214"/>
      <c r="M680" s="214"/>
      <c r="N680" s="214"/>
      <c r="O680" s="214"/>
      <c r="P680" s="214"/>
      <c r="Q680" s="214"/>
      <c r="R680" s="214"/>
      <c r="S680" s="214"/>
      <c r="T680" s="214"/>
      <c r="U680" s="214"/>
      <c r="V680" s="214"/>
      <c r="W680" s="214"/>
      <c r="X680" s="214"/>
    </row>
    <row r="681" spans="1:24" ht="15.75" customHeight="1">
      <c r="A681" s="83"/>
      <c r="B681" s="218">
        <v>42.4</v>
      </c>
      <c r="C681" s="218">
        <v>10.84</v>
      </c>
      <c r="D681" s="218">
        <v>8.9999999999999998E-4</v>
      </c>
      <c r="E681" s="218">
        <v>1.8700000000000001E-2</v>
      </c>
      <c r="F681" s="218">
        <v>260.01</v>
      </c>
      <c r="G681" s="218">
        <v>420.45</v>
      </c>
      <c r="H681" s="218">
        <v>1.2017</v>
      </c>
      <c r="I681" s="218">
        <v>1.7101999999999999</v>
      </c>
      <c r="J681" s="218">
        <v>1.5128999999999999</v>
      </c>
      <c r="K681" s="218">
        <v>1.1664000000000001</v>
      </c>
      <c r="L681" s="214"/>
      <c r="M681" s="214"/>
      <c r="N681" s="214"/>
      <c r="O681" s="214"/>
      <c r="P681" s="214"/>
      <c r="Q681" s="214"/>
      <c r="R681" s="214"/>
      <c r="S681" s="214"/>
      <c r="T681" s="214"/>
      <c r="U681" s="214"/>
      <c r="V681" s="214"/>
      <c r="W681" s="214"/>
      <c r="X681" s="214"/>
    </row>
    <row r="682" spans="1:24" ht="15.75" customHeight="1">
      <c r="A682" s="83"/>
      <c r="B682" s="218">
        <v>42.5</v>
      </c>
      <c r="C682" s="218">
        <v>10.86</v>
      </c>
      <c r="D682" s="218">
        <v>8.9999999999999998E-4</v>
      </c>
      <c r="E682" s="218">
        <v>1.8599999999999998E-2</v>
      </c>
      <c r="F682" s="218">
        <v>260.16000000000003</v>
      </c>
      <c r="G682" s="218">
        <v>420.49</v>
      </c>
      <c r="H682" s="218">
        <v>1.2021999999999999</v>
      </c>
      <c r="I682" s="218">
        <v>1.7101999999999999</v>
      </c>
      <c r="J682" s="218">
        <v>1.5136000000000001</v>
      </c>
      <c r="K682" s="218">
        <v>1.1673</v>
      </c>
      <c r="L682" s="214"/>
      <c r="M682" s="214"/>
      <c r="N682" s="214"/>
      <c r="O682" s="214"/>
      <c r="P682" s="214"/>
      <c r="Q682" s="214"/>
      <c r="R682" s="214"/>
      <c r="S682" s="214"/>
      <c r="T682" s="214"/>
      <c r="U682" s="214"/>
      <c r="V682" s="214"/>
      <c r="W682" s="214"/>
      <c r="X682" s="214"/>
    </row>
    <row r="683" spans="1:24" ht="15.75" customHeight="1">
      <c r="A683" s="83"/>
      <c r="B683" s="218">
        <v>42.6</v>
      </c>
      <c r="C683" s="218">
        <v>10.89</v>
      </c>
      <c r="D683" s="218">
        <v>8.9999999999999998E-4</v>
      </c>
      <c r="E683" s="218">
        <v>1.8599999999999998E-2</v>
      </c>
      <c r="F683" s="218">
        <v>260.31</v>
      </c>
      <c r="G683" s="218">
        <v>420.54</v>
      </c>
      <c r="H683" s="218">
        <v>1.2027000000000001</v>
      </c>
      <c r="I683" s="218">
        <v>1.7101</v>
      </c>
      <c r="J683" s="218">
        <v>1.5142</v>
      </c>
      <c r="K683" s="218">
        <v>1.1682999999999999</v>
      </c>
      <c r="L683" s="214"/>
      <c r="M683" s="214"/>
      <c r="N683" s="214"/>
      <c r="O683" s="214"/>
      <c r="P683" s="214"/>
      <c r="Q683" s="214"/>
      <c r="R683" s="214"/>
      <c r="S683" s="214"/>
      <c r="T683" s="214"/>
      <c r="U683" s="214"/>
      <c r="V683" s="214"/>
      <c r="W683" s="214"/>
      <c r="X683" s="214"/>
    </row>
    <row r="684" spans="1:24" ht="15.75" customHeight="1">
      <c r="A684" s="83"/>
      <c r="B684" s="218">
        <v>42.7</v>
      </c>
      <c r="C684" s="218">
        <v>10.92</v>
      </c>
      <c r="D684" s="218">
        <v>8.9999999999999998E-4</v>
      </c>
      <c r="E684" s="218">
        <v>1.8499999999999999E-2</v>
      </c>
      <c r="F684" s="218">
        <v>260.45999999999998</v>
      </c>
      <c r="G684" s="218">
        <v>420.58</v>
      </c>
      <c r="H684" s="218">
        <v>1.2031000000000001</v>
      </c>
      <c r="I684" s="218">
        <v>1.7101</v>
      </c>
      <c r="J684" s="218">
        <v>1.5147999999999999</v>
      </c>
      <c r="K684" s="218">
        <v>1.1692</v>
      </c>
      <c r="L684" s="214"/>
      <c r="M684" s="214"/>
      <c r="N684" s="214"/>
      <c r="O684" s="214"/>
      <c r="P684" s="214"/>
      <c r="Q684" s="214"/>
      <c r="R684" s="214"/>
      <c r="S684" s="214"/>
      <c r="T684" s="214"/>
      <c r="U684" s="214"/>
      <c r="V684" s="214"/>
      <c r="W684" s="214"/>
      <c r="X684" s="214"/>
    </row>
    <row r="685" spans="1:24" ht="15.75" customHeight="1">
      <c r="A685" s="83"/>
      <c r="B685" s="218">
        <v>42.8</v>
      </c>
      <c r="C685" s="218">
        <v>10.95</v>
      </c>
      <c r="D685" s="218">
        <v>8.9999999999999998E-4</v>
      </c>
      <c r="E685" s="218">
        <v>1.84E-2</v>
      </c>
      <c r="F685" s="218">
        <v>260.61</v>
      </c>
      <c r="G685" s="218">
        <v>420.62</v>
      </c>
      <c r="H685" s="218">
        <v>1.2036</v>
      </c>
      <c r="I685" s="218">
        <v>1.71</v>
      </c>
      <c r="J685" s="218">
        <v>1.5155000000000001</v>
      </c>
      <c r="K685" s="218">
        <v>1.1701999999999999</v>
      </c>
      <c r="L685" s="214"/>
      <c r="M685" s="214"/>
      <c r="N685" s="214"/>
      <c r="O685" s="214"/>
      <c r="P685" s="214"/>
      <c r="Q685" s="214"/>
      <c r="R685" s="214"/>
      <c r="S685" s="214"/>
      <c r="T685" s="214"/>
      <c r="U685" s="214"/>
      <c r="V685" s="214"/>
      <c r="W685" s="214"/>
      <c r="X685" s="214"/>
    </row>
    <row r="686" spans="1:24" ht="15.75" customHeight="1">
      <c r="A686" s="83"/>
      <c r="B686" s="218">
        <v>42.9</v>
      </c>
      <c r="C686" s="218">
        <v>10.98</v>
      </c>
      <c r="D686" s="218">
        <v>8.9999999999999998E-4</v>
      </c>
      <c r="E686" s="218">
        <v>1.84E-2</v>
      </c>
      <c r="F686" s="218">
        <v>260.76</v>
      </c>
      <c r="G686" s="218">
        <v>420.66</v>
      </c>
      <c r="H686" s="218">
        <v>1.2040999999999999</v>
      </c>
      <c r="I686" s="218">
        <v>1.71</v>
      </c>
      <c r="J686" s="218">
        <v>1.5161</v>
      </c>
      <c r="K686" s="218">
        <v>1.1711</v>
      </c>
      <c r="L686" s="214"/>
      <c r="M686" s="214"/>
      <c r="N686" s="214"/>
      <c r="O686" s="214"/>
      <c r="P686" s="214"/>
      <c r="Q686" s="214"/>
      <c r="R686" s="214"/>
      <c r="S686" s="214"/>
      <c r="T686" s="214"/>
      <c r="U686" s="214"/>
      <c r="V686" s="214"/>
      <c r="W686" s="214"/>
      <c r="X686" s="214"/>
    </row>
    <row r="687" spans="1:24" ht="15.75" customHeight="1">
      <c r="A687" s="83"/>
      <c r="B687" s="218">
        <v>43</v>
      </c>
      <c r="C687" s="218">
        <v>11.01</v>
      </c>
      <c r="D687" s="218">
        <v>8.9999999999999998E-4</v>
      </c>
      <c r="E687" s="218">
        <v>1.83E-2</v>
      </c>
      <c r="F687" s="218">
        <v>260.91000000000003</v>
      </c>
      <c r="G687" s="218">
        <v>420.7</v>
      </c>
      <c r="H687" s="218">
        <v>1.2045999999999999</v>
      </c>
      <c r="I687" s="218">
        <v>1.71</v>
      </c>
      <c r="J687" s="218">
        <v>1.5166999999999999</v>
      </c>
      <c r="K687" s="218">
        <v>1.1720999999999999</v>
      </c>
      <c r="L687" s="214"/>
      <c r="M687" s="214"/>
      <c r="N687" s="214"/>
      <c r="O687" s="214"/>
      <c r="P687" s="214"/>
      <c r="Q687" s="214"/>
      <c r="R687" s="214"/>
      <c r="S687" s="214"/>
      <c r="T687" s="214"/>
      <c r="U687" s="214"/>
      <c r="V687" s="214"/>
      <c r="W687" s="214"/>
      <c r="X687" s="214"/>
    </row>
    <row r="688" spans="1:24" ht="15.75" customHeight="1">
      <c r="A688" s="83"/>
      <c r="B688" s="218">
        <v>43.1</v>
      </c>
      <c r="C688" s="218">
        <v>11.04</v>
      </c>
      <c r="D688" s="218">
        <v>8.9999999999999998E-4</v>
      </c>
      <c r="E688" s="218">
        <v>1.83E-2</v>
      </c>
      <c r="F688" s="218">
        <v>261.06</v>
      </c>
      <c r="G688" s="218">
        <v>420.74</v>
      </c>
      <c r="H688" s="218">
        <v>1.2050000000000001</v>
      </c>
      <c r="I688" s="218">
        <v>1.7099</v>
      </c>
      <c r="J688" s="218">
        <v>1.5174000000000001</v>
      </c>
      <c r="K688" s="218">
        <v>1.173</v>
      </c>
      <c r="L688" s="214"/>
      <c r="M688" s="214"/>
      <c r="N688" s="214"/>
      <c r="O688" s="214"/>
      <c r="P688" s="214"/>
      <c r="Q688" s="214"/>
      <c r="R688" s="214"/>
      <c r="S688" s="214"/>
      <c r="T688" s="214"/>
      <c r="U688" s="214"/>
      <c r="V688" s="214"/>
      <c r="W688" s="214"/>
      <c r="X688" s="214"/>
    </row>
    <row r="689" spans="1:24" ht="15.75" customHeight="1">
      <c r="A689" s="83"/>
      <c r="B689" s="218">
        <v>43.2</v>
      </c>
      <c r="C689" s="218">
        <v>11.07</v>
      </c>
      <c r="D689" s="218">
        <v>8.9999999999999998E-4</v>
      </c>
      <c r="E689" s="218">
        <v>1.8200000000000001E-2</v>
      </c>
      <c r="F689" s="218">
        <v>261.20999999999998</v>
      </c>
      <c r="G689" s="218">
        <v>420.79</v>
      </c>
      <c r="H689" s="218">
        <v>1.2055</v>
      </c>
      <c r="I689" s="218">
        <v>1.7099</v>
      </c>
      <c r="J689" s="218">
        <v>1.518</v>
      </c>
      <c r="K689" s="218">
        <v>1.1739999999999999</v>
      </c>
      <c r="L689" s="214"/>
      <c r="M689" s="214"/>
      <c r="N689" s="214"/>
      <c r="O689" s="214"/>
      <c r="P689" s="214"/>
      <c r="Q689" s="214"/>
      <c r="R689" s="214"/>
      <c r="S689" s="214"/>
      <c r="T689" s="214"/>
      <c r="U689" s="214"/>
      <c r="V689" s="214"/>
      <c r="W689" s="214"/>
      <c r="X689" s="214"/>
    </row>
    <row r="690" spans="1:24" ht="15.75" customHeight="1">
      <c r="A690" s="83"/>
      <c r="B690" s="218">
        <v>43.3</v>
      </c>
      <c r="C690" s="218">
        <v>11.1</v>
      </c>
      <c r="D690" s="218">
        <v>8.9999999999999998E-4</v>
      </c>
      <c r="E690" s="218">
        <v>1.8200000000000001E-2</v>
      </c>
      <c r="F690" s="218">
        <v>261.37</v>
      </c>
      <c r="G690" s="218">
        <v>420.83</v>
      </c>
      <c r="H690" s="218">
        <v>1.206</v>
      </c>
      <c r="I690" s="218">
        <v>1.7099</v>
      </c>
      <c r="J690" s="218">
        <v>1.5185999999999999</v>
      </c>
      <c r="K690" s="218">
        <v>1.175</v>
      </c>
      <c r="L690" s="214"/>
      <c r="M690" s="214"/>
      <c r="N690" s="214"/>
      <c r="O690" s="214"/>
      <c r="P690" s="214"/>
      <c r="Q690" s="214"/>
      <c r="R690" s="214"/>
      <c r="S690" s="214"/>
      <c r="T690" s="214"/>
      <c r="U690" s="214"/>
      <c r="V690" s="214"/>
      <c r="W690" s="214"/>
      <c r="X690" s="214"/>
    </row>
    <row r="691" spans="1:24" ht="15.75" customHeight="1">
      <c r="A691" s="83"/>
      <c r="B691" s="218">
        <v>43.4</v>
      </c>
      <c r="C691" s="218">
        <v>11.13</v>
      </c>
      <c r="D691" s="218">
        <v>8.9999999999999998E-4</v>
      </c>
      <c r="E691" s="218">
        <v>1.8100000000000002E-2</v>
      </c>
      <c r="F691" s="218">
        <v>261.52</v>
      </c>
      <c r="G691" s="218">
        <v>420.87</v>
      </c>
      <c r="H691" s="218">
        <v>1.2063999999999999</v>
      </c>
      <c r="I691" s="218">
        <v>1.7098</v>
      </c>
      <c r="J691" s="218">
        <v>1.5193000000000001</v>
      </c>
      <c r="K691" s="218">
        <v>1.1758999999999999</v>
      </c>
      <c r="L691" s="214"/>
      <c r="M691" s="214"/>
      <c r="N691" s="214"/>
      <c r="O691" s="214"/>
      <c r="P691" s="214"/>
      <c r="Q691" s="214"/>
      <c r="R691" s="214"/>
      <c r="S691" s="214"/>
      <c r="T691" s="214"/>
      <c r="U691" s="214"/>
      <c r="V691" s="214"/>
      <c r="W691" s="214"/>
      <c r="X691" s="214"/>
    </row>
    <row r="692" spans="1:24" ht="15.75" customHeight="1">
      <c r="A692" s="83"/>
      <c r="B692" s="218">
        <v>43.5</v>
      </c>
      <c r="C692" s="218">
        <v>11.15</v>
      </c>
      <c r="D692" s="218">
        <v>8.9999999999999998E-4</v>
      </c>
      <c r="E692" s="218">
        <v>1.8100000000000002E-2</v>
      </c>
      <c r="F692" s="218">
        <v>261.67</v>
      </c>
      <c r="G692" s="218">
        <v>420.91</v>
      </c>
      <c r="H692" s="218">
        <v>1.2069000000000001</v>
      </c>
      <c r="I692" s="218">
        <v>1.7098</v>
      </c>
      <c r="J692" s="218">
        <v>1.5199</v>
      </c>
      <c r="K692" s="218">
        <v>1.1769000000000001</v>
      </c>
      <c r="L692" s="214"/>
      <c r="M692" s="214"/>
      <c r="N692" s="214"/>
      <c r="O692" s="214"/>
      <c r="P692" s="214"/>
      <c r="Q692" s="214"/>
      <c r="R692" s="214"/>
      <c r="S692" s="214"/>
      <c r="T692" s="214"/>
      <c r="U692" s="214"/>
      <c r="V692" s="214"/>
      <c r="W692" s="214"/>
      <c r="X692" s="214"/>
    </row>
    <row r="693" spans="1:24" ht="15.75" customHeight="1">
      <c r="A693" s="83"/>
      <c r="B693" s="218">
        <v>43.6</v>
      </c>
      <c r="C693" s="218">
        <v>11.18</v>
      </c>
      <c r="D693" s="218">
        <v>8.9999999999999998E-4</v>
      </c>
      <c r="E693" s="218">
        <v>1.7999999999999999E-2</v>
      </c>
      <c r="F693" s="218">
        <v>261.82</v>
      </c>
      <c r="G693" s="218">
        <v>420.95</v>
      </c>
      <c r="H693" s="218">
        <v>1.2074</v>
      </c>
      <c r="I693" s="218">
        <v>1.7098</v>
      </c>
      <c r="J693" s="218">
        <v>1.5206</v>
      </c>
      <c r="K693" s="218">
        <v>1.1778999999999999</v>
      </c>
      <c r="L693" s="214"/>
      <c r="M693" s="214"/>
      <c r="N693" s="214"/>
      <c r="O693" s="214"/>
      <c r="P693" s="214"/>
      <c r="Q693" s="214"/>
      <c r="R693" s="214"/>
      <c r="S693" s="214"/>
      <c r="T693" s="214"/>
      <c r="U693" s="214"/>
      <c r="V693" s="214"/>
      <c r="W693" s="214"/>
      <c r="X693" s="214"/>
    </row>
    <row r="694" spans="1:24" ht="15.75" customHeight="1">
      <c r="A694" s="83"/>
      <c r="B694" s="218">
        <v>43.7</v>
      </c>
      <c r="C694" s="218">
        <v>11.21</v>
      </c>
      <c r="D694" s="218">
        <v>8.9999999999999998E-4</v>
      </c>
      <c r="E694" s="218">
        <v>1.7999999999999999E-2</v>
      </c>
      <c r="F694" s="218">
        <v>261.97000000000003</v>
      </c>
      <c r="G694" s="218">
        <v>420.99</v>
      </c>
      <c r="H694" s="218">
        <v>1.2078</v>
      </c>
      <c r="I694" s="218">
        <v>1.7097</v>
      </c>
      <c r="J694" s="218">
        <v>1.5212000000000001</v>
      </c>
      <c r="K694" s="218">
        <v>1.1788000000000001</v>
      </c>
      <c r="L694" s="214"/>
      <c r="M694" s="214"/>
      <c r="N694" s="214"/>
      <c r="O694" s="214"/>
      <c r="P694" s="214"/>
      <c r="Q694" s="214"/>
      <c r="R694" s="214"/>
      <c r="S694" s="214"/>
      <c r="T694" s="214"/>
      <c r="U694" s="214"/>
      <c r="V694" s="214"/>
      <c r="W694" s="214"/>
      <c r="X694" s="214"/>
    </row>
    <row r="695" spans="1:24" ht="15.75" customHeight="1">
      <c r="A695" s="83"/>
      <c r="B695" s="218">
        <v>43.8</v>
      </c>
      <c r="C695" s="218">
        <v>11.24</v>
      </c>
      <c r="D695" s="218">
        <v>8.9999999999999998E-4</v>
      </c>
      <c r="E695" s="218">
        <v>1.7899999999999999E-2</v>
      </c>
      <c r="F695" s="218">
        <v>262.12</v>
      </c>
      <c r="G695" s="218">
        <v>421.03</v>
      </c>
      <c r="H695" s="218">
        <v>1.2082999999999999</v>
      </c>
      <c r="I695" s="218">
        <v>1.7097</v>
      </c>
      <c r="J695" s="218">
        <v>1.5219</v>
      </c>
      <c r="K695" s="218">
        <v>1.1798</v>
      </c>
      <c r="L695" s="214"/>
      <c r="M695" s="214"/>
      <c r="N695" s="214"/>
      <c r="O695" s="214"/>
      <c r="P695" s="214"/>
      <c r="Q695" s="214"/>
      <c r="R695" s="214"/>
      <c r="S695" s="214"/>
      <c r="T695" s="214"/>
      <c r="U695" s="214"/>
      <c r="V695" s="214"/>
      <c r="W695" s="214"/>
      <c r="X695" s="214"/>
    </row>
    <row r="696" spans="1:24" ht="15.75" customHeight="1">
      <c r="A696" s="83"/>
      <c r="B696" s="218">
        <v>43.9</v>
      </c>
      <c r="C696" s="218">
        <v>11.27</v>
      </c>
      <c r="D696" s="218">
        <v>8.9999999999999998E-4</v>
      </c>
      <c r="E696" s="218">
        <v>1.7899999999999999E-2</v>
      </c>
      <c r="F696" s="218">
        <v>262.27</v>
      </c>
      <c r="G696" s="218">
        <v>421.07</v>
      </c>
      <c r="H696" s="218">
        <v>1.2088000000000001</v>
      </c>
      <c r="I696" s="218">
        <v>1.7096</v>
      </c>
      <c r="J696" s="218">
        <v>1.5225</v>
      </c>
      <c r="K696" s="218">
        <v>1.1808000000000001</v>
      </c>
      <c r="L696" s="214"/>
      <c r="M696" s="214"/>
      <c r="N696" s="214"/>
      <c r="O696" s="214"/>
      <c r="P696" s="214"/>
      <c r="Q696" s="214"/>
      <c r="R696" s="214"/>
      <c r="S696" s="214"/>
      <c r="T696" s="214"/>
      <c r="U696" s="214"/>
      <c r="V696" s="214"/>
      <c r="W696" s="214"/>
      <c r="X696" s="214"/>
    </row>
    <row r="697" spans="1:24" ht="15.75" customHeight="1">
      <c r="A697" s="83"/>
      <c r="B697" s="218">
        <v>44</v>
      </c>
      <c r="C697" s="218">
        <v>11.3</v>
      </c>
      <c r="D697" s="218">
        <v>8.9999999999999998E-4</v>
      </c>
      <c r="E697" s="218">
        <v>1.78E-2</v>
      </c>
      <c r="F697" s="218">
        <v>262.43</v>
      </c>
      <c r="G697" s="218">
        <v>421.11</v>
      </c>
      <c r="H697" s="218">
        <v>1.2092000000000001</v>
      </c>
      <c r="I697" s="218">
        <v>1.7096</v>
      </c>
      <c r="J697" s="218">
        <v>1.5232000000000001</v>
      </c>
      <c r="K697" s="218">
        <v>1.1818</v>
      </c>
      <c r="L697" s="214"/>
      <c r="M697" s="214"/>
      <c r="N697" s="214"/>
      <c r="O697" s="214"/>
      <c r="P697" s="214"/>
      <c r="Q697" s="214"/>
      <c r="R697" s="214"/>
      <c r="S697" s="214"/>
      <c r="T697" s="214"/>
      <c r="U697" s="214"/>
      <c r="V697" s="214"/>
      <c r="W697" s="214"/>
      <c r="X697" s="214"/>
    </row>
    <row r="698" spans="1:24" ht="15.75" customHeight="1">
      <c r="A698" s="83"/>
      <c r="B698" s="218">
        <v>44.1</v>
      </c>
      <c r="C698" s="218">
        <v>11.33</v>
      </c>
      <c r="D698" s="218">
        <v>8.9999999999999998E-4</v>
      </c>
      <c r="E698" s="218">
        <v>1.78E-2</v>
      </c>
      <c r="F698" s="218">
        <v>262.58</v>
      </c>
      <c r="G698" s="218">
        <v>421.15</v>
      </c>
      <c r="H698" s="218">
        <v>1.2097</v>
      </c>
      <c r="I698" s="218">
        <v>1.7096</v>
      </c>
      <c r="J698" s="218">
        <v>1.5238</v>
      </c>
      <c r="K698" s="218">
        <v>1.1827000000000001</v>
      </c>
      <c r="L698" s="214"/>
      <c r="M698" s="214"/>
      <c r="N698" s="214"/>
      <c r="O698" s="214"/>
      <c r="P698" s="214"/>
      <c r="Q698" s="214"/>
      <c r="R698" s="214"/>
      <c r="S698" s="214"/>
      <c r="T698" s="214"/>
      <c r="U698" s="214"/>
      <c r="V698" s="214"/>
      <c r="W698" s="214"/>
      <c r="X698" s="214"/>
    </row>
    <row r="699" spans="1:24" ht="15.75" customHeight="1">
      <c r="A699" s="83"/>
      <c r="B699" s="218">
        <v>44.2</v>
      </c>
      <c r="C699" s="218">
        <v>11.36</v>
      </c>
      <c r="D699" s="218">
        <v>8.9999999999999998E-4</v>
      </c>
      <c r="E699" s="218">
        <v>1.77E-2</v>
      </c>
      <c r="F699" s="218">
        <v>262.73</v>
      </c>
      <c r="G699" s="218">
        <v>421.2</v>
      </c>
      <c r="H699" s="218">
        <v>1.2101999999999999</v>
      </c>
      <c r="I699" s="218">
        <v>1.7095</v>
      </c>
      <c r="J699" s="218">
        <v>1.5245</v>
      </c>
      <c r="K699" s="218">
        <v>1.1837</v>
      </c>
      <c r="L699" s="214"/>
      <c r="M699" s="214"/>
      <c r="N699" s="214"/>
      <c r="O699" s="214"/>
      <c r="P699" s="214"/>
      <c r="Q699" s="214"/>
      <c r="R699" s="214"/>
      <c r="S699" s="214"/>
      <c r="T699" s="214"/>
      <c r="U699" s="214"/>
      <c r="V699" s="214"/>
      <c r="W699" s="214"/>
      <c r="X699" s="214"/>
    </row>
    <row r="700" spans="1:24" ht="15.75" customHeight="1">
      <c r="A700" s="83"/>
      <c r="B700" s="218">
        <v>44.3</v>
      </c>
      <c r="C700" s="218">
        <v>11.39</v>
      </c>
      <c r="D700" s="218">
        <v>8.9999999999999998E-4</v>
      </c>
      <c r="E700" s="218">
        <v>1.77E-2</v>
      </c>
      <c r="F700" s="218">
        <v>262.88</v>
      </c>
      <c r="G700" s="218">
        <v>421.24</v>
      </c>
      <c r="H700" s="218">
        <v>1.2107000000000001</v>
      </c>
      <c r="I700" s="218">
        <v>1.7095</v>
      </c>
      <c r="J700" s="218">
        <v>1.5251999999999999</v>
      </c>
      <c r="K700" s="218">
        <v>1.1847000000000001</v>
      </c>
      <c r="L700" s="214"/>
      <c r="M700" s="214"/>
      <c r="N700" s="214"/>
      <c r="O700" s="214"/>
      <c r="P700" s="214"/>
      <c r="Q700" s="214"/>
      <c r="R700" s="214"/>
      <c r="S700" s="214"/>
      <c r="T700" s="214"/>
      <c r="U700" s="214"/>
      <c r="V700" s="214"/>
      <c r="W700" s="214"/>
      <c r="X700" s="214"/>
    </row>
    <row r="701" spans="1:24" ht="15.75" customHeight="1">
      <c r="A701" s="83"/>
      <c r="B701" s="218">
        <v>44.4</v>
      </c>
      <c r="C701" s="218">
        <v>11.42</v>
      </c>
      <c r="D701" s="218">
        <v>8.9999999999999998E-4</v>
      </c>
      <c r="E701" s="218">
        <v>1.7600000000000001E-2</v>
      </c>
      <c r="F701" s="218">
        <v>263.02999999999997</v>
      </c>
      <c r="G701" s="218">
        <v>421.28</v>
      </c>
      <c r="H701" s="218">
        <v>1.2111000000000001</v>
      </c>
      <c r="I701" s="218">
        <v>1.7095</v>
      </c>
      <c r="J701" s="218">
        <v>1.5258</v>
      </c>
      <c r="K701" s="218">
        <v>1.1857</v>
      </c>
      <c r="L701" s="214"/>
      <c r="M701" s="214"/>
      <c r="N701" s="214"/>
      <c r="O701" s="214"/>
      <c r="P701" s="214"/>
      <c r="Q701" s="214"/>
      <c r="R701" s="214"/>
      <c r="S701" s="214"/>
      <c r="T701" s="214"/>
      <c r="U701" s="214"/>
      <c r="V701" s="214"/>
      <c r="W701" s="214"/>
      <c r="X701" s="214"/>
    </row>
    <row r="702" spans="1:24" ht="15.75" customHeight="1">
      <c r="A702" s="83"/>
      <c r="B702" s="218">
        <v>44.5</v>
      </c>
      <c r="C702" s="218">
        <v>11.45</v>
      </c>
      <c r="D702" s="218">
        <v>8.9999999999999998E-4</v>
      </c>
      <c r="E702" s="218">
        <v>1.7600000000000001E-2</v>
      </c>
      <c r="F702" s="218">
        <v>263.18</v>
      </c>
      <c r="G702" s="218">
        <v>421.32</v>
      </c>
      <c r="H702" s="218">
        <v>1.2116</v>
      </c>
      <c r="I702" s="218">
        <v>1.7094</v>
      </c>
      <c r="J702" s="218">
        <v>1.5265</v>
      </c>
      <c r="K702" s="218">
        <v>1.1867000000000001</v>
      </c>
      <c r="L702" s="214"/>
      <c r="M702" s="214"/>
      <c r="N702" s="214"/>
      <c r="O702" s="214"/>
      <c r="P702" s="214"/>
      <c r="Q702" s="214"/>
      <c r="R702" s="214"/>
      <c r="S702" s="214"/>
      <c r="T702" s="214"/>
      <c r="U702" s="214"/>
      <c r="V702" s="214"/>
      <c r="W702" s="214"/>
      <c r="X702" s="214"/>
    </row>
    <row r="703" spans="1:24" ht="15.75" customHeight="1">
      <c r="A703" s="83"/>
      <c r="B703" s="218">
        <v>44.6</v>
      </c>
      <c r="C703" s="218">
        <v>11.48</v>
      </c>
      <c r="D703" s="218">
        <v>8.9999999999999998E-4</v>
      </c>
      <c r="E703" s="218">
        <v>1.7500000000000002E-2</v>
      </c>
      <c r="F703" s="218">
        <v>263.33999999999997</v>
      </c>
      <c r="G703" s="218">
        <v>421.36</v>
      </c>
      <c r="H703" s="218">
        <v>1.2121</v>
      </c>
      <c r="I703" s="218">
        <v>1.7094</v>
      </c>
      <c r="J703" s="218">
        <v>1.5270999999999999</v>
      </c>
      <c r="K703" s="218">
        <v>1.1877</v>
      </c>
      <c r="L703" s="214"/>
      <c r="M703" s="214"/>
      <c r="N703" s="214"/>
      <c r="O703" s="214"/>
      <c r="P703" s="214"/>
      <c r="Q703" s="214"/>
      <c r="R703" s="214"/>
      <c r="S703" s="214"/>
      <c r="T703" s="214"/>
      <c r="U703" s="214"/>
      <c r="V703" s="214"/>
      <c r="W703" s="214"/>
      <c r="X703" s="214"/>
    </row>
    <row r="704" spans="1:24" ht="15.75" customHeight="1">
      <c r="A704" s="83"/>
      <c r="B704" s="218">
        <v>44.7</v>
      </c>
      <c r="C704" s="218">
        <v>11.51</v>
      </c>
      <c r="D704" s="218">
        <v>8.9999999999999998E-4</v>
      </c>
      <c r="E704" s="218">
        <v>1.7500000000000002E-2</v>
      </c>
      <c r="F704" s="218">
        <v>263.49</v>
      </c>
      <c r="G704" s="218">
        <v>421.4</v>
      </c>
      <c r="H704" s="218">
        <v>1.2124999999999999</v>
      </c>
      <c r="I704" s="218">
        <v>1.7093</v>
      </c>
      <c r="J704" s="218">
        <v>1.5278</v>
      </c>
      <c r="K704" s="218">
        <v>1.1887000000000001</v>
      </c>
      <c r="L704" s="214"/>
      <c r="M704" s="214"/>
      <c r="N704" s="214"/>
      <c r="O704" s="214"/>
      <c r="P704" s="214"/>
      <c r="Q704" s="214"/>
      <c r="R704" s="214"/>
      <c r="S704" s="214"/>
      <c r="T704" s="214"/>
      <c r="U704" s="214"/>
      <c r="V704" s="214"/>
      <c r="W704" s="214"/>
      <c r="X704" s="214"/>
    </row>
    <row r="705" spans="1:24" ht="15.75" customHeight="1">
      <c r="A705" s="83"/>
      <c r="B705" s="218">
        <v>44.8</v>
      </c>
      <c r="C705" s="218">
        <v>11.54</v>
      </c>
      <c r="D705" s="218">
        <v>8.9999999999999998E-4</v>
      </c>
      <c r="E705" s="218">
        <v>1.7399999999999999E-2</v>
      </c>
      <c r="F705" s="218">
        <v>263.64</v>
      </c>
      <c r="G705" s="218">
        <v>421.44</v>
      </c>
      <c r="H705" s="218">
        <v>1.2130000000000001</v>
      </c>
      <c r="I705" s="218">
        <v>1.7093</v>
      </c>
      <c r="J705" s="218">
        <v>1.5285</v>
      </c>
      <c r="K705" s="218">
        <v>1.1897</v>
      </c>
      <c r="L705" s="214"/>
      <c r="M705" s="214"/>
      <c r="N705" s="214"/>
      <c r="O705" s="214"/>
      <c r="P705" s="214"/>
      <c r="Q705" s="214"/>
      <c r="R705" s="214"/>
      <c r="S705" s="214"/>
      <c r="T705" s="214"/>
      <c r="U705" s="214"/>
      <c r="V705" s="214"/>
      <c r="W705" s="214"/>
      <c r="X705" s="214"/>
    </row>
    <row r="706" spans="1:24" ht="15.75" customHeight="1">
      <c r="A706" s="83"/>
      <c r="B706" s="218">
        <v>44.9</v>
      </c>
      <c r="C706" s="218">
        <v>11.57</v>
      </c>
      <c r="D706" s="218">
        <v>8.9999999999999998E-4</v>
      </c>
      <c r="E706" s="218">
        <v>1.7399999999999999E-2</v>
      </c>
      <c r="F706" s="218">
        <v>263.79000000000002</v>
      </c>
      <c r="G706" s="218">
        <v>421.48</v>
      </c>
      <c r="H706" s="218">
        <v>1.2135</v>
      </c>
      <c r="I706" s="218">
        <v>1.7093</v>
      </c>
      <c r="J706" s="218">
        <v>1.5290999999999999</v>
      </c>
      <c r="K706" s="218">
        <v>1.1907000000000001</v>
      </c>
      <c r="L706" s="214"/>
      <c r="M706" s="214"/>
      <c r="N706" s="214"/>
      <c r="O706" s="214"/>
      <c r="P706" s="214"/>
      <c r="Q706" s="214"/>
      <c r="R706" s="214"/>
      <c r="S706" s="214"/>
      <c r="T706" s="214"/>
      <c r="U706" s="214"/>
      <c r="V706" s="214"/>
      <c r="W706" s="214"/>
      <c r="X706" s="214"/>
    </row>
    <row r="707" spans="1:24" ht="15.75" customHeight="1">
      <c r="A707" s="83"/>
      <c r="B707" s="218">
        <v>45</v>
      </c>
      <c r="C707" s="218">
        <v>11.6</v>
      </c>
      <c r="D707" s="218">
        <v>8.9999999999999998E-4</v>
      </c>
      <c r="E707" s="218">
        <v>1.7299999999999999E-2</v>
      </c>
      <c r="F707" s="218">
        <v>263.94</v>
      </c>
      <c r="G707" s="218">
        <v>421.52</v>
      </c>
      <c r="H707" s="218">
        <v>1.2139</v>
      </c>
      <c r="I707" s="218">
        <v>1.7092000000000001</v>
      </c>
      <c r="J707" s="218">
        <v>1.5298</v>
      </c>
      <c r="K707" s="218">
        <v>1.1917</v>
      </c>
      <c r="L707" s="214"/>
      <c r="M707" s="214"/>
      <c r="N707" s="214"/>
      <c r="O707" s="214"/>
      <c r="P707" s="214"/>
      <c r="Q707" s="214"/>
      <c r="R707" s="214"/>
      <c r="S707" s="214"/>
      <c r="T707" s="214"/>
      <c r="U707" s="214"/>
      <c r="V707" s="214"/>
      <c r="W707" s="214"/>
      <c r="X707" s="214"/>
    </row>
    <row r="708" spans="1:24" ht="15.75" customHeight="1">
      <c r="A708" s="83"/>
      <c r="B708" s="218">
        <v>45.1</v>
      </c>
      <c r="C708" s="218">
        <v>11.63</v>
      </c>
      <c r="D708" s="218">
        <v>8.9999999999999998E-4</v>
      </c>
      <c r="E708" s="218">
        <v>1.7299999999999999E-2</v>
      </c>
      <c r="F708" s="218">
        <v>264.10000000000002</v>
      </c>
      <c r="G708" s="218">
        <v>421.56</v>
      </c>
      <c r="H708" s="218">
        <v>1.2143999999999999</v>
      </c>
      <c r="I708" s="218">
        <v>1.7092000000000001</v>
      </c>
      <c r="J708" s="218">
        <v>1.5305</v>
      </c>
      <c r="K708" s="218">
        <v>1.1927000000000001</v>
      </c>
      <c r="L708" s="214"/>
      <c r="M708" s="214"/>
      <c r="N708" s="214"/>
      <c r="O708" s="214"/>
      <c r="P708" s="214"/>
      <c r="Q708" s="214"/>
      <c r="R708" s="214"/>
      <c r="S708" s="214"/>
      <c r="T708" s="214"/>
      <c r="U708" s="214"/>
      <c r="V708" s="214"/>
      <c r="W708" s="214"/>
      <c r="X708" s="214"/>
    </row>
    <row r="709" spans="1:24" ht="15.75" customHeight="1">
      <c r="A709" s="83"/>
      <c r="B709" s="218">
        <v>45.2</v>
      </c>
      <c r="C709" s="218">
        <v>11.66</v>
      </c>
      <c r="D709" s="218">
        <v>8.9999999999999998E-4</v>
      </c>
      <c r="E709" s="218">
        <v>1.72E-2</v>
      </c>
      <c r="F709" s="218">
        <v>264.25</v>
      </c>
      <c r="G709" s="218">
        <v>421.6</v>
      </c>
      <c r="H709" s="218">
        <v>1.2149000000000001</v>
      </c>
      <c r="I709" s="218">
        <v>1.7092000000000001</v>
      </c>
      <c r="J709" s="218">
        <v>1.5311999999999999</v>
      </c>
      <c r="K709" s="218">
        <v>1.1937</v>
      </c>
      <c r="L709" s="214"/>
      <c r="M709" s="214"/>
      <c r="N709" s="214"/>
      <c r="O709" s="214"/>
      <c r="P709" s="214"/>
      <c r="Q709" s="214"/>
      <c r="R709" s="214"/>
      <c r="S709" s="214"/>
      <c r="T709" s="214"/>
      <c r="U709" s="214"/>
      <c r="V709" s="214"/>
      <c r="W709" s="214"/>
      <c r="X709" s="214"/>
    </row>
    <row r="710" spans="1:24" ht="15.75" customHeight="1">
      <c r="A710" s="83"/>
      <c r="B710" s="218">
        <v>45.3</v>
      </c>
      <c r="C710" s="218">
        <v>11.69</v>
      </c>
      <c r="D710" s="218">
        <v>8.9999999999999998E-4</v>
      </c>
      <c r="E710" s="218">
        <v>1.72E-2</v>
      </c>
      <c r="F710" s="218">
        <v>264.39999999999998</v>
      </c>
      <c r="G710" s="218">
        <v>421.64</v>
      </c>
      <c r="H710" s="218">
        <v>1.2154</v>
      </c>
      <c r="I710" s="218">
        <v>1.7091000000000001</v>
      </c>
      <c r="J710" s="218">
        <v>1.5318000000000001</v>
      </c>
      <c r="K710" s="218">
        <v>1.1947000000000001</v>
      </c>
      <c r="L710" s="214"/>
      <c r="M710" s="214"/>
      <c r="N710" s="214"/>
      <c r="O710" s="214"/>
      <c r="P710" s="214"/>
      <c r="Q710" s="214"/>
      <c r="R710" s="214"/>
      <c r="S710" s="214"/>
      <c r="T710" s="214"/>
      <c r="U710" s="214"/>
      <c r="V710" s="214"/>
      <c r="W710" s="214"/>
      <c r="X710" s="214"/>
    </row>
    <row r="711" spans="1:24" ht="15.75" customHeight="1">
      <c r="A711" s="83"/>
      <c r="B711" s="218">
        <v>45.4</v>
      </c>
      <c r="C711" s="218">
        <v>11.72</v>
      </c>
      <c r="D711" s="218">
        <v>8.9999999999999998E-4</v>
      </c>
      <c r="E711" s="218">
        <v>1.72E-2</v>
      </c>
      <c r="F711" s="218">
        <v>264.55</v>
      </c>
      <c r="G711" s="218">
        <v>421.68</v>
      </c>
      <c r="H711" s="218">
        <v>1.2158</v>
      </c>
      <c r="I711" s="218">
        <v>1.7091000000000001</v>
      </c>
      <c r="J711" s="218">
        <v>1.5325</v>
      </c>
      <c r="K711" s="218">
        <v>1.1958</v>
      </c>
      <c r="L711" s="214"/>
      <c r="M711" s="214"/>
      <c r="N711" s="214"/>
      <c r="O711" s="214"/>
      <c r="P711" s="214"/>
      <c r="Q711" s="214"/>
      <c r="R711" s="214"/>
      <c r="S711" s="214"/>
      <c r="T711" s="214"/>
      <c r="U711" s="214"/>
      <c r="V711" s="214"/>
      <c r="W711" s="214"/>
      <c r="X711" s="214"/>
    </row>
    <row r="712" spans="1:24" ht="15.75" customHeight="1">
      <c r="A712" s="83"/>
      <c r="B712" s="218">
        <v>45.5</v>
      </c>
      <c r="C712" s="218">
        <v>11.75</v>
      </c>
      <c r="D712" s="218">
        <v>8.9999999999999998E-4</v>
      </c>
      <c r="E712" s="218">
        <v>1.7100000000000001E-2</v>
      </c>
      <c r="F712" s="218">
        <v>264.7</v>
      </c>
      <c r="G712" s="218">
        <v>421.72</v>
      </c>
      <c r="H712" s="218">
        <v>1.2162999999999999</v>
      </c>
      <c r="I712" s="218">
        <v>1.7090000000000001</v>
      </c>
      <c r="J712" s="218">
        <v>1.5331999999999999</v>
      </c>
      <c r="K712" s="218">
        <v>1.1968000000000001</v>
      </c>
      <c r="L712" s="214"/>
      <c r="M712" s="214"/>
      <c r="N712" s="214"/>
      <c r="O712" s="214"/>
      <c r="P712" s="214"/>
      <c r="Q712" s="214"/>
      <c r="R712" s="214"/>
      <c r="S712" s="214"/>
      <c r="T712" s="214"/>
      <c r="U712" s="214"/>
      <c r="V712" s="214"/>
      <c r="W712" s="214"/>
      <c r="X712" s="214"/>
    </row>
    <row r="713" spans="1:24" ht="15.75" customHeight="1">
      <c r="A713" s="83"/>
      <c r="B713" s="218">
        <v>45.6</v>
      </c>
      <c r="C713" s="218">
        <v>11.78</v>
      </c>
      <c r="D713" s="218">
        <v>8.9999999999999998E-4</v>
      </c>
      <c r="E713" s="218">
        <v>1.7100000000000001E-2</v>
      </c>
      <c r="F713" s="218">
        <v>264.86</v>
      </c>
      <c r="G713" s="218">
        <v>421.76</v>
      </c>
      <c r="H713" s="218">
        <v>1.2168000000000001</v>
      </c>
      <c r="I713" s="218">
        <v>1.7090000000000001</v>
      </c>
      <c r="J713" s="218">
        <v>1.5339</v>
      </c>
      <c r="K713" s="218">
        <v>1.1978</v>
      </c>
      <c r="L713" s="214"/>
      <c r="M713" s="214"/>
      <c r="N713" s="214"/>
      <c r="O713" s="214"/>
      <c r="P713" s="214"/>
      <c r="Q713" s="214"/>
      <c r="R713" s="214"/>
      <c r="S713" s="214"/>
      <c r="T713" s="214"/>
      <c r="U713" s="214"/>
      <c r="V713" s="214"/>
      <c r="W713" s="214"/>
      <c r="X713" s="214"/>
    </row>
    <row r="714" spans="1:24" ht="15.75" customHeight="1">
      <c r="A714" s="83"/>
      <c r="B714" s="218">
        <v>45.7</v>
      </c>
      <c r="C714" s="218">
        <v>11.81</v>
      </c>
      <c r="D714" s="218">
        <v>8.9999999999999998E-4</v>
      </c>
      <c r="E714" s="218">
        <v>1.7000000000000001E-2</v>
      </c>
      <c r="F714" s="218">
        <v>265.01</v>
      </c>
      <c r="G714" s="218">
        <v>421.8</v>
      </c>
      <c r="H714" s="218">
        <v>1.2172000000000001</v>
      </c>
      <c r="I714" s="218">
        <v>1.7090000000000001</v>
      </c>
      <c r="J714" s="218">
        <v>1.5346</v>
      </c>
      <c r="K714" s="218">
        <v>1.1988000000000001</v>
      </c>
      <c r="L714" s="214"/>
      <c r="M714" s="214"/>
      <c r="N714" s="214"/>
      <c r="O714" s="214"/>
      <c r="P714" s="214"/>
      <c r="Q714" s="214"/>
      <c r="R714" s="214"/>
      <c r="S714" s="214"/>
      <c r="T714" s="214"/>
      <c r="U714" s="214"/>
      <c r="V714" s="214"/>
      <c r="W714" s="214"/>
      <c r="X714" s="214"/>
    </row>
    <row r="715" spans="1:24" ht="15.75" customHeight="1">
      <c r="A715" s="83"/>
      <c r="B715" s="218">
        <v>45.8</v>
      </c>
      <c r="C715" s="218">
        <v>11.84</v>
      </c>
      <c r="D715" s="218">
        <v>8.9999999999999998E-4</v>
      </c>
      <c r="E715" s="218">
        <v>1.7000000000000001E-2</v>
      </c>
      <c r="F715" s="218">
        <v>265.16000000000003</v>
      </c>
      <c r="G715" s="218">
        <v>421.84</v>
      </c>
      <c r="H715" s="218">
        <v>1.2177</v>
      </c>
      <c r="I715" s="218">
        <v>1.7089000000000001</v>
      </c>
      <c r="J715" s="218">
        <v>1.5353000000000001</v>
      </c>
      <c r="K715" s="218">
        <v>1.1999</v>
      </c>
      <c r="L715" s="214"/>
      <c r="M715" s="214"/>
      <c r="N715" s="214"/>
      <c r="O715" s="214"/>
      <c r="P715" s="214"/>
      <c r="Q715" s="214"/>
      <c r="R715" s="214"/>
      <c r="S715" s="214"/>
      <c r="T715" s="214"/>
      <c r="U715" s="214"/>
      <c r="V715" s="214"/>
      <c r="W715" s="214"/>
      <c r="X715" s="214"/>
    </row>
    <row r="716" spans="1:24" ht="15.75" customHeight="1">
      <c r="A716" s="83"/>
      <c r="B716" s="218">
        <v>45.9</v>
      </c>
      <c r="C716" s="218">
        <v>11.87</v>
      </c>
      <c r="D716" s="218">
        <v>8.9999999999999998E-4</v>
      </c>
      <c r="E716" s="218">
        <v>1.6899999999999998E-2</v>
      </c>
      <c r="F716" s="218">
        <v>265.31</v>
      </c>
      <c r="G716" s="218">
        <v>421.88</v>
      </c>
      <c r="H716" s="218">
        <v>1.2181999999999999</v>
      </c>
      <c r="I716" s="218">
        <v>1.7089000000000001</v>
      </c>
      <c r="J716" s="218">
        <v>1.536</v>
      </c>
      <c r="K716" s="218">
        <v>1.2009000000000001</v>
      </c>
      <c r="L716" s="214"/>
      <c r="M716" s="214"/>
      <c r="N716" s="214"/>
      <c r="O716" s="214"/>
      <c r="P716" s="214"/>
      <c r="Q716" s="214"/>
      <c r="R716" s="214"/>
      <c r="S716" s="214"/>
      <c r="T716" s="214"/>
      <c r="U716" s="214"/>
      <c r="V716" s="214"/>
      <c r="W716" s="214"/>
      <c r="X716" s="214"/>
    </row>
    <row r="717" spans="1:24" ht="15.75" customHeight="1">
      <c r="A717" s="83"/>
      <c r="B717" s="218">
        <v>46</v>
      </c>
      <c r="C717" s="218">
        <v>11.9</v>
      </c>
      <c r="D717" s="218">
        <v>8.9999999999999998E-4</v>
      </c>
      <c r="E717" s="218">
        <v>1.6899999999999998E-2</v>
      </c>
      <c r="F717" s="218">
        <v>265.47000000000003</v>
      </c>
      <c r="G717" s="218">
        <v>421.92</v>
      </c>
      <c r="H717" s="218">
        <v>1.2185999999999999</v>
      </c>
      <c r="I717" s="218">
        <v>1.7089000000000001</v>
      </c>
      <c r="J717" s="218">
        <v>1.5366</v>
      </c>
      <c r="K717" s="218">
        <v>1.2019</v>
      </c>
      <c r="L717" s="214"/>
      <c r="M717" s="214"/>
      <c r="N717" s="214"/>
      <c r="O717" s="214"/>
      <c r="P717" s="214"/>
      <c r="Q717" s="214"/>
      <c r="R717" s="214"/>
      <c r="S717" s="214"/>
      <c r="T717" s="214"/>
      <c r="U717" s="214"/>
      <c r="V717" s="214"/>
      <c r="W717" s="214"/>
      <c r="X717" s="214"/>
    </row>
    <row r="718" spans="1:24" ht="15.75" customHeight="1">
      <c r="A718" s="83"/>
      <c r="B718" s="218">
        <v>46.1</v>
      </c>
      <c r="C718" s="218">
        <v>11.93</v>
      </c>
      <c r="D718" s="218">
        <v>8.9999999999999998E-4</v>
      </c>
      <c r="E718" s="218">
        <v>1.6799999999999999E-2</v>
      </c>
      <c r="F718" s="218">
        <v>265.62</v>
      </c>
      <c r="G718" s="218">
        <v>421.96</v>
      </c>
      <c r="H718" s="218">
        <v>1.2191000000000001</v>
      </c>
      <c r="I718" s="218">
        <v>1.7088000000000001</v>
      </c>
      <c r="J718" s="218">
        <v>1.5373000000000001</v>
      </c>
      <c r="K718" s="218">
        <v>1.2030000000000001</v>
      </c>
      <c r="L718" s="214"/>
      <c r="M718" s="214"/>
      <c r="N718" s="214"/>
      <c r="O718" s="214"/>
      <c r="P718" s="214"/>
      <c r="Q718" s="214"/>
      <c r="R718" s="214"/>
      <c r="S718" s="214"/>
      <c r="T718" s="214"/>
      <c r="U718" s="214"/>
      <c r="V718" s="214"/>
      <c r="W718" s="214"/>
      <c r="X718" s="214"/>
    </row>
    <row r="719" spans="1:24" ht="15.75" customHeight="1">
      <c r="A719" s="83"/>
      <c r="B719" s="218">
        <v>46.2</v>
      </c>
      <c r="C719" s="218">
        <v>11.96</v>
      </c>
      <c r="D719" s="218">
        <v>8.9999999999999998E-4</v>
      </c>
      <c r="E719" s="218">
        <v>1.6799999999999999E-2</v>
      </c>
      <c r="F719" s="218">
        <v>265.77</v>
      </c>
      <c r="G719" s="218">
        <v>422</v>
      </c>
      <c r="H719" s="218">
        <v>1.2196</v>
      </c>
      <c r="I719" s="218">
        <v>1.7088000000000001</v>
      </c>
      <c r="J719" s="218">
        <v>1.538</v>
      </c>
      <c r="K719" s="218">
        <v>1.204</v>
      </c>
      <c r="L719" s="214"/>
      <c r="M719" s="214"/>
      <c r="N719" s="214"/>
      <c r="O719" s="214"/>
      <c r="P719" s="214"/>
      <c r="Q719" s="214"/>
      <c r="R719" s="214"/>
      <c r="S719" s="214"/>
      <c r="T719" s="214"/>
      <c r="U719" s="214"/>
      <c r="V719" s="214"/>
      <c r="W719" s="214"/>
      <c r="X719" s="214"/>
    </row>
    <row r="720" spans="1:24" ht="15.75" customHeight="1">
      <c r="A720" s="83"/>
      <c r="B720" s="218">
        <v>46.3</v>
      </c>
      <c r="C720" s="218">
        <v>12</v>
      </c>
      <c r="D720" s="218">
        <v>8.9999999999999998E-4</v>
      </c>
      <c r="E720" s="218">
        <v>1.67E-2</v>
      </c>
      <c r="F720" s="218">
        <v>265.93</v>
      </c>
      <c r="G720" s="218">
        <v>422.04</v>
      </c>
      <c r="H720" s="218">
        <v>1.2201</v>
      </c>
      <c r="I720" s="218">
        <v>1.7087000000000001</v>
      </c>
      <c r="J720" s="218">
        <v>1.5387</v>
      </c>
      <c r="K720" s="218">
        <v>1.2051000000000001</v>
      </c>
      <c r="L720" s="214"/>
      <c r="M720" s="214"/>
      <c r="N720" s="214"/>
      <c r="O720" s="214"/>
      <c r="P720" s="214"/>
      <c r="Q720" s="214"/>
      <c r="R720" s="214"/>
      <c r="S720" s="214"/>
      <c r="T720" s="214"/>
      <c r="U720" s="214"/>
      <c r="V720" s="214"/>
      <c r="W720" s="214"/>
      <c r="X720" s="214"/>
    </row>
    <row r="721" spans="1:24" ht="15.75" customHeight="1">
      <c r="A721" s="83"/>
      <c r="B721" s="218">
        <v>46.4</v>
      </c>
      <c r="C721" s="218">
        <v>12.03</v>
      </c>
      <c r="D721" s="218">
        <v>8.9999999999999998E-4</v>
      </c>
      <c r="E721" s="218">
        <v>1.67E-2</v>
      </c>
      <c r="F721" s="218">
        <v>266.08</v>
      </c>
      <c r="G721" s="218">
        <v>422.07</v>
      </c>
      <c r="H721" s="218">
        <v>1.2204999999999999</v>
      </c>
      <c r="I721" s="218">
        <v>1.7087000000000001</v>
      </c>
      <c r="J721" s="218">
        <v>1.5394000000000001</v>
      </c>
      <c r="K721" s="218">
        <v>1.2060999999999999</v>
      </c>
      <c r="L721" s="214"/>
      <c r="M721" s="214"/>
      <c r="N721" s="214"/>
      <c r="O721" s="214"/>
      <c r="P721" s="214"/>
      <c r="Q721" s="214"/>
      <c r="R721" s="214"/>
      <c r="S721" s="214"/>
      <c r="T721" s="214"/>
      <c r="U721" s="214"/>
      <c r="V721" s="214"/>
      <c r="W721" s="214"/>
      <c r="X721" s="214"/>
    </row>
    <row r="722" spans="1:24" ht="15.75" customHeight="1">
      <c r="A722" s="83"/>
      <c r="B722" s="218">
        <v>46.5</v>
      </c>
      <c r="C722" s="218">
        <v>12.06</v>
      </c>
      <c r="D722" s="218">
        <v>8.9999999999999998E-4</v>
      </c>
      <c r="E722" s="218">
        <v>1.66E-2</v>
      </c>
      <c r="F722" s="218">
        <v>266.23</v>
      </c>
      <c r="G722" s="218">
        <v>422.11</v>
      </c>
      <c r="H722" s="218">
        <v>1.2210000000000001</v>
      </c>
      <c r="I722" s="218">
        <v>1.7087000000000001</v>
      </c>
      <c r="J722" s="218">
        <v>1.5401</v>
      </c>
      <c r="K722" s="218">
        <v>1.2072000000000001</v>
      </c>
      <c r="L722" s="214"/>
      <c r="M722" s="214"/>
      <c r="N722" s="214"/>
      <c r="O722" s="214"/>
      <c r="P722" s="214"/>
      <c r="Q722" s="214"/>
      <c r="R722" s="214"/>
      <c r="S722" s="214"/>
      <c r="T722" s="214"/>
      <c r="U722" s="214"/>
      <c r="V722" s="214"/>
      <c r="W722" s="214"/>
      <c r="X722" s="214"/>
    </row>
    <row r="723" spans="1:24" ht="15.75" customHeight="1">
      <c r="A723" s="83"/>
      <c r="B723" s="218">
        <v>46.6</v>
      </c>
      <c r="C723" s="218">
        <v>12.09</v>
      </c>
      <c r="D723" s="218">
        <v>8.9999999999999998E-4</v>
      </c>
      <c r="E723" s="218">
        <v>1.66E-2</v>
      </c>
      <c r="F723" s="218">
        <v>266.38</v>
      </c>
      <c r="G723" s="218">
        <v>422.15</v>
      </c>
      <c r="H723" s="218">
        <v>1.2215</v>
      </c>
      <c r="I723" s="218">
        <v>1.7085999999999999</v>
      </c>
      <c r="J723" s="218">
        <v>1.5407999999999999</v>
      </c>
      <c r="K723" s="218">
        <v>1.2081999999999999</v>
      </c>
      <c r="L723" s="214"/>
      <c r="M723" s="214"/>
      <c r="N723" s="214"/>
      <c r="O723" s="214"/>
      <c r="P723" s="214"/>
      <c r="Q723" s="214"/>
      <c r="R723" s="214"/>
      <c r="S723" s="214"/>
      <c r="T723" s="214"/>
      <c r="U723" s="214"/>
      <c r="V723" s="214"/>
      <c r="W723" s="214"/>
      <c r="X723" s="214"/>
    </row>
    <row r="724" spans="1:24" ht="15.75" customHeight="1">
      <c r="A724" s="83"/>
      <c r="B724" s="218">
        <v>46.7</v>
      </c>
      <c r="C724" s="218">
        <v>12.12</v>
      </c>
      <c r="D724" s="218">
        <v>8.9999999999999998E-4</v>
      </c>
      <c r="E724" s="218">
        <v>1.6500000000000001E-2</v>
      </c>
      <c r="F724" s="218">
        <v>266.54000000000002</v>
      </c>
      <c r="G724" s="218">
        <v>422.19</v>
      </c>
      <c r="H724" s="218">
        <v>1.2219</v>
      </c>
      <c r="I724" s="218">
        <v>1.7085999999999999</v>
      </c>
      <c r="J724" s="218">
        <v>1.5416000000000001</v>
      </c>
      <c r="K724" s="218">
        <v>1.2093</v>
      </c>
      <c r="L724" s="214"/>
      <c r="M724" s="214"/>
      <c r="N724" s="214"/>
      <c r="O724" s="214"/>
      <c r="P724" s="214"/>
      <c r="Q724" s="214"/>
      <c r="R724" s="214"/>
      <c r="S724" s="214"/>
      <c r="T724" s="214"/>
      <c r="U724" s="214"/>
      <c r="V724" s="214"/>
      <c r="W724" s="214"/>
      <c r="X724" s="214"/>
    </row>
    <row r="725" spans="1:24" ht="15.75" customHeight="1">
      <c r="A725" s="83"/>
      <c r="B725" s="218">
        <v>46.8</v>
      </c>
      <c r="C725" s="218">
        <v>12.15</v>
      </c>
      <c r="D725" s="218">
        <v>8.9999999999999998E-4</v>
      </c>
      <c r="E725" s="218">
        <v>1.6500000000000001E-2</v>
      </c>
      <c r="F725" s="218">
        <v>266.69</v>
      </c>
      <c r="G725" s="218">
        <v>422.23</v>
      </c>
      <c r="H725" s="218">
        <v>1.2223999999999999</v>
      </c>
      <c r="I725" s="218">
        <v>1.7084999999999999</v>
      </c>
      <c r="J725" s="218">
        <v>1.5423</v>
      </c>
      <c r="K725" s="218">
        <v>1.2102999999999999</v>
      </c>
      <c r="L725" s="214"/>
      <c r="M725" s="214"/>
      <c r="N725" s="214"/>
      <c r="O725" s="214"/>
      <c r="P725" s="214"/>
      <c r="Q725" s="214"/>
      <c r="R725" s="214"/>
      <c r="S725" s="214"/>
      <c r="T725" s="214"/>
      <c r="U725" s="214"/>
      <c r="V725" s="214"/>
      <c r="W725" s="214"/>
      <c r="X725" s="214"/>
    </row>
    <row r="726" spans="1:24" ht="15.75" customHeight="1">
      <c r="A726" s="83"/>
      <c r="B726" s="218">
        <v>46.9</v>
      </c>
      <c r="C726" s="218">
        <v>12.18</v>
      </c>
      <c r="D726" s="218">
        <v>8.9999999999999998E-4</v>
      </c>
      <c r="E726" s="218">
        <v>1.6400000000000001E-2</v>
      </c>
      <c r="F726" s="218">
        <v>266.83999999999997</v>
      </c>
      <c r="G726" s="218">
        <v>422.27</v>
      </c>
      <c r="H726" s="218">
        <v>1.2229000000000001</v>
      </c>
      <c r="I726" s="218">
        <v>1.7084999999999999</v>
      </c>
      <c r="J726" s="218">
        <v>1.5429999999999999</v>
      </c>
      <c r="K726" s="218">
        <v>1.2114</v>
      </c>
      <c r="L726" s="214"/>
      <c r="M726" s="214"/>
      <c r="N726" s="214"/>
      <c r="O726" s="214"/>
      <c r="P726" s="214"/>
      <c r="Q726" s="214"/>
      <c r="R726" s="214"/>
      <c r="S726" s="214"/>
      <c r="T726" s="214"/>
      <c r="U726" s="214"/>
      <c r="V726" s="214"/>
      <c r="W726" s="214"/>
      <c r="X726" s="214"/>
    </row>
    <row r="727" spans="1:24" ht="15.75" customHeight="1">
      <c r="A727" s="83"/>
      <c r="B727" s="218">
        <v>47</v>
      </c>
      <c r="C727" s="218">
        <v>12.21</v>
      </c>
      <c r="D727" s="218">
        <v>8.9999999999999998E-4</v>
      </c>
      <c r="E727" s="218">
        <v>1.6400000000000001E-2</v>
      </c>
      <c r="F727" s="218">
        <v>267</v>
      </c>
      <c r="G727" s="218">
        <v>422.31</v>
      </c>
      <c r="H727" s="218">
        <v>1.2233000000000001</v>
      </c>
      <c r="I727" s="218">
        <v>1.7084999999999999</v>
      </c>
      <c r="J727" s="218">
        <v>1.5437000000000001</v>
      </c>
      <c r="K727" s="218">
        <v>1.2124999999999999</v>
      </c>
      <c r="L727" s="214"/>
      <c r="M727" s="214"/>
      <c r="N727" s="214"/>
      <c r="O727" s="214"/>
      <c r="P727" s="214"/>
      <c r="Q727" s="214"/>
      <c r="R727" s="214"/>
      <c r="S727" s="214"/>
      <c r="T727" s="214"/>
      <c r="U727" s="214"/>
      <c r="V727" s="214"/>
      <c r="W727" s="214"/>
      <c r="X727" s="214"/>
    </row>
    <row r="728" spans="1:24" ht="15.75" customHeight="1">
      <c r="A728" s="83"/>
      <c r="B728" s="218">
        <v>47.1</v>
      </c>
      <c r="C728" s="218">
        <v>12.24</v>
      </c>
      <c r="D728" s="218">
        <v>8.9999999999999998E-4</v>
      </c>
      <c r="E728" s="218">
        <v>1.6400000000000001E-2</v>
      </c>
      <c r="F728" s="218">
        <v>267.14999999999998</v>
      </c>
      <c r="G728" s="218">
        <v>422.35</v>
      </c>
      <c r="H728" s="218">
        <v>1.2238</v>
      </c>
      <c r="I728" s="218">
        <v>1.7083999999999999</v>
      </c>
      <c r="J728" s="218">
        <v>1.5444</v>
      </c>
      <c r="K728" s="218">
        <v>1.2135</v>
      </c>
      <c r="L728" s="214"/>
      <c r="M728" s="214"/>
      <c r="N728" s="214"/>
      <c r="O728" s="214"/>
      <c r="P728" s="214"/>
      <c r="Q728" s="214"/>
      <c r="R728" s="214"/>
      <c r="S728" s="214"/>
      <c r="T728" s="214"/>
      <c r="U728" s="214"/>
      <c r="V728" s="214"/>
      <c r="W728" s="214"/>
      <c r="X728" s="214"/>
    </row>
    <row r="729" spans="1:24" ht="15.75" customHeight="1">
      <c r="A729" s="83"/>
      <c r="B729" s="218">
        <v>47.2</v>
      </c>
      <c r="C729" s="218">
        <v>12.28</v>
      </c>
      <c r="D729" s="218">
        <v>8.9999999999999998E-4</v>
      </c>
      <c r="E729" s="218">
        <v>1.6299999999999999E-2</v>
      </c>
      <c r="F729" s="218">
        <v>267.3</v>
      </c>
      <c r="G729" s="218">
        <v>422.39</v>
      </c>
      <c r="H729" s="218">
        <v>1.2242999999999999</v>
      </c>
      <c r="I729" s="218">
        <v>1.7083999999999999</v>
      </c>
      <c r="J729" s="218">
        <v>1.5450999999999999</v>
      </c>
      <c r="K729" s="218">
        <v>1.2145999999999999</v>
      </c>
      <c r="L729" s="214"/>
      <c r="M729" s="214"/>
      <c r="N729" s="214"/>
      <c r="O729" s="214"/>
      <c r="P729" s="214"/>
      <c r="Q729" s="214"/>
      <c r="R729" s="214"/>
      <c r="S729" s="214"/>
      <c r="T729" s="214"/>
      <c r="U729" s="214"/>
      <c r="V729" s="214"/>
      <c r="W729" s="214"/>
      <c r="X729" s="214"/>
    </row>
    <row r="730" spans="1:24" ht="15.75" customHeight="1">
      <c r="A730" s="83"/>
      <c r="B730" s="218">
        <v>47.3</v>
      </c>
      <c r="C730" s="218">
        <v>12.31</v>
      </c>
      <c r="D730" s="218">
        <v>8.9999999999999998E-4</v>
      </c>
      <c r="E730" s="218">
        <v>1.6299999999999999E-2</v>
      </c>
      <c r="F730" s="218">
        <v>267.45999999999998</v>
      </c>
      <c r="G730" s="218">
        <v>422.42</v>
      </c>
      <c r="H730" s="218">
        <v>1.2248000000000001</v>
      </c>
      <c r="I730" s="218">
        <v>1.7082999999999999</v>
      </c>
      <c r="J730" s="218">
        <v>1.5458000000000001</v>
      </c>
      <c r="K730" s="218">
        <v>1.2157</v>
      </c>
      <c r="L730" s="214"/>
      <c r="M730" s="214"/>
      <c r="N730" s="214"/>
      <c r="O730" s="214"/>
      <c r="P730" s="214"/>
      <c r="Q730" s="214"/>
      <c r="R730" s="214"/>
      <c r="S730" s="214"/>
      <c r="T730" s="214"/>
      <c r="U730" s="214"/>
      <c r="V730" s="214"/>
      <c r="W730" s="214"/>
      <c r="X730" s="214"/>
    </row>
    <row r="731" spans="1:24" ht="15.75" customHeight="1">
      <c r="A731" s="83"/>
      <c r="B731" s="218">
        <v>47.4</v>
      </c>
      <c r="C731" s="218">
        <v>12.34</v>
      </c>
      <c r="D731" s="218">
        <v>8.9999999999999998E-4</v>
      </c>
      <c r="E731" s="218">
        <v>1.6199999999999999E-2</v>
      </c>
      <c r="F731" s="218">
        <v>267.61</v>
      </c>
      <c r="G731" s="218">
        <v>422.46</v>
      </c>
      <c r="H731" s="218">
        <v>1.2252000000000001</v>
      </c>
      <c r="I731" s="218">
        <v>1.7082999999999999</v>
      </c>
      <c r="J731" s="218">
        <v>1.5466</v>
      </c>
      <c r="K731" s="218">
        <v>1.2168000000000001</v>
      </c>
      <c r="L731" s="214"/>
      <c r="M731" s="214"/>
      <c r="N731" s="214"/>
      <c r="O731" s="214"/>
      <c r="P731" s="214"/>
      <c r="Q731" s="214"/>
      <c r="R731" s="214"/>
      <c r="S731" s="214"/>
      <c r="T731" s="214"/>
      <c r="U731" s="214"/>
      <c r="V731" s="214"/>
      <c r="W731" s="214"/>
      <c r="X731" s="214"/>
    </row>
    <row r="732" spans="1:24" ht="15.75" customHeight="1">
      <c r="A732" s="83"/>
      <c r="B732" s="218">
        <v>47.5</v>
      </c>
      <c r="C732" s="218">
        <v>12.37</v>
      </c>
      <c r="D732" s="218">
        <v>8.9999999999999998E-4</v>
      </c>
      <c r="E732" s="218">
        <v>1.6199999999999999E-2</v>
      </c>
      <c r="F732" s="218">
        <v>267.76</v>
      </c>
      <c r="G732" s="218">
        <v>422.5</v>
      </c>
      <c r="H732" s="218">
        <v>1.2257</v>
      </c>
      <c r="I732" s="218">
        <v>1.7082999999999999</v>
      </c>
      <c r="J732" s="218">
        <v>1.5472999999999999</v>
      </c>
      <c r="K732" s="218">
        <v>1.2179</v>
      </c>
      <c r="L732" s="214"/>
      <c r="M732" s="214"/>
      <c r="N732" s="214"/>
      <c r="O732" s="214"/>
      <c r="P732" s="214"/>
      <c r="Q732" s="214"/>
      <c r="R732" s="214"/>
      <c r="S732" s="214"/>
      <c r="T732" s="214"/>
      <c r="U732" s="214"/>
      <c r="V732" s="214"/>
      <c r="W732" s="214"/>
      <c r="X732" s="214"/>
    </row>
    <row r="733" spans="1:24" ht="15.75" customHeight="1">
      <c r="A733" s="83"/>
      <c r="B733" s="218">
        <v>47.6</v>
      </c>
      <c r="C733" s="218">
        <v>12.4</v>
      </c>
      <c r="D733" s="218">
        <v>8.9999999999999998E-4</v>
      </c>
      <c r="E733" s="218">
        <v>1.61E-2</v>
      </c>
      <c r="F733" s="218">
        <v>267.92</v>
      </c>
      <c r="G733" s="218">
        <v>422.54</v>
      </c>
      <c r="H733" s="218">
        <v>1.2262</v>
      </c>
      <c r="I733" s="218">
        <v>1.7081999999999999</v>
      </c>
      <c r="J733" s="218">
        <v>1.548</v>
      </c>
      <c r="K733" s="218">
        <v>1.2190000000000001</v>
      </c>
      <c r="L733" s="214"/>
      <c r="M733" s="214"/>
      <c r="N733" s="214"/>
      <c r="O733" s="214"/>
      <c r="P733" s="214"/>
      <c r="Q733" s="214"/>
      <c r="R733" s="214"/>
      <c r="S733" s="214"/>
      <c r="T733" s="214"/>
      <c r="U733" s="214"/>
      <c r="V733" s="214"/>
      <c r="W733" s="214"/>
      <c r="X733" s="214"/>
    </row>
    <row r="734" spans="1:24" ht="15.75" customHeight="1">
      <c r="A734" s="83"/>
      <c r="B734" s="218">
        <v>47.7</v>
      </c>
      <c r="C734" s="218">
        <v>12.43</v>
      </c>
      <c r="D734" s="218">
        <v>8.9999999999999998E-4</v>
      </c>
      <c r="E734" s="218">
        <v>1.61E-2</v>
      </c>
      <c r="F734" s="218">
        <v>268.07</v>
      </c>
      <c r="G734" s="218">
        <v>422.58</v>
      </c>
      <c r="H734" s="218">
        <v>1.2265999999999999</v>
      </c>
      <c r="I734" s="218">
        <v>1.7081999999999999</v>
      </c>
      <c r="J734" s="218">
        <v>1.5487</v>
      </c>
      <c r="K734" s="218">
        <v>1.22</v>
      </c>
      <c r="L734" s="214"/>
      <c r="M734" s="214"/>
      <c r="N734" s="214"/>
      <c r="O734" s="214"/>
      <c r="P734" s="214"/>
      <c r="Q734" s="214"/>
      <c r="R734" s="214"/>
      <c r="S734" s="214"/>
      <c r="T734" s="214"/>
      <c r="U734" s="214"/>
      <c r="V734" s="214"/>
      <c r="W734" s="214"/>
      <c r="X734" s="214"/>
    </row>
    <row r="735" spans="1:24" ht="15.75" customHeight="1">
      <c r="A735" s="83"/>
      <c r="B735" s="218">
        <v>47.8</v>
      </c>
      <c r="C735" s="218">
        <v>12.47</v>
      </c>
      <c r="D735" s="218">
        <v>8.9999999999999998E-4</v>
      </c>
      <c r="E735" s="218">
        <v>1.6E-2</v>
      </c>
      <c r="F735" s="218">
        <v>268.22000000000003</v>
      </c>
      <c r="G735" s="218">
        <v>422.62</v>
      </c>
      <c r="H735" s="218">
        <v>1.2271000000000001</v>
      </c>
      <c r="I735" s="218">
        <v>1.7081</v>
      </c>
      <c r="J735" s="218">
        <v>1.5495000000000001</v>
      </c>
      <c r="K735" s="218">
        <v>1.2211000000000001</v>
      </c>
      <c r="L735" s="214"/>
      <c r="M735" s="214"/>
      <c r="N735" s="214"/>
      <c r="O735" s="214"/>
      <c r="P735" s="214"/>
      <c r="Q735" s="214"/>
      <c r="R735" s="214"/>
      <c r="S735" s="214"/>
      <c r="T735" s="214"/>
      <c r="U735" s="214"/>
      <c r="V735" s="214"/>
      <c r="W735" s="214"/>
      <c r="X735" s="214"/>
    </row>
    <row r="736" spans="1:24" ht="15.75" customHeight="1">
      <c r="A736" s="83"/>
      <c r="B736" s="218">
        <v>47.9</v>
      </c>
      <c r="C736" s="218">
        <v>12.5</v>
      </c>
      <c r="D736" s="218">
        <v>8.9999999999999998E-4</v>
      </c>
      <c r="E736" s="218">
        <v>1.6E-2</v>
      </c>
      <c r="F736" s="218">
        <v>268.38</v>
      </c>
      <c r="G736" s="218">
        <v>422.65</v>
      </c>
      <c r="H736" s="218">
        <v>1.2276</v>
      </c>
      <c r="I736" s="218">
        <v>1.7081</v>
      </c>
      <c r="J736" s="218">
        <v>1.5502</v>
      </c>
      <c r="K736" s="218">
        <v>1.2222</v>
      </c>
      <c r="L736" s="214"/>
      <c r="M736" s="214"/>
      <c r="N736" s="214"/>
      <c r="O736" s="214"/>
      <c r="P736" s="214"/>
      <c r="Q736" s="214"/>
      <c r="R736" s="214"/>
      <c r="S736" s="214"/>
      <c r="T736" s="214"/>
      <c r="U736" s="214"/>
      <c r="V736" s="214"/>
      <c r="W736" s="214"/>
      <c r="X736" s="214"/>
    </row>
    <row r="737" spans="1:24" ht="15.75" customHeight="1">
      <c r="A737" s="83"/>
      <c r="B737" s="218">
        <v>48</v>
      </c>
      <c r="C737" s="218">
        <v>12.53</v>
      </c>
      <c r="D737" s="218">
        <v>8.9999999999999998E-4</v>
      </c>
      <c r="E737" s="218">
        <v>1.6E-2</v>
      </c>
      <c r="F737" s="218">
        <v>268.52999999999997</v>
      </c>
      <c r="G737" s="218">
        <v>422.69</v>
      </c>
      <c r="H737" s="218">
        <v>1.228</v>
      </c>
      <c r="I737" s="218">
        <v>1.7081</v>
      </c>
      <c r="J737" s="218">
        <v>1.5508999999999999</v>
      </c>
      <c r="K737" s="218">
        <v>1.2233000000000001</v>
      </c>
      <c r="L737" s="214"/>
      <c r="M737" s="214"/>
      <c r="N737" s="214"/>
      <c r="O737" s="214"/>
      <c r="P737" s="214"/>
      <c r="Q737" s="214"/>
      <c r="R737" s="214"/>
      <c r="S737" s="214"/>
      <c r="T737" s="214"/>
      <c r="U737" s="214"/>
      <c r="V737" s="214"/>
      <c r="W737" s="214"/>
      <c r="X737" s="214"/>
    </row>
    <row r="738" spans="1:24" ht="15.75" customHeight="1">
      <c r="A738" s="83"/>
      <c r="B738" s="218">
        <v>48.1</v>
      </c>
      <c r="C738" s="218">
        <v>12.56</v>
      </c>
      <c r="D738" s="218">
        <v>8.9999999999999998E-4</v>
      </c>
      <c r="E738" s="218">
        <v>1.5900000000000001E-2</v>
      </c>
      <c r="F738" s="218">
        <v>268.69</v>
      </c>
      <c r="G738" s="218">
        <v>422.73</v>
      </c>
      <c r="H738" s="218">
        <v>1.2284999999999999</v>
      </c>
      <c r="I738" s="218">
        <v>1.708</v>
      </c>
      <c r="J738" s="218">
        <v>1.5517000000000001</v>
      </c>
      <c r="K738" s="218">
        <v>1.2243999999999999</v>
      </c>
      <c r="L738" s="214"/>
      <c r="M738" s="214"/>
      <c r="N738" s="214"/>
      <c r="O738" s="214"/>
      <c r="P738" s="214"/>
      <c r="Q738" s="214"/>
      <c r="R738" s="214"/>
      <c r="S738" s="214"/>
      <c r="T738" s="214"/>
      <c r="U738" s="214"/>
      <c r="V738" s="214"/>
      <c r="W738" s="214"/>
      <c r="X738" s="214"/>
    </row>
    <row r="739" spans="1:24" ht="15.75" customHeight="1">
      <c r="A739" s="83"/>
      <c r="B739" s="218">
        <v>48.2</v>
      </c>
      <c r="C739" s="218">
        <v>12.59</v>
      </c>
      <c r="D739" s="218">
        <v>8.9999999999999998E-4</v>
      </c>
      <c r="E739" s="218">
        <v>1.5900000000000001E-2</v>
      </c>
      <c r="F739" s="218">
        <v>268.83999999999997</v>
      </c>
      <c r="G739" s="218">
        <v>422.77</v>
      </c>
      <c r="H739" s="218">
        <v>1.2290000000000001</v>
      </c>
      <c r="I739" s="218">
        <v>1.708</v>
      </c>
      <c r="J739" s="218">
        <v>1.5524</v>
      </c>
      <c r="K739" s="218">
        <v>1.2255</v>
      </c>
      <c r="L739" s="214"/>
      <c r="M739" s="214"/>
      <c r="N739" s="214"/>
      <c r="O739" s="214"/>
      <c r="P739" s="214"/>
      <c r="Q739" s="214"/>
      <c r="R739" s="214"/>
      <c r="S739" s="214"/>
      <c r="T739" s="214"/>
      <c r="U739" s="214"/>
      <c r="V739" s="214"/>
      <c r="W739" s="214"/>
      <c r="X739" s="214"/>
    </row>
    <row r="740" spans="1:24" ht="15.75" customHeight="1">
      <c r="A740" s="83"/>
      <c r="B740" s="218">
        <v>48.3</v>
      </c>
      <c r="C740" s="218">
        <v>12.62</v>
      </c>
      <c r="D740" s="218">
        <v>8.9999999999999998E-4</v>
      </c>
      <c r="E740" s="218">
        <v>1.5800000000000002E-2</v>
      </c>
      <c r="F740" s="218">
        <v>268.99</v>
      </c>
      <c r="G740" s="218">
        <v>422.81</v>
      </c>
      <c r="H740" s="218">
        <v>1.2295</v>
      </c>
      <c r="I740" s="218">
        <v>1.7079</v>
      </c>
      <c r="J740" s="218">
        <v>1.5531999999999999</v>
      </c>
      <c r="K740" s="218">
        <v>1.2266999999999999</v>
      </c>
      <c r="L740" s="214"/>
      <c r="M740" s="214"/>
      <c r="N740" s="214"/>
      <c r="O740" s="214"/>
      <c r="P740" s="214"/>
      <c r="Q740" s="214"/>
      <c r="R740" s="214"/>
      <c r="S740" s="214"/>
      <c r="T740" s="214"/>
      <c r="U740" s="214"/>
      <c r="V740" s="214"/>
      <c r="W740" s="214"/>
      <c r="X740" s="214"/>
    </row>
    <row r="741" spans="1:24" ht="15.75" customHeight="1">
      <c r="A741" s="83"/>
      <c r="B741" s="218">
        <v>48.4</v>
      </c>
      <c r="C741" s="218">
        <v>12.66</v>
      </c>
      <c r="D741" s="218">
        <v>8.9999999999999998E-4</v>
      </c>
      <c r="E741" s="218">
        <v>1.5800000000000002E-2</v>
      </c>
      <c r="F741" s="218">
        <v>269.14999999999998</v>
      </c>
      <c r="G741" s="218">
        <v>422.84</v>
      </c>
      <c r="H741" s="218">
        <v>1.2299</v>
      </c>
      <c r="I741" s="218">
        <v>1.7079</v>
      </c>
      <c r="J741" s="218">
        <v>1.5539000000000001</v>
      </c>
      <c r="K741" s="218">
        <v>1.2278</v>
      </c>
      <c r="L741" s="214"/>
      <c r="M741" s="214"/>
      <c r="N741" s="214"/>
      <c r="O741" s="214"/>
      <c r="P741" s="214"/>
      <c r="Q741" s="214"/>
      <c r="R741" s="214"/>
      <c r="S741" s="214"/>
      <c r="T741" s="214"/>
      <c r="U741" s="214"/>
      <c r="V741" s="214"/>
      <c r="W741" s="214"/>
      <c r="X741" s="214"/>
    </row>
    <row r="742" spans="1:24" ht="15.75" customHeight="1">
      <c r="A742" s="83"/>
      <c r="B742" s="218">
        <v>48.5</v>
      </c>
      <c r="C742" s="218">
        <v>12.69</v>
      </c>
      <c r="D742" s="218">
        <v>8.9999999999999998E-4</v>
      </c>
      <c r="E742" s="218">
        <v>1.5699999999999999E-2</v>
      </c>
      <c r="F742" s="218">
        <v>269.3</v>
      </c>
      <c r="G742" s="218">
        <v>422.88</v>
      </c>
      <c r="H742" s="218">
        <v>1.2303999999999999</v>
      </c>
      <c r="I742" s="218">
        <v>1.7079</v>
      </c>
      <c r="J742" s="218">
        <v>1.5547</v>
      </c>
      <c r="K742" s="218">
        <v>1.2289000000000001</v>
      </c>
      <c r="L742" s="214"/>
      <c r="M742" s="214"/>
      <c r="N742" s="214"/>
      <c r="O742" s="214"/>
      <c r="P742" s="214"/>
      <c r="Q742" s="214"/>
      <c r="R742" s="214"/>
      <c r="S742" s="214"/>
      <c r="T742" s="214"/>
      <c r="U742" s="214"/>
      <c r="V742" s="214"/>
      <c r="W742" s="214"/>
      <c r="X742" s="214"/>
    </row>
    <row r="743" spans="1:24" ht="15.75" customHeight="1">
      <c r="A743" s="83"/>
      <c r="B743" s="218">
        <v>48.6</v>
      </c>
      <c r="C743" s="218">
        <v>12.72</v>
      </c>
      <c r="D743" s="218">
        <v>8.9999999999999998E-4</v>
      </c>
      <c r="E743" s="218">
        <v>1.5699999999999999E-2</v>
      </c>
      <c r="F743" s="218">
        <v>269.45999999999998</v>
      </c>
      <c r="G743" s="218">
        <v>422.92</v>
      </c>
      <c r="H743" s="218">
        <v>1.2309000000000001</v>
      </c>
      <c r="I743" s="218">
        <v>1.7078</v>
      </c>
      <c r="J743" s="218">
        <v>1.5553999999999999</v>
      </c>
      <c r="K743" s="218">
        <v>1.23</v>
      </c>
      <c r="L743" s="214"/>
      <c r="M743" s="214"/>
      <c r="N743" s="214"/>
      <c r="O743" s="214"/>
      <c r="P743" s="214"/>
      <c r="Q743" s="214"/>
      <c r="R743" s="214"/>
      <c r="S743" s="214"/>
      <c r="T743" s="214"/>
      <c r="U743" s="214"/>
      <c r="V743" s="214"/>
      <c r="W743" s="214"/>
      <c r="X743" s="214"/>
    </row>
    <row r="744" spans="1:24" ht="15.75" customHeight="1">
      <c r="A744" s="83"/>
      <c r="B744" s="218">
        <v>48.7</v>
      </c>
      <c r="C744" s="218">
        <v>12.75</v>
      </c>
      <c r="D744" s="218">
        <v>8.9999999999999998E-4</v>
      </c>
      <c r="E744" s="218">
        <v>1.5599999999999999E-2</v>
      </c>
      <c r="F744" s="218">
        <v>269.61</v>
      </c>
      <c r="G744" s="218">
        <v>422.96</v>
      </c>
      <c r="H744" s="218">
        <v>1.2313000000000001</v>
      </c>
      <c r="I744" s="218">
        <v>1.7078</v>
      </c>
      <c r="J744" s="218">
        <v>1.5562</v>
      </c>
      <c r="K744" s="218">
        <v>1.2311000000000001</v>
      </c>
      <c r="L744" s="214"/>
      <c r="M744" s="214"/>
      <c r="N744" s="214"/>
      <c r="O744" s="214"/>
      <c r="P744" s="214"/>
      <c r="Q744" s="214"/>
      <c r="R744" s="214"/>
      <c r="S744" s="214"/>
      <c r="T744" s="214"/>
      <c r="U744" s="214"/>
      <c r="V744" s="214"/>
      <c r="W744" s="214"/>
      <c r="X744" s="214"/>
    </row>
    <row r="745" spans="1:24" ht="15.75" customHeight="1">
      <c r="A745" s="83"/>
      <c r="B745" s="218">
        <v>48.8</v>
      </c>
      <c r="C745" s="218">
        <v>12.79</v>
      </c>
      <c r="D745" s="218">
        <v>8.9999999999999998E-4</v>
      </c>
      <c r="E745" s="218">
        <v>1.5599999999999999E-2</v>
      </c>
      <c r="F745" s="218">
        <v>269.77</v>
      </c>
      <c r="G745" s="218">
        <v>422.99</v>
      </c>
      <c r="H745" s="218">
        <v>1.2318</v>
      </c>
      <c r="I745" s="218">
        <v>1.7077</v>
      </c>
      <c r="J745" s="218">
        <v>1.5569</v>
      </c>
      <c r="K745" s="218">
        <v>1.2323</v>
      </c>
      <c r="L745" s="214"/>
      <c r="M745" s="214"/>
      <c r="N745" s="214"/>
      <c r="O745" s="214"/>
      <c r="P745" s="214"/>
      <c r="Q745" s="214"/>
      <c r="R745" s="214"/>
      <c r="S745" s="214"/>
      <c r="T745" s="214"/>
      <c r="U745" s="214"/>
      <c r="V745" s="214"/>
      <c r="W745" s="214"/>
      <c r="X745" s="214"/>
    </row>
    <row r="746" spans="1:24" ht="15.75" customHeight="1">
      <c r="A746" s="83"/>
      <c r="B746" s="218">
        <v>48.9</v>
      </c>
      <c r="C746" s="218">
        <v>12.82</v>
      </c>
      <c r="D746" s="218">
        <v>8.9999999999999998E-4</v>
      </c>
      <c r="E746" s="218">
        <v>1.5599999999999999E-2</v>
      </c>
      <c r="F746" s="218">
        <v>269.92</v>
      </c>
      <c r="G746" s="218">
        <v>423.03</v>
      </c>
      <c r="H746" s="218">
        <v>1.2323</v>
      </c>
      <c r="I746" s="218">
        <v>1.7077</v>
      </c>
      <c r="J746" s="218">
        <v>1.5577000000000001</v>
      </c>
      <c r="K746" s="218">
        <v>1.2334000000000001</v>
      </c>
      <c r="L746" s="214"/>
      <c r="M746" s="214"/>
      <c r="N746" s="214"/>
      <c r="O746" s="214"/>
      <c r="P746" s="214"/>
      <c r="Q746" s="214"/>
      <c r="R746" s="214"/>
      <c r="S746" s="214"/>
      <c r="T746" s="214"/>
      <c r="U746" s="214"/>
      <c r="V746" s="214"/>
      <c r="W746" s="214"/>
      <c r="X746" s="214"/>
    </row>
    <row r="747" spans="1:24" ht="15.75" customHeight="1">
      <c r="A747" s="83"/>
      <c r="B747" s="218">
        <v>49</v>
      </c>
      <c r="C747" s="218">
        <v>12.85</v>
      </c>
      <c r="D747" s="218">
        <v>8.9999999999999998E-4</v>
      </c>
      <c r="E747" s="218">
        <v>1.55E-2</v>
      </c>
      <c r="F747" s="218">
        <v>270.07</v>
      </c>
      <c r="G747" s="218">
        <v>423.07</v>
      </c>
      <c r="H747" s="218">
        <v>1.2326999999999999</v>
      </c>
      <c r="I747" s="218">
        <v>1.7077</v>
      </c>
      <c r="J747" s="218">
        <v>1.5584</v>
      </c>
      <c r="K747" s="218">
        <v>1.2344999999999999</v>
      </c>
      <c r="L747" s="214"/>
      <c r="M747" s="214"/>
      <c r="N747" s="214"/>
      <c r="O747" s="214"/>
      <c r="P747" s="214"/>
      <c r="Q747" s="214"/>
      <c r="R747" s="214"/>
      <c r="S747" s="214"/>
      <c r="T747" s="214"/>
      <c r="U747" s="214"/>
      <c r="V747" s="214"/>
      <c r="W747" s="214"/>
      <c r="X747" s="214"/>
    </row>
    <row r="748" spans="1:24" ht="15.75" customHeight="1">
      <c r="A748" s="83"/>
      <c r="B748" s="218">
        <v>49.1</v>
      </c>
      <c r="C748" s="218">
        <v>12.88</v>
      </c>
      <c r="D748" s="218">
        <v>8.9999999999999998E-4</v>
      </c>
      <c r="E748" s="218">
        <v>1.55E-2</v>
      </c>
      <c r="F748" s="218">
        <v>270.23</v>
      </c>
      <c r="G748" s="218">
        <v>423.11</v>
      </c>
      <c r="H748" s="218">
        <v>1.2332000000000001</v>
      </c>
      <c r="I748" s="218">
        <v>1.7076</v>
      </c>
      <c r="J748" s="218">
        <v>1.5591999999999999</v>
      </c>
      <c r="K748" s="218">
        <v>1.2357</v>
      </c>
      <c r="L748" s="214"/>
      <c r="M748" s="214"/>
      <c r="N748" s="214"/>
      <c r="O748" s="214"/>
      <c r="P748" s="214"/>
      <c r="Q748" s="214"/>
      <c r="R748" s="214"/>
      <c r="S748" s="214"/>
      <c r="T748" s="214"/>
      <c r="U748" s="214"/>
      <c r="V748" s="214"/>
      <c r="W748" s="214"/>
      <c r="X748" s="214"/>
    </row>
    <row r="749" spans="1:24" ht="15.75" customHeight="1">
      <c r="A749" s="83"/>
      <c r="B749" s="218">
        <v>49.2</v>
      </c>
      <c r="C749" s="218">
        <v>12.92</v>
      </c>
      <c r="D749" s="218">
        <v>8.9999999999999998E-4</v>
      </c>
      <c r="E749" s="218">
        <v>1.54E-2</v>
      </c>
      <c r="F749" s="218">
        <v>270.38</v>
      </c>
      <c r="G749" s="218">
        <v>423.14</v>
      </c>
      <c r="H749" s="218">
        <v>1.2337</v>
      </c>
      <c r="I749" s="218">
        <v>1.7076</v>
      </c>
      <c r="J749" s="218">
        <v>1.56</v>
      </c>
      <c r="K749" s="218">
        <v>1.2367999999999999</v>
      </c>
      <c r="L749" s="214"/>
      <c r="M749" s="214"/>
      <c r="N749" s="214"/>
      <c r="O749" s="214"/>
      <c r="P749" s="214"/>
      <c r="Q749" s="214"/>
      <c r="R749" s="214"/>
      <c r="S749" s="214"/>
      <c r="T749" s="214"/>
      <c r="U749" s="214"/>
      <c r="V749" s="214"/>
      <c r="W749" s="214"/>
      <c r="X749" s="214"/>
    </row>
    <row r="750" spans="1:24" ht="15.75" customHeight="1">
      <c r="A750" s="83"/>
      <c r="B750" s="218">
        <v>49.3</v>
      </c>
      <c r="C750" s="218">
        <v>12.95</v>
      </c>
      <c r="D750" s="218">
        <v>8.9999999999999998E-4</v>
      </c>
      <c r="E750" s="218">
        <v>1.54E-2</v>
      </c>
      <c r="F750" s="218">
        <v>270.54000000000002</v>
      </c>
      <c r="G750" s="218">
        <v>423.18</v>
      </c>
      <c r="H750" s="218">
        <v>1.2342</v>
      </c>
      <c r="I750" s="218">
        <v>1.7075</v>
      </c>
      <c r="J750" s="218">
        <v>1.5607</v>
      </c>
      <c r="K750" s="218">
        <v>1.2379</v>
      </c>
      <c r="L750" s="214"/>
      <c r="M750" s="214"/>
      <c r="N750" s="214"/>
      <c r="O750" s="214"/>
      <c r="P750" s="214"/>
      <c r="Q750" s="214"/>
      <c r="R750" s="214"/>
      <c r="S750" s="214"/>
      <c r="T750" s="214"/>
      <c r="U750" s="214"/>
      <c r="V750" s="214"/>
      <c r="W750" s="214"/>
      <c r="X750" s="214"/>
    </row>
    <row r="751" spans="1:24" ht="15.75" customHeight="1">
      <c r="A751" s="83"/>
      <c r="B751" s="218">
        <v>49.4</v>
      </c>
      <c r="C751" s="218">
        <v>12.98</v>
      </c>
      <c r="D751" s="218">
        <v>8.9999999999999998E-4</v>
      </c>
      <c r="E751" s="218">
        <v>1.5299999999999999E-2</v>
      </c>
      <c r="F751" s="218">
        <v>270.69</v>
      </c>
      <c r="G751" s="218">
        <v>423.22</v>
      </c>
      <c r="H751" s="218">
        <v>1.2345999999999999</v>
      </c>
      <c r="I751" s="218">
        <v>1.7075</v>
      </c>
      <c r="J751" s="218">
        <v>1.5615000000000001</v>
      </c>
      <c r="K751" s="218">
        <v>1.2391000000000001</v>
      </c>
      <c r="L751" s="214"/>
      <c r="M751" s="214"/>
      <c r="N751" s="214"/>
      <c r="O751" s="214"/>
      <c r="P751" s="214"/>
      <c r="Q751" s="214"/>
      <c r="R751" s="214"/>
      <c r="S751" s="214"/>
      <c r="T751" s="214"/>
      <c r="U751" s="214"/>
      <c r="V751" s="214"/>
      <c r="W751" s="214"/>
      <c r="X751" s="214"/>
    </row>
    <row r="752" spans="1:24" ht="15.75" customHeight="1">
      <c r="A752" s="83"/>
      <c r="B752" s="218">
        <v>49.5</v>
      </c>
      <c r="C752" s="218">
        <v>13.01</v>
      </c>
      <c r="D752" s="218">
        <v>8.9999999999999998E-4</v>
      </c>
      <c r="E752" s="218">
        <v>1.5299999999999999E-2</v>
      </c>
      <c r="F752" s="218">
        <v>270.85000000000002</v>
      </c>
      <c r="G752" s="218">
        <v>423.25</v>
      </c>
      <c r="H752" s="218">
        <v>1.2351000000000001</v>
      </c>
      <c r="I752" s="218">
        <v>1.7075</v>
      </c>
      <c r="J752" s="218">
        <v>1.5623</v>
      </c>
      <c r="K752" s="218">
        <v>1.2402</v>
      </c>
      <c r="L752" s="214"/>
      <c r="M752" s="214"/>
      <c r="N752" s="214"/>
      <c r="O752" s="214"/>
      <c r="P752" s="214"/>
      <c r="Q752" s="214"/>
      <c r="R752" s="214"/>
      <c r="S752" s="214"/>
      <c r="T752" s="214"/>
      <c r="U752" s="214"/>
      <c r="V752" s="214"/>
      <c r="W752" s="214"/>
      <c r="X752" s="214"/>
    </row>
    <row r="753" spans="1:24" ht="15.75" customHeight="1">
      <c r="A753" s="83"/>
      <c r="B753" s="218">
        <v>49.6</v>
      </c>
      <c r="C753" s="218">
        <v>13.05</v>
      </c>
      <c r="D753" s="218">
        <v>8.9999999999999998E-4</v>
      </c>
      <c r="E753" s="218">
        <v>1.5299999999999999E-2</v>
      </c>
      <c r="F753" s="218">
        <v>271</v>
      </c>
      <c r="G753" s="218">
        <v>423.29</v>
      </c>
      <c r="H753" s="218">
        <v>1.2356</v>
      </c>
      <c r="I753" s="218">
        <v>1.7074</v>
      </c>
      <c r="J753" s="218">
        <v>1.5629999999999999</v>
      </c>
      <c r="K753" s="218">
        <v>1.2414000000000001</v>
      </c>
      <c r="L753" s="214"/>
      <c r="M753" s="214"/>
      <c r="N753" s="214"/>
      <c r="O753" s="214"/>
      <c r="P753" s="214"/>
      <c r="Q753" s="214"/>
      <c r="R753" s="214"/>
      <c r="S753" s="214"/>
      <c r="T753" s="214"/>
      <c r="U753" s="214"/>
      <c r="V753" s="214"/>
      <c r="W753" s="214"/>
      <c r="X753" s="214"/>
    </row>
    <row r="754" spans="1:24" ht="15.75" customHeight="1">
      <c r="A754" s="83"/>
      <c r="B754" s="218">
        <v>49.7</v>
      </c>
      <c r="C754" s="218">
        <v>13.08</v>
      </c>
      <c r="D754" s="218">
        <v>8.9999999999999998E-4</v>
      </c>
      <c r="E754" s="218">
        <v>1.52E-2</v>
      </c>
      <c r="F754" s="218">
        <v>271.16000000000003</v>
      </c>
      <c r="G754" s="218">
        <v>423.33</v>
      </c>
      <c r="H754" s="218">
        <v>1.236</v>
      </c>
      <c r="I754" s="218">
        <v>1.7074</v>
      </c>
      <c r="J754" s="218">
        <v>1.5638000000000001</v>
      </c>
      <c r="K754" s="218">
        <v>1.2425999999999999</v>
      </c>
      <c r="L754" s="214"/>
      <c r="M754" s="214"/>
      <c r="N754" s="214"/>
      <c r="O754" s="214"/>
      <c r="P754" s="214"/>
      <c r="Q754" s="214"/>
      <c r="R754" s="214"/>
      <c r="S754" s="214"/>
      <c r="T754" s="214"/>
      <c r="U754" s="214"/>
      <c r="V754" s="214"/>
      <c r="W754" s="214"/>
      <c r="X754" s="214"/>
    </row>
    <row r="755" spans="1:24" ht="15.75" customHeight="1">
      <c r="A755" s="83"/>
      <c r="B755" s="218">
        <v>49.8</v>
      </c>
      <c r="C755" s="218">
        <v>13.11</v>
      </c>
      <c r="D755" s="218">
        <v>8.9999999999999998E-4</v>
      </c>
      <c r="E755" s="218">
        <v>1.52E-2</v>
      </c>
      <c r="F755" s="218">
        <v>271.31</v>
      </c>
      <c r="G755" s="218">
        <v>423.36</v>
      </c>
      <c r="H755" s="218">
        <v>1.2364999999999999</v>
      </c>
      <c r="I755" s="218">
        <v>1.7073</v>
      </c>
      <c r="J755" s="218">
        <v>1.5646</v>
      </c>
      <c r="K755" s="218">
        <v>1.2437</v>
      </c>
      <c r="L755" s="214"/>
      <c r="M755" s="214"/>
      <c r="N755" s="214"/>
      <c r="O755" s="214"/>
      <c r="P755" s="214"/>
      <c r="Q755" s="214"/>
      <c r="R755" s="214"/>
      <c r="S755" s="214"/>
      <c r="T755" s="214"/>
      <c r="U755" s="214"/>
      <c r="V755" s="214"/>
      <c r="W755" s="214"/>
      <c r="X755" s="214"/>
    </row>
    <row r="756" spans="1:24" ht="15.75" customHeight="1">
      <c r="A756" s="83"/>
      <c r="B756" s="218">
        <v>49.9</v>
      </c>
      <c r="C756" s="218">
        <v>13.15</v>
      </c>
      <c r="D756" s="218">
        <v>8.9999999999999998E-4</v>
      </c>
      <c r="E756" s="218">
        <v>1.5100000000000001E-2</v>
      </c>
      <c r="F756" s="218">
        <v>271.47000000000003</v>
      </c>
      <c r="G756" s="218">
        <v>423.4</v>
      </c>
      <c r="H756" s="218">
        <v>1.2370000000000001</v>
      </c>
      <c r="I756" s="218">
        <v>1.7073</v>
      </c>
      <c r="J756" s="218">
        <v>1.5653999999999999</v>
      </c>
      <c r="K756" s="218">
        <v>1.2448999999999999</v>
      </c>
      <c r="L756" s="214"/>
      <c r="M756" s="214"/>
      <c r="N756" s="214"/>
      <c r="O756" s="214"/>
      <c r="P756" s="214"/>
      <c r="Q756" s="214"/>
      <c r="R756" s="214"/>
      <c r="S756" s="214"/>
      <c r="T756" s="214"/>
      <c r="U756" s="214"/>
      <c r="V756" s="214"/>
      <c r="W756" s="214"/>
      <c r="X756" s="214"/>
    </row>
    <row r="757" spans="1:24" ht="15.75" customHeight="1">
      <c r="A757" s="83"/>
      <c r="B757" s="218">
        <v>50</v>
      </c>
      <c r="C757" s="218">
        <v>13.18</v>
      </c>
      <c r="D757" s="218">
        <v>8.9999999999999998E-4</v>
      </c>
      <c r="E757" s="218">
        <v>1.5100000000000001E-2</v>
      </c>
      <c r="F757" s="218">
        <v>271.62</v>
      </c>
      <c r="G757" s="218">
        <v>423.44</v>
      </c>
      <c r="H757" s="218">
        <v>1.2375</v>
      </c>
      <c r="I757" s="218">
        <v>1.7072000000000001</v>
      </c>
      <c r="J757" s="218">
        <v>1.5661</v>
      </c>
      <c r="K757" s="218">
        <v>1.2461</v>
      </c>
      <c r="L757" s="214"/>
      <c r="M757" s="214"/>
      <c r="N757" s="214"/>
      <c r="O757" s="214"/>
      <c r="P757" s="214"/>
      <c r="Q757" s="214"/>
      <c r="R757" s="214"/>
      <c r="S757" s="214"/>
      <c r="T757" s="214"/>
      <c r="U757" s="214"/>
      <c r="V757" s="214"/>
      <c r="W757" s="214"/>
      <c r="X757" s="214"/>
    </row>
    <row r="758" spans="1:24" ht="15.75" customHeight="1">
      <c r="A758" s="83"/>
      <c r="B758" s="218">
        <v>50.1</v>
      </c>
      <c r="C758" s="218">
        <v>13.21</v>
      </c>
      <c r="D758" s="218">
        <v>8.9999999999999998E-4</v>
      </c>
      <c r="E758" s="218">
        <v>1.4999999999999999E-2</v>
      </c>
      <c r="F758" s="218">
        <v>271.77999999999997</v>
      </c>
      <c r="G758" s="218">
        <v>423.47</v>
      </c>
      <c r="H758" s="218">
        <v>1.2379</v>
      </c>
      <c r="I758" s="218">
        <v>1.7072000000000001</v>
      </c>
      <c r="J758" s="218">
        <v>1.5669</v>
      </c>
      <c r="K758" s="218">
        <v>1.2472000000000001</v>
      </c>
      <c r="L758" s="214"/>
      <c r="M758" s="214"/>
      <c r="N758" s="214"/>
      <c r="O758" s="214"/>
      <c r="P758" s="214"/>
      <c r="Q758" s="214"/>
      <c r="R758" s="214"/>
      <c r="S758" s="214"/>
      <c r="T758" s="214"/>
      <c r="U758" s="214"/>
      <c r="V758" s="214"/>
      <c r="W758" s="214"/>
      <c r="X758" s="214"/>
    </row>
    <row r="759" spans="1:24" ht="15.75" customHeight="1">
      <c r="A759" s="83"/>
      <c r="B759" s="218">
        <v>50.2</v>
      </c>
      <c r="C759" s="218">
        <v>13.25</v>
      </c>
      <c r="D759" s="218">
        <v>8.9999999999999998E-4</v>
      </c>
      <c r="E759" s="218">
        <v>1.4999999999999999E-2</v>
      </c>
      <c r="F759" s="218">
        <v>271.93</v>
      </c>
      <c r="G759" s="218">
        <v>423.51</v>
      </c>
      <c r="H759" s="218">
        <v>1.2383999999999999</v>
      </c>
      <c r="I759" s="218">
        <v>1.7072000000000001</v>
      </c>
      <c r="J759" s="218">
        <v>1.5677000000000001</v>
      </c>
      <c r="K759" s="218">
        <v>1.2484</v>
      </c>
      <c r="L759" s="214"/>
      <c r="M759" s="214"/>
      <c r="N759" s="214"/>
      <c r="O759" s="214"/>
      <c r="P759" s="214"/>
      <c r="Q759" s="214"/>
      <c r="R759" s="214"/>
      <c r="S759" s="214"/>
      <c r="T759" s="214"/>
      <c r="U759" s="214"/>
      <c r="V759" s="214"/>
      <c r="W759" s="214"/>
      <c r="X759" s="214"/>
    </row>
    <row r="760" spans="1:24" ht="15.75" customHeight="1">
      <c r="A760" s="83"/>
      <c r="B760" s="218">
        <v>50.3</v>
      </c>
      <c r="C760" s="218">
        <v>13.28</v>
      </c>
      <c r="D760" s="218">
        <v>8.9999999999999998E-4</v>
      </c>
      <c r="E760" s="218">
        <v>1.4999999999999999E-2</v>
      </c>
      <c r="F760" s="218">
        <v>272.08999999999997</v>
      </c>
      <c r="G760" s="218">
        <v>423.55</v>
      </c>
      <c r="H760" s="218">
        <v>1.2388999999999999</v>
      </c>
      <c r="I760" s="218">
        <v>1.7071000000000001</v>
      </c>
      <c r="J760" s="218">
        <v>1.5685</v>
      </c>
      <c r="K760" s="218">
        <v>1.2496</v>
      </c>
      <c r="L760" s="214"/>
      <c r="M760" s="214"/>
      <c r="N760" s="214"/>
      <c r="O760" s="214"/>
      <c r="P760" s="214"/>
      <c r="Q760" s="214"/>
      <c r="R760" s="214"/>
      <c r="S760" s="214"/>
      <c r="T760" s="214"/>
      <c r="U760" s="214"/>
      <c r="V760" s="214"/>
      <c r="W760" s="214"/>
      <c r="X760" s="214"/>
    </row>
    <row r="761" spans="1:24" ht="15.75" customHeight="1">
      <c r="A761" s="83"/>
      <c r="B761" s="218">
        <v>50.4</v>
      </c>
      <c r="C761" s="218">
        <v>13.31</v>
      </c>
      <c r="D761" s="218">
        <v>8.9999999999999998E-4</v>
      </c>
      <c r="E761" s="218">
        <v>1.49E-2</v>
      </c>
      <c r="F761" s="218">
        <v>272.24</v>
      </c>
      <c r="G761" s="218">
        <v>423.58</v>
      </c>
      <c r="H761" s="218">
        <v>1.2393000000000001</v>
      </c>
      <c r="I761" s="218">
        <v>1.7071000000000001</v>
      </c>
      <c r="J761" s="218">
        <v>1.5692999999999999</v>
      </c>
      <c r="K761" s="218">
        <v>1.2507999999999999</v>
      </c>
      <c r="L761" s="214"/>
      <c r="M761" s="214"/>
      <c r="N761" s="214"/>
      <c r="O761" s="214"/>
      <c r="P761" s="214"/>
      <c r="Q761" s="214"/>
      <c r="R761" s="214"/>
      <c r="S761" s="214"/>
      <c r="T761" s="214"/>
      <c r="U761" s="214"/>
      <c r="V761" s="214"/>
      <c r="W761" s="214"/>
      <c r="X761" s="214"/>
    </row>
    <row r="762" spans="1:24" ht="15.75" customHeight="1">
      <c r="A762" s="83"/>
      <c r="B762" s="218">
        <v>50.5</v>
      </c>
      <c r="C762" s="218">
        <v>13.35</v>
      </c>
      <c r="D762" s="218">
        <v>8.9999999999999998E-4</v>
      </c>
      <c r="E762" s="218">
        <v>1.49E-2</v>
      </c>
      <c r="F762" s="218">
        <v>272.39999999999998</v>
      </c>
      <c r="G762" s="218">
        <v>423.62</v>
      </c>
      <c r="H762" s="218">
        <v>1.2398</v>
      </c>
      <c r="I762" s="218">
        <v>1.7070000000000001</v>
      </c>
      <c r="J762" s="218">
        <v>1.5701000000000001</v>
      </c>
      <c r="K762" s="218">
        <v>1.252</v>
      </c>
      <c r="L762" s="214"/>
      <c r="M762" s="214"/>
      <c r="N762" s="214"/>
      <c r="O762" s="214"/>
      <c r="P762" s="214"/>
      <c r="Q762" s="214"/>
      <c r="R762" s="214"/>
      <c r="S762" s="214"/>
      <c r="T762" s="214"/>
      <c r="U762" s="214"/>
      <c r="V762" s="214"/>
      <c r="W762" s="214"/>
      <c r="X762" s="214"/>
    </row>
    <row r="763" spans="1:24" ht="15.75" customHeight="1">
      <c r="A763" s="83"/>
      <c r="B763" s="218">
        <v>50.6</v>
      </c>
      <c r="C763" s="218">
        <v>13.38</v>
      </c>
      <c r="D763" s="218">
        <v>8.9999999999999998E-4</v>
      </c>
      <c r="E763" s="218">
        <v>1.4800000000000001E-2</v>
      </c>
      <c r="F763" s="218">
        <v>272.56</v>
      </c>
      <c r="G763" s="218">
        <v>423.65</v>
      </c>
      <c r="H763" s="218">
        <v>1.2403</v>
      </c>
      <c r="I763" s="218">
        <v>1.7070000000000001</v>
      </c>
      <c r="J763" s="218">
        <v>1.5709</v>
      </c>
      <c r="K763" s="218">
        <v>1.2532000000000001</v>
      </c>
      <c r="L763" s="214"/>
      <c r="M763" s="214"/>
      <c r="N763" s="214"/>
      <c r="O763" s="214"/>
      <c r="P763" s="214"/>
      <c r="Q763" s="214"/>
      <c r="R763" s="214"/>
      <c r="S763" s="214"/>
      <c r="T763" s="214"/>
      <c r="U763" s="214"/>
      <c r="V763" s="214"/>
      <c r="W763" s="214"/>
      <c r="X763" s="214"/>
    </row>
    <row r="764" spans="1:24" ht="15.75" customHeight="1">
      <c r="A764" s="83"/>
      <c r="B764" s="218">
        <v>50.7</v>
      </c>
      <c r="C764" s="218">
        <v>13.41</v>
      </c>
      <c r="D764" s="218">
        <v>8.9999999999999998E-4</v>
      </c>
      <c r="E764" s="218">
        <v>1.4800000000000001E-2</v>
      </c>
      <c r="F764" s="218">
        <v>272.70999999999998</v>
      </c>
      <c r="G764" s="218">
        <v>423.69</v>
      </c>
      <c r="H764" s="218">
        <v>1.2407999999999999</v>
      </c>
      <c r="I764" s="218">
        <v>1.7070000000000001</v>
      </c>
      <c r="J764" s="218">
        <v>1.5717000000000001</v>
      </c>
      <c r="K764" s="218">
        <v>1.2544</v>
      </c>
      <c r="L764" s="214"/>
      <c r="M764" s="214"/>
      <c r="N764" s="214"/>
      <c r="O764" s="214"/>
      <c r="P764" s="214"/>
      <c r="Q764" s="214"/>
      <c r="R764" s="214"/>
      <c r="S764" s="214"/>
      <c r="T764" s="214"/>
      <c r="U764" s="214"/>
      <c r="V764" s="214"/>
      <c r="W764" s="214"/>
      <c r="X764" s="214"/>
    </row>
    <row r="765" spans="1:24" ht="15.75" customHeight="1">
      <c r="A765" s="83"/>
      <c r="B765" s="218">
        <v>50.8</v>
      </c>
      <c r="C765" s="218">
        <v>13.45</v>
      </c>
      <c r="D765" s="218">
        <v>8.9999999999999998E-4</v>
      </c>
      <c r="E765" s="218">
        <v>1.4800000000000001E-2</v>
      </c>
      <c r="F765" s="218">
        <v>272.87</v>
      </c>
      <c r="G765" s="218">
        <v>423.73</v>
      </c>
      <c r="H765" s="218">
        <v>1.2412000000000001</v>
      </c>
      <c r="I765" s="218">
        <v>1.7069000000000001</v>
      </c>
      <c r="J765" s="218">
        <v>1.5725</v>
      </c>
      <c r="K765" s="218">
        <v>1.2556</v>
      </c>
      <c r="L765" s="214"/>
      <c r="M765" s="214"/>
      <c r="N765" s="214"/>
      <c r="O765" s="214"/>
      <c r="P765" s="214"/>
      <c r="Q765" s="214"/>
      <c r="R765" s="214"/>
      <c r="S765" s="214"/>
      <c r="T765" s="214"/>
      <c r="U765" s="214"/>
      <c r="V765" s="214"/>
      <c r="W765" s="214"/>
      <c r="X765" s="214"/>
    </row>
    <row r="766" spans="1:24" ht="15.75" customHeight="1">
      <c r="A766" s="83"/>
      <c r="B766" s="218">
        <v>50.9</v>
      </c>
      <c r="C766" s="218">
        <v>13.48</v>
      </c>
      <c r="D766" s="218">
        <v>8.9999999999999998E-4</v>
      </c>
      <c r="E766" s="218">
        <v>1.47E-2</v>
      </c>
      <c r="F766" s="218">
        <v>273.02</v>
      </c>
      <c r="G766" s="218">
        <v>423.76</v>
      </c>
      <c r="H766" s="218">
        <v>1.2417</v>
      </c>
      <c r="I766" s="218">
        <v>1.7069000000000001</v>
      </c>
      <c r="J766" s="218">
        <v>1.5732999999999999</v>
      </c>
      <c r="K766" s="218">
        <v>1.2567999999999999</v>
      </c>
      <c r="L766" s="214"/>
      <c r="M766" s="214"/>
      <c r="N766" s="214"/>
      <c r="O766" s="214"/>
      <c r="P766" s="214"/>
      <c r="Q766" s="214"/>
      <c r="R766" s="214"/>
      <c r="S766" s="214"/>
      <c r="T766" s="214"/>
      <c r="U766" s="214"/>
      <c r="V766" s="214"/>
      <c r="W766" s="214"/>
      <c r="X766" s="214"/>
    </row>
    <row r="767" spans="1:24" ht="15.75" customHeight="1">
      <c r="A767" s="83"/>
      <c r="B767" s="218">
        <v>51</v>
      </c>
      <c r="C767" s="218">
        <v>13.51</v>
      </c>
      <c r="D767" s="218">
        <v>8.9999999999999998E-4</v>
      </c>
      <c r="E767" s="218">
        <v>1.47E-2</v>
      </c>
      <c r="F767" s="218">
        <v>273.18</v>
      </c>
      <c r="G767" s="218">
        <v>423.8</v>
      </c>
      <c r="H767" s="218">
        <v>1.2422</v>
      </c>
      <c r="I767" s="218">
        <v>1.7068000000000001</v>
      </c>
      <c r="J767" s="218">
        <v>1.5741000000000001</v>
      </c>
      <c r="K767" s="218">
        <v>1.258</v>
      </c>
      <c r="L767" s="214"/>
      <c r="M767" s="214"/>
      <c r="N767" s="214"/>
      <c r="O767" s="214"/>
      <c r="P767" s="214"/>
      <c r="Q767" s="214"/>
      <c r="R767" s="214"/>
      <c r="S767" s="214"/>
      <c r="T767" s="214"/>
      <c r="U767" s="214"/>
      <c r="V767" s="214"/>
      <c r="W767" s="214"/>
      <c r="X767" s="214"/>
    </row>
    <row r="768" spans="1:24" ht="15.75" customHeight="1">
      <c r="A768" s="83"/>
      <c r="B768" s="218">
        <v>51.1</v>
      </c>
      <c r="C768" s="218">
        <v>13.55</v>
      </c>
      <c r="D768" s="218">
        <v>8.9999999999999998E-4</v>
      </c>
      <c r="E768" s="218">
        <v>1.46E-2</v>
      </c>
      <c r="F768" s="218">
        <v>273.33</v>
      </c>
      <c r="G768" s="218">
        <v>423.83</v>
      </c>
      <c r="H768" s="218">
        <v>1.2425999999999999</v>
      </c>
      <c r="I768" s="218">
        <v>1.7068000000000001</v>
      </c>
      <c r="J768" s="218">
        <v>1.5749</v>
      </c>
      <c r="K768" s="218">
        <v>1.2592000000000001</v>
      </c>
      <c r="L768" s="214"/>
      <c r="M768" s="214"/>
      <c r="N768" s="214"/>
      <c r="O768" s="214"/>
      <c r="P768" s="214"/>
      <c r="Q768" s="214"/>
      <c r="R768" s="214"/>
      <c r="S768" s="214"/>
      <c r="T768" s="214"/>
      <c r="U768" s="214"/>
      <c r="V768" s="214"/>
      <c r="W768" s="214"/>
      <c r="X768" s="214"/>
    </row>
    <row r="769" spans="1:24" ht="15.75" customHeight="1">
      <c r="A769" s="83"/>
      <c r="B769" s="218">
        <v>51.2</v>
      </c>
      <c r="C769" s="218">
        <v>13.58</v>
      </c>
      <c r="D769" s="218">
        <v>8.9999999999999998E-4</v>
      </c>
      <c r="E769" s="218">
        <v>1.46E-2</v>
      </c>
      <c r="F769" s="218">
        <v>273.49</v>
      </c>
      <c r="G769" s="218">
        <v>423.87</v>
      </c>
      <c r="H769" s="218">
        <v>1.2431000000000001</v>
      </c>
      <c r="I769" s="218">
        <v>1.7067000000000001</v>
      </c>
      <c r="J769" s="218">
        <v>1.5758000000000001</v>
      </c>
      <c r="K769" s="218">
        <v>1.2604</v>
      </c>
      <c r="L769" s="214"/>
      <c r="M769" s="214"/>
      <c r="N769" s="214"/>
      <c r="O769" s="214"/>
      <c r="P769" s="214"/>
      <c r="Q769" s="214"/>
      <c r="R769" s="214"/>
      <c r="S769" s="214"/>
      <c r="T769" s="214"/>
      <c r="U769" s="214"/>
      <c r="V769" s="214"/>
      <c r="W769" s="214"/>
      <c r="X769" s="214"/>
    </row>
    <row r="770" spans="1:24" ht="15.75" customHeight="1">
      <c r="A770" s="83"/>
      <c r="B770" s="218">
        <v>51.3</v>
      </c>
      <c r="C770" s="218">
        <v>13.61</v>
      </c>
      <c r="D770" s="218">
        <v>8.9999999999999998E-4</v>
      </c>
      <c r="E770" s="218">
        <v>1.46E-2</v>
      </c>
      <c r="F770" s="218">
        <v>273.64999999999998</v>
      </c>
      <c r="G770" s="218">
        <v>423.9</v>
      </c>
      <c r="H770" s="218">
        <v>1.2436</v>
      </c>
      <c r="I770" s="218">
        <v>1.7067000000000001</v>
      </c>
      <c r="J770" s="218">
        <v>1.5766</v>
      </c>
      <c r="K770" s="218">
        <v>1.2616000000000001</v>
      </c>
      <c r="L770" s="214"/>
      <c r="M770" s="214"/>
      <c r="N770" s="214"/>
      <c r="O770" s="214"/>
      <c r="P770" s="214"/>
      <c r="Q770" s="214"/>
      <c r="R770" s="214"/>
      <c r="S770" s="214"/>
      <c r="T770" s="214"/>
      <c r="U770" s="214"/>
      <c r="V770" s="214"/>
      <c r="W770" s="214"/>
      <c r="X770" s="214"/>
    </row>
    <row r="771" spans="1:24" ht="15.75" customHeight="1">
      <c r="A771" s="83"/>
      <c r="B771" s="218">
        <v>51.4</v>
      </c>
      <c r="C771" s="218">
        <v>13.65</v>
      </c>
      <c r="D771" s="218">
        <v>8.9999999999999998E-4</v>
      </c>
      <c r="E771" s="218">
        <v>1.4500000000000001E-2</v>
      </c>
      <c r="F771" s="218">
        <v>273.8</v>
      </c>
      <c r="G771" s="218">
        <v>423.94</v>
      </c>
      <c r="H771" s="218">
        <v>1.2441</v>
      </c>
      <c r="I771" s="218">
        <v>1.7067000000000001</v>
      </c>
      <c r="J771" s="218">
        <v>1.5773999999999999</v>
      </c>
      <c r="K771" s="218">
        <v>1.2628999999999999</v>
      </c>
      <c r="L771" s="214"/>
      <c r="M771" s="214"/>
      <c r="N771" s="214"/>
      <c r="O771" s="214"/>
      <c r="P771" s="214"/>
      <c r="Q771" s="214"/>
      <c r="R771" s="214"/>
      <c r="S771" s="214"/>
      <c r="T771" s="214"/>
      <c r="U771" s="214"/>
      <c r="V771" s="214"/>
      <c r="W771" s="214"/>
      <c r="X771" s="214"/>
    </row>
    <row r="772" spans="1:24" ht="15.75" customHeight="1">
      <c r="A772" s="83"/>
      <c r="B772" s="218">
        <v>51.5</v>
      </c>
      <c r="C772" s="218">
        <v>13.68</v>
      </c>
      <c r="D772" s="218">
        <v>8.9999999999999998E-4</v>
      </c>
      <c r="E772" s="218">
        <v>1.4500000000000001E-2</v>
      </c>
      <c r="F772" s="218">
        <v>273.95999999999998</v>
      </c>
      <c r="G772" s="218">
        <v>423.97</v>
      </c>
      <c r="H772" s="218">
        <v>1.2444999999999999</v>
      </c>
      <c r="I772" s="218">
        <v>1.7065999999999999</v>
      </c>
      <c r="J772" s="218">
        <v>1.5782</v>
      </c>
      <c r="K772" s="218">
        <v>1.2641</v>
      </c>
      <c r="L772" s="214"/>
      <c r="M772" s="214"/>
      <c r="N772" s="214"/>
      <c r="O772" s="214"/>
      <c r="P772" s="214"/>
      <c r="Q772" s="214"/>
      <c r="R772" s="214"/>
      <c r="S772" s="214"/>
      <c r="T772" s="214"/>
      <c r="U772" s="214"/>
      <c r="V772" s="214"/>
      <c r="W772" s="214"/>
      <c r="X772" s="214"/>
    </row>
    <row r="773" spans="1:24" ht="15.75" customHeight="1">
      <c r="A773" s="83"/>
      <c r="B773" s="218">
        <v>51.6</v>
      </c>
      <c r="C773" s="218">
        <v>13.72</v>
      </c>
      <c r="D773" s="218">
        <v>8.9999999999999998E-4</v>
      </c>
      <c r="E773" s="218">
        <v>1.44E-2</v>
      </c>
      <c r="F773" s="218">
        <v>274.11</v>
      </c>
      <c r="G773" s="218">
        <v>424.01</v>
      </c>
      <c r="H773" s="218">
        <v>1.2450000000000001</v>
      </c>
      <c r="I773" s="218">
        <v>1.7065999999999999</v>
      </c>
      <c r="J773" s="218">
        <v>1.579</v>
      </c>
      <c r="K773" s="218">
        <v>1.2653000000000001</v>
      </c>
      <c r="L773" s="214"/>
      <c r="M773" s="214"/>
      <c r="N773" s="214"/>
      <c r="O773" s="214"/>
      <c r="P773" s="214"/>
      <c r="Q773" s="214"/>
      <c r="R773" s="214"/>
      <c r="S773" s="214"/>
      <c r="T773" s="214"/>
      <c r="U773" s="214"/>
      <c r="V773" s="214"/>
      <c r="W773" s="214"/>
      <c r="X773" s="214"/>
    </row>
    <row r="774" spans="1:24" ht="15.75" customHeight="1">
      <c r="A774" s="83"/>
      <c r="B774" s="218">
        <v>51.7</v>
      </c>
      <c r="C774" s="218">
        <v>13.75</v>
      </c>
      <c r="D774" s="218">
        <v>8.9999999999999998E-4</v>
      </c>
      <c r="E774" s="218">
        <v>1.44E-2</v>
      </c>
      <c r="F774" s="218">
        <v>274.27</v>
      </c>
      <c r="G774" s="218">
        <v>424.04</v>
      </c>
      <c r="H774" s="218">
        <v>1.2455000000000001</v>
      </c>
      <c r="I774" s="218">
        <v>1.7064999999999999</v>
      </c>
      <c r="J774" s="218">
        <v>1.5799000000000001</v>
      </c>
      <c r="K774" s="218">
        <v>1.2665999999999999</v>
      </c>
      <c r="L774" s="214"/>
      <c r="M774" s="214"/>
      <c r="N774" s="214"/>
      <c r="O774" s="214"/>
      <c r="P774" s="214"/>
      <c r="Q774" s="214"/>
      <c r="R774" s="214"/>
      <c r="S774" s="214"/>
      <c r="T774" s="214"/>
      <c r="U774" s="214"/>
      <c r="V774" s="214"/>
      <c r="W774" s="214"/>
      <c r="X774" s="214"/>
    </row>
    <row r="775" spans="1:24" ht="15.75" customHeight="1">
      <c r="A775" s="83"/>
      <c r="B775" s="218">
        <v>51.8</v>
      </c>
      <c r="C775" s="218">
        <v>13.79</v>
      </c>
      <c r="D775" s="218">
        <v>8.9999999999999998E-4</v>
      </c>
      <c r="E775" s="218">
        <v>1.44E-2</v>
      </c>
      <c r="F775" s="218">
        <v>274.43</v>
      </c>
      <c r="G775" s="218">
        <v>424.08</v>
      </c>
      <c r="H775" s="218">
        <v>1.2459</v>
      </c>
      <c r="I775" s="218">
        <v>1.7064999999999999</v>
      </c>
      <c r="J775" s="218">
        <v>1.5807</v>
      </c>
      <c r="K775" s="218">
        <v>1.2678</v>
      </c>
      <c r="L775" s="214"/>
      <c r="M775" s="214"/>
      <c r="N775" s="214"/>
      <c r="O775" s="214"/>
      <c r="P775" s="214"/>
      <c r="Q775" s="214"/>
      <c r="R775" s="214"/>
      <c r="S775" s="214"/>
      <c r="T775" s="214"/>
      <c r="U775" s="214"/>
      <c r="V775" s="214"/>
      <c r="W775" s="214"/>
      <c r="X775" s="214"/>
    </row>
    <row r="776" spans="1:24" ht="15.75" customHeight="1">
      <c r="A776" s="83"/>
      <c r="B776" s="218">
        <v>51.9</v>
      </c>
      <c r="C776" s="218">
        <v>13.82</v>
      </c>
      <c r="D776" s="218">
        <v>8.9999999999999998E-4</v>
      </c>
      <c r="E776" s="218">
        <v>1.43E-2</v>
      </c>
      <c r="F776" s="218">
        <v>274.58</v>
      </c>
      <c r="G776" s="218">
        <v>424.11</v>
      </c>
      <c r="H776" s="218">
        <v>1.2464</v>
      </c>
      <c r="I776" s="218">
        <v>1.7063999999999999</v>
      </c>
      <c r="J776" s="218">
        <v>1.5814999999999999</v>
      </c>
      <c r="K776" s="218">
        <v>1.2689999999999999</v>
      </c>
      <c r="L776" s="214"/>
      <c r="M776" s="214"/>
      <c r="N776" s="214"/>
      <c r="O776" s="214"/>
      <c r="P776" s="214"/>
      <c r="Q776" s="214"/>
      <c r="R776" s="214"/>
      <c r="S776" s="214"/>
      <c r="T776" s="214"/>
      <c r="U776" s="214"/>
      <c r="V776" s="214"/>
      <c r="W776" s="214"/>
      <c r="X776" s="214"/>
    </row>
    <row r="777" spans="1:24" ht="15.75" customHeight="1">
      <c r="A777" s="83"/>
      <c r="B777" s="218">
        <v>52</v>
      </c>
      <c r="C777" s="218">
        <v>13.85</v>
      </c>
      <c r="D777" s="218">
        <v>8.9999999999999998E-4</v>
      </c>
      <c r="E777" s="218">
        <v>1.43E-2</v>
      </c>
      <c r="F777" s="218">
        <v>274.74</v>
      </c>
      <c r="G777" s="218">
        <v>424.15</v>
      </c>
      <c r="H777" s="218">
        <v>1.2468999999999999</v>
      </c>
      <c r="I777" s="218">
        <v>1.7063999999999999</v>
      </c>
      <c r="J777" s="218">
        <v>1.5824</v>
      </c>
      <c r="K777" s="218">
        <v>1.2703</v>
      </c>
      <c r="L777" s="214"/>
      <c r="M777" s="214"/>
      <c r="N777" s="214"/>
      <c r="O777" s="214"/>
      <c r="P777" s="214"/>
      <c r="Q777" s="214"/>
      <c r="R777" s="214"/>
      <c r="S777" s="214"/>
      <c r="T777" s="214"/>
      <c r="U777" s="214"/>
      <c r="V777" s="214"/>
      <c r="W777" s="214"/>
      <c r="X777" s="214"/>
    </row>
    <row r="778" spans="1:24" ht="15.75" customHeight="1">
      <c r="A778" s="83"/>
      <c r="B778" s="218">
        <v>52.1</v>
      </c>
      <c r="C778" s="218">
        <v>13.89</v>
      </c>
      <c r="D778" s="218">
        <v>8.9999999999999998E-4</v>
      </c>
      <c r="E778" s="218">
        <v>1.4200000000000001E-2</v>
      </c>
      <c r="F778" s="218">
        <v>274.89999999999998</v>
      </c>
      <c r="G778" s="218">
        <v>424.18</v>
      </c>
      <c r="H778" s="218">
        <v>1.2474000000000001</v>
      </c>
      <c r="I778" s="218">
        <v>1.7062999999999999</v>
      </c>
      <c r="J778" s="218">
        <v>1.5831999999999999</v>
      </c>
      <c r="K778" s="218">
        <v>1.2716000000000001</v>
      </c>
      <c r="L778" s="214"/>
      <c r="M778" s="214"/>
      <c r="N778" s="214"/>
      <c r="O778" s="214"/>
      <c r="P778" s="214"/>
      <c r="Q778" s="214"/>
      <c r="R778" s="214"/>
      <c r="S778" s="214"/>
      <c r="T778" s="214"/>
      <c r="U778" s="214"/>
      <c r="V778" s="214"/>
      <c r="W778" s="214"/>
      <c r="X778" s="214"/>
    </row>
    <row r="779" spans="1:24" ht="15.75" customHeight="1">
      <c r="A779" s="83"/>
      <c r="B779" s="218">
        <v>52.2</v>
      </c>
      <c r="C779" s="218">
        <v>13.92</v>
      </c>
      <c r="D779" s="218">
        <v>8.9999999999999998E-4</v>
      </c>
      <c r="E779" s="218">
        <v>1.4200000000000001E-2</v>
      </c>
      <c r="F779" s="218">
        <v>275.05</v>
      </c>
      <c r="G779" s="218">
        <v>424.22</v>
      </c>
      <c r="H779" s="218">
        <v>1.2478</v>
      </c>
      <c r="I779" s="218">
        <v>1.7062999999999999</v>
      </c>
      <c r="J779" s="218">
        <v>1.5841000000000001</v>
      </c>
      <c r="K779" s="218">
        <v>1.2727999999999999</v>
      </c>
      <c r="L779" s="214"/>
      <c r="M779" s="214"/>
      <c r="N779" s="214"/>
      <c r="O779" s="214"/>
      <c r="P779" s="214"/>
      <c r="Q779" s="214"/>
      <c r="R779" s="214"/>
      <c r="S779" s="214"/>
      <c r="T779" s="214"/>
      <c r="U779" s="214"/>
      <c r="V779" s="214"/>
      <c r="W779" s="214"/>
      <c r="X779" s="214"/>
    </row>
    <row r="780" spans="1:24" ht="15.75" customHeight="1">
      <c r="A780" s="83"/>
      <c r="B780" s="218">
        <v>52.3</v>
      </c>
      <c r="C780" s="218">
        <v>13.96</v>
      </c>
      <c r="D780" s="218">
        <v>8.9999999999999998E-4</v>
      </c>
      <c r="E780" s="218">
        <v>1.4200000000000001E-2</v>
      </c>
      <c r="F780" s="218">
        <v>275.20999999999998</v>
      </c>
      <c r="G780" s="218">
        <v>424.25</v>
      </c>
      <c r="H780" s="218">
        <v>1.2483</v>
      </c>
      <c r="I780" s="218">
        <v>1.7062999999999999</v>
      </c>
      <c r="J780" s="218">
        <v>1.5849</v>
      </c>
      <c r="K780" s="218">
        <v>1.2741</v>
      </c>
      <c r="L780" s="214"/>
      <c r="M780" s="214"/>
      <c r="N780" s="214"/>
      <c r="O780" s="214"/>
      <c r="P780" s="214"/>
      <c r="Q780" s="214"/>
      <c r="R780" s="214"/>
      <c r="S780" s="214"/>
      <c r="T780" s="214"/>
      <c r="U780" s="214"/>
      <c r="V780" s="214"/>
      <c r="W780" s="214"/>
      <c r="X780" s="214"/>
    </row>
    <row r="781" spans="1:24" ht="15.75" customHeight="1">
      <c r="A781" s="83"/>
      <c r="B781" s="218">
        <v>52.4</v>
      </c>
      <c r="C781" s="218">
        <v>13.99</v>
      </c>
      <c r="D781" s="218">
        <v>8.9999999999999998E-4</v>
      </c>
      <c r="E781" s="218">
        <v>1.41E-2</v>
      </c>
      <c r="F781" s="218">
        <v>275.37</v>
      </c>
      <c r="G781" s="218">
        <v>424.29</v>
      </c>
      <c r="H781" s="218">
        <v>1.2487999999999999</v>
      </c>
      <c r="I781" s="218">
        <v>1.7061999999999999</v>
      </c>
      <c r="J781" s="218">
        <v>1.5857000000000001</v>
      </c>
      <c r="K781" s="218">
        <v>1.2753000000000001</v>
      </c>
      <c r="L781" s="214"/>
      <c r="M781" s="214"/>
      <c r="N781" s="214"/>
      <c r="O781" s="214"/>
      <c r="P781" s="214"/>
      <c r="Q781" s="214"/>
      <c r="R781" s="214"/>
      <c r="S781" s="214"/>
      <c r="T781" s="214"/>
      <c r="U781" s="214"/>
      <c r="V781" s="214"/>
      <c r="W781" s="214"/>
      <c r="X781" s="214"/>
    </row>
    <row r="782" spans="1:24" ht="15.75" customHeight="1">
      <c r="A782" s="83"/>
      <c r="B782" s="218">
        <v>52.5</v>
      </c>
      <c r="C782" s="218">
        <v>14.03</v>
      </c>
      <c r="D782" s="218">
        <v>8.9999999999999998E-4</v>
      </c>
      <c r="E782" s="218">
        <v>1.41E-2</v>
      </c>
      <c r="F782" s="218">
        <v>275.52</v>
      </c>
      <c r="G782" s="218">
        <v>424.32</v>
      </c>
      <c r="H782" s="218">
        <v>1.2492000000000001</v>
      </c>
      <c r="I782" s="218">
        <v>1.7061999999999999</v>
      </c>
      <c r="J782" s="218">
        <v>1.5866</v>
      </c>
      <c r="K782" s="218">
        <v>1.2766</v>
      </c>
      <c r="L782" s="214"/>
      <c r="M782" s="214"/>
      <c r="N782" s="214"/>
      <c r="O782" s="214"/>
      <c r="P782" s="214"/>
      <c r="Q782" s="214"/>
      <c r="R782" s="214"/>
      <c r="S782" s="214"/>
      <c r="T782" s="214"/>
      <c r="U782" s="214"/>
      <c r="V782" s="214"/>
      <c r="W782" s="214"/>
      <c r="X782" s="214"/>
    </row>
    <row r="783" spans="1:24" ht="15.75" customHeight="1">
      <c r="A783" s="83"/>
      <c r="B783" s="218">
        <v>52.6</v>
      </c>
      <c r="C783" s="218">
        <v>14.06</v>
      </c>
      <c r="D783" s="218">
        <v>8.9999999999999998E-4</v>
      </c>
      <c r="E783" s="218">
        <v>1.4E-2</v>
      </c>
      <c r="F783" s="218">
        <v>275.68</v>
      </c>
      <c r="G783" s="218">
        <v>424.36</v>
      </c>
      <c r="H783" s="218">
        <v>1.2497</v>
      </c>
      <c r="I783" s="218">
        <v>1.7060999999999999</v>
      </c>
      <c r="J783" s="218">
        <v>1.5874999999999999</v>
      </c>
      <c r="K783" s="218">
        <v>1.2779</v>
      </c>
      <c r="L783" s="214"/>
      <c r="M783" s="214"/>
      <c r="N783" s="214"/>
      <c r="O783" s="214"/>
      <c r="P783" s="214"/>
      <c r="Q783" s="214"/>
      <c r="R783" s="214"/>
      <c r="S783" s="214"/>
      <c r="T783" s="214"/>
      <c r="U783" s="214"/>
      <c r="V783" s="214"/>
      <c r="W783" s="214"/>
      <c r="X783" s="214"/>
    </row>
    <row r="784" spans="1:24" ht="15.75" customHeight="1">
      <c r="A784" s="83"/>
      <c r="B784" s="218">
        <v>52.7</v>
      </c>
      <c r="C784" s="218">
        <v>14.1</v>
      </c>
      <c r="D784" s="218">
        <v>8.9999999999999998E-4</v>
      </c>
      <c r="E784" s="218">
        <v>1.4E-2</v>
      </c>
      <c r="F784" s="218">
        <v>275.83999999999997</v>
      </c>
      <c r="G784" s="218">
        <v>424.39</v>
      </c>
      <c r="H784" s="218">
        <v>1.2502</v>
      </c>
      <c r="I784" s="218">
        <v>1.7060999999999999</v>
      </c>
      <c r="J784" s="218">
        <v>1.5883</v>
      </c>
      <c r="K784" s="218">
        <v>1.2791999999999999</v>
      </c>
      <c r="L784" s="214"/>
      <c r="M784" s="214"/>
      <c r="N784" s="214"/>
      <c r="O784" s="214"/>
      <c r="P784" s="214"/>
      <c r="Q784" s="214"/>
      <c r="R784" s="214"/>
      <c r="S784" s="214"/>
      <c r="T784" s="214"/>
      <c r="U784" s="214"/>
      <c r="V784" s="214"/>
      <c r="W784" s="214"/>
      <c r="X784" s="214"/>
    </row>
    <row r="785" spans="1:24" ht="15.75" customHeight="1">
      <c r="A785" s="83"/>
      <c r="B785" s="218">
        <v>52.8</v>
      </c>
      <c r="C785" s="218">
        <v>14.13</v>
      </c>
      <c r="D785" s="218">
        <v>8.9999999999999998E-4</v>
      </c>
      <c r="E785" s="218">
        <v>1.4E-2</v>
      </c>
      <c r="F785" s="218">
        <v>276</v>
      </c>
      <c r="G785" s="218">
        <v>424.43</v>
      </c>
      <c r="H785" s="218">
        <v>1.2506999999999999</v>
      </c>
      <c r="I785" s="218">
        <v>1.706</v>
      </c>
      <c r="J785" s="218">
        <v>1.5891999999999999</v>
      </c>
      <c r="K785" s="218">
        <v>1.2805</v>
      </c>
      <c r="L785" s="214"/>
      <c r="M785" s="214"/>
      <c r="N785" s="214"/>
      <c r="O785" s="214"/>
      <c r="P785" s="214"/>
      <c r="Q785" s="214"/>
      <c r="R785" s="214"/>
      <c r="S785" s="214"/>
      <c r="T785" s="214"/>
      <c r="U785" s="214"/>
      <c r="V785" s="214"/>
      <c r="W785" s="214"/>
      <c r="X785" s="214"/>
    </row>
    <row r="786" spans="1:24" ht="15.75" customHeight="1">
      <c r="A786" s="83"/>
      <c r="B786" s="218">
        <v>52.9</v>
      </c>
      <c r="C786" s="218">
        <v>14.17</v>
      </c>
      <c r="D786" s="218">
        <v>8.9999999999999998E-4</v>
      </c>
      <c r="E786" s="218">
        <v>1.3899999999999999E-2</v>
      </c>
      <c r="F786" s="218">
        <v>276.14999999999998</v>
      </c>
      <c r="G786" s="218">
        <v>424.46</v>
      </c>
      <c r="H786" s="218">
        <v>1.2511000000000001</v>
      </c>
      <c r="I786" s="218">
        <v>1.706</v>
      </c>
      <c r="J786" s="218">
        <v>1.59</v>
      </c>
      <c r="K786" s="218">
        <v>1.2817000000000001</v>
      </c>
      <c r="L786" s="214"/>
      <c r="M786" s="214"/>
      <c r="N786" s="214"/>
      <c r="O786" s="214"/>
      <c r="P786" s="214"/>
      <c r="Q786" s="214"/>
      <c r="R786" s="214"/>
      <c r="S786" s="214"/>
      <c r="T786" s="214"/>
      <c r="U786" s="214"/>
      <c r="V786" s="214"/>
      <c r="W786" s="214"/>
      <c r="X786" s="214"/>
    </row>
    <row r="787" spans="1:24" ht="15.75" customHeight="1">
      <c r="A787" s="83"/>
      <c r="B787" s="218">
        <v>53</v>
      </c>
      <c r="C787" s="218">
        <v>14.2</v>
      </c>
      <c r="D787" s="218">
        <v>8.9999999999999998E-4</v>
      </c>
      <c r="E787" s="218">
        <v>1.3899999999999999E-2</v>
      </c>
      <c r="F787" s="218">
        <v>276.31</v>
      </c>
      <c r="G787" s="218">
        <v>424.49</v>
      </c>
      <c r="H787" s="218">
        <v>1.2516</v>
      </c>
      <c r="I787" s="218">
        <v>1.7059</v>
      </c>
      <c r="J787" s="218">
        <v>1.5909</v>
      </c>
      <c r="K787" s="218">
        <v>1.2829999999999999</v>
      </c>
      <c r="L787" s="214"/>
      <c r="M787" s="214"/>
      <c r="N787" s="214"/>
      <c r="O787" s="214"/>
      <c r="P787" s="214"/>
      <c r="Q787" s="214"/>
      <c r="R787" s="214"/>
      <c r="S787" s="214"/>
      <c r="T787" s="214"/>
      <c r="U787" s="214"/>
      <c r="V787" s="214"/>
      <c r="W787" s="214"/>
      <c r="X787" s="214"/>
    </row>
    <row r="788" spans="1:24" ht="15.75" customHeight="1">
      <c r="A788" s="83"/>
      <c r="B788" s="218">
        <v>53.1</v>
      </c>
      <c r="C788" s="218">
        <v>14.24</v>
      </c>
      <c r="D788" s="218">
        <v>8.9999999999999998E-4</v>
      </c>
      <c r="E788" s="218">
        <v>1.38E-2</v>
      </c>
      <c r="F788" s="218">
        <v>276.47000000000003</v>
      </c>
      <c r="G788" s="218">
        <v>424.53</v>
      </c>
      <c r="H788" s="218">
        <v>1.2521</v>
      </c>
      <c r="I788" s="218">
        <v>1.7059</v>
      </c>
      <c r="J788" s="218">
        <v>1.5918000000000001</v>
      </c>
      <c r="K788" s="218">
        <v>1.2843</v>
      </c>
      <c r="L788" s="214"/>
      <c r="M788" s="214"/>
      <c r="N788" s="214"/>
      <c r="O788" s="214"/>
      <c r="P788" s="214"/>
      <c r="Q788" s="214"/>
      <c r="R788" s="214"/>
      <c r="S788" s="214"/>
      <c r="T788" s="214"/>
      <c r="U788" s="214"/>
      <c r="V788" s="214"/>
      <c r="W788" s="214"/>
      <c r="X788" s="214"/>
    </row>
    <row r="789" spans="1:24" ht="15.75" customHeight="1">
      <c r="A789" s="83"/>
      <c r="B789" s="218">
        <v>53.2</v>
      </c>
      <c r="C789" s="218">
        <v>14.27</v>
      </c>
      <c r="D789" s="218">
        <v>8.9999999999999998E-4</v>
      </c>
      <c r="E789" s="218">
        <v>1.38E-2</v>
      </c>
      <c r="F789" s="218">
        <v>276.62</v>
      </c>
      <c r="G789" s="218">
        <v>424.56</v>
      </c>
      <c r="H789" s="218">
        <v>1.2524999999999999</v>
      </c>
      <c r="I789" s="218">
        <v>1.7059</v>
      </c>
      <c r="J789" s="218">
        <v>1.5926</v>
      </c>
      <c r="K789" s="218">
        <v>1.2856000000000001</v>
      </c>
      <c r="L789" s="214"/>
      <c r="M789" s="214"/>
      <c r="N789" s="214"/>
      <c r="O789" s="214"/>
      <c r="P789" s="214"/>
      <c r="Q789" s="214"/>
      <c r="R789" s="214"/>
      <c r="S789" s="214"/>
      <c r="T789" s="214"/>
      <c r="U789" s="214"/>
      <c r="V789" s="214"/>
      <c r="W789" s="214"/>
      <c r="X789" s="214"/>
    </row>
    <row r="790" spans="1:24" ht="15.75" customHeight="1">
      <c r="A790" s="83"/>
      <c r="B790" s="218">
        <v>53.3</v>
      </c>
      <c r="C790" s="218">
        <v>14.31</v>
      </c>
      <c r="D790" s="218">
        <v>8.9999999999999998E-4</v>
      </c>
      <c r="E790" s="218">
        <v>1.38E-2</v>
      </c>
      <c r="F790" s="218">
        <v>276.77999999999997</v>
      </c>
      <c r="G790" s="218">
        <v>424.59</v>
      </c>
      <c r="H790" s="218">
        <v>1.2529999999999999</v>
      </c>
      <c r="I790" s="218">
        <v>1.7058</v>
      </c>
      <c r="J790" s="218">
        <v>1.5934999999999999</v>
      </c>
      <c r="K790" s="218">
        <v>1.2869999999999999</v>
      </c>
      <c r="L790" s="214"/>
      <c r="M790" s="214"/>
      <c r="N790" s="214"/>
      <c r="O790" s="214"/>
      <c r="P790" s="214"/>
      <c r="Q790" s="214"/>
      <c r="R790" s="214"/>
      <c r="S790" s="214"/>
      <c r="T790" s="214"/>
      <c r="U790" s="214"/>
      <c r="V790" s="214"/>
      <c r="W790" s="214"/>
      <c r="X790" s="214"/>
    </row>
    <row r="791" spans="1:24" ht="15.75" customHeight="1">
      <c r="A791" s="83"/>
      <c r="B791" s="218">
        <v>53.4</v>
      </c>
      <c r="C791" s="218">
        <v>14.34</v>
      </c>
      <c r="D791" s="218">
        <v>8.9999999999999998E-4</v>
      </c>
      <c r="E791" s="218">
        <v>1.37E-2</v>
      </c>
      <c r="F791" s="218">
        <v>276.94</v>
      </c>
      <c r="G791" s="218">
        <v>424.63</v>
      </c>
      <c r="H791" s="218">
        <v>1.2535000000000001</v>
      </c>
      <c r="I791" s="218">
        <v>1.7058</v>
      </c>
      <c r="J791" s="218">
        <v>1.5944</v>
      </c>
      <c r="K791" s="218">
        <v>1.2883</v>
      </c>
      <c r="L791" s="214"/>
      <c r="M791" s="214"/>
      <c r="N791" s="214"/>
      <c r="O791" s="214"/>
      <c r="P791" s="214"/>
      <c r="Q791" s="214"/>
      <c r="R791" s="214"/>
      <c r="S791" s="214"/>
      <c r="T791" s="214"/>
      <c r="U791" s="214"/>
      <c r="V791" s="214"/>
      <c r="W791" s="214"/>
      <c r="X791" s="214"/>
    </row>
    <row r="792" spans="1:24" ht="15.75" customHeight="1">
      <c r="A792" s="83"/>
      <c r="B792" s="218">
        <v>53.5</v>
      </c>
      <c r="C792" s="218">
        <v>14.38</v>
      </c>
      <c r="D792" s="218">
        <v>8.9999999999999998E-4</v>
      </c>
      <c r="E792" s="218">
        <v>1.37E-2</v>
      </c>
      <c r="F792" s="218">
        <v>277.10000000000002</v>
      </c>
      <c r="G792" s="218">
        <v>424.66</v>
      </c>
      <c r="H792" s="218">
        <v>1.254</v>
      </c>
      <c r="I792" s="218">
        <v>1.7057</v>
      </c>
      <c r="J792" s="218">
        <v>1.5952999999999999</v>
      </c>
      <c r="K792" s="218">
        <v>1.2896000000000001</v>
      </c>
      <c r="L792" s="214"/>
      <c r="M792" s="214"/>
      <c r="N792" s="214"/>
      <c r="O792" s="214"/>
      <c r="P792" s="214"/>
      <c r="Q792" s="214"/>
      <c r="R792" s="214"/>
      <c r="S792" s="214"/>
      <c r="T792" s="214"/>
      <c r="U792" s="214"/>
      <c r="V792" s="214"/>
      <c r="W792" s="214"/>
      <c r="X792" s="214"/>
    </row>
    <row r="793" spans="1:24" ht="15.75" customHeight="1">
      <c r="A793" s="83"/>
      <c r="B793" s="218">
        <v>53.6</v>
      </c>
      <c r="C793" s="218">
        <v>14.41</v>
      </c>
      <c r="D793" s="218">
        <v>8.9999999999999998E-4</v>
      </c>
      <c r="E793" s="218">
        <v>1.37E-2</v>
      </c>
      <c r="F793" s="218">
        <v>277.25</v>
      </c>
      <c r="G793" s="218">
        <v>424.69</v>
      </c>
      <c r="H793" s="218">
        <v>1.2544</v>
      </c>
      <c r="I793" s="218">
        <v>1.7057</v>
      </c>
      <c r="J793" s="218">
        <v>1.5962000000000001</v>
      </c>
      <c r="K793" s="218">
        <v>1.2908999999999999</v>
      </c>
      <c r="L793" s="214"/>
      <c r="M793" s="214"/>
      <c r="N793" s="214"/>
      <c r="O793" s="214"/>
      <c r="P793" s="214"/>
      <c r="Q793" s="214"/>
      <c r="R793" s="214"/>
      <c r="S793" s="214"/>
      <c r="T793" s="214"/>
      <c r="U793" s="214"/>
      <c r="V793" s="214"/>
      <c r="W793" s="214"/>
      <c r="X793" s="214"/>
    </row>
    <row r="794" spans="1:24" ht="15.75" customHeight="1">
      <c r="A794" s="83"/>
      <c r="B794" s="218">
        <v>53.7</v>
      </c>
      <c r="C794" s="218">
        <v>14.45</v>
      </c>
      <c r="D794" s="218">
        <v>8.9999999999999998E-4</v>
      </c>
      <c r="E794" s="218">
        <v>1.3599999999999999E-2</v>
      </c>
      <c r="F794" s="218">
        <v>277.41000000000003</v>
      </c>
      <c r="G794" s="218">
        <v>424.73</v>
      </c>
      <c r="H794" s="218">
        <v>1.2548999999999999</v>
      </c>
      <c r="I794" s="218">
        <v>1.7056</v>
      </c>
      <c r="J794" s="218">
        <v>1.597</v>
      </c>
      <c r="K794" s="218">
        <v>1.2922</v>
      </c>
      <c r="L794" s="214"/>
      <c r="M794" s="214"/>
      <c r="N794" s="214"/>
      <c r="O794" s="214"/>
      <c r="P794" s="214"/>
      <c r="Q794" s="214"/>
      <c r="R794" s="214"/>
      <c r="S794" s="214"/>
      <c r="T794" s="214"/>
      <c r="U794" s="214"/>
      <c r="V794" s="214"/>
      <c r="W794" s="214"/>
      <c r="X794" s="214"/>
    </row>
    <row r="795" spans="1:24" ht="15.75" customHeight="1">
      <c r="A795" s="83"/>
      <c r="B795" s="218">
        <v>53.8</v>
      </c>
      <c r="C795" s="218">
        <v>14.48</v>
      </c>
      <c r="D795" s="218">
        <v>8.9999999999999998E-4</v>
      </c>
      <c r="E795" s="218">
        <v>1.3599999999999999E-2</v>
      </c>
      <c r="F795" s="218">
        <v>277.57</v>
      </c>
      <c r="G795" s="218">
        <v>424.76</v>
      </c>
      <c r="H795" s="218">
        <v>1.2554000000000001</v>
      </c>
      <c r="I795" s="218">
        <v>1.7056</v>
      </c>
      <c r="J795" s="218">
        <v>1.5979000000000001</v>
      </c>
      <c r="K795" s="218">
        <v>1.2936000000000001</v>
      </c>
      <c r="L795" s="214"/>
      <c r="M795" s="214"/>
      <c r="N795" s="214"/>
      <c r="O795" s="214"/>
      <c r="P795" s="214"/>
      <c r="Q795" s="214"/>
      <c r="R795" s="214"/>
      <c r="S795" s="214"/>
      <c r="T795" s="214"/>
      <c r="U795" s="214"/>
      <c r="V795" s="214"/>
      <c r="W795" s="214"/>
      <c r="X795" s="214"/>
    </row>
    <row r="796" spans="1:24" ht="15.75" customHeight="1">
      <c r="A796" s="83"/>
      <c r="B796" s="218">
        <v>53.9</v>
      </c>
      <c r="C796" s="218">
        <v>14.52</v>
      </c>
      <c r="D796" s="218">
        <v>8.9999999999999998E-4</v>
      </c>
      <c r="E796" s="218">
        <v>1.35E-2</v>
      </c>
      <c r="F796" s="218">
        <v>277.73</v>
      </c>
      <c r="G796" s="218">
        <v>424.79</v>
      </c>
      <c r="H796" s="218">
        <v>1.2559</v>
      </c>
      <c r="I796" s="218">
        <v>1.7055</v>
      </c>
      <c r="J796" s="218">
        <v>1.5988</v>
      </c>
      <c r="K796" s="218">
        <v>1.2948999999999999</v>
      </c>
      <c r="L796" s="214"/>
      <c r="M796" s="214"/>
      <c r="N796" s="214"/>
      <c r="O796" s="214"/>
      <c r="P796" s="214"/>
      <c r="Q796" s="214"/>
      <c r="R796" s="214"/>
      <c r="S796" s="214"/>
      <c r="T796" s="214"/>
      <c r="U796" s="214"/>
      <c r="V796" s="214"/>
      <c r="W796" s="214"/>
      <c r="X796" s="214"/>
    </row>
    <row r="797" spans="1:24" ht="15.75" customHeight="1">
      <c r="A797" s="83"/>
      <c r="B797" s="218">
        <v>54</v>
      </c>
      <c r="C797" s="218">
        <v>14.55</v>
      </c>
      <c r="D797" s="218">
        <v>8.9999999999999998E-4</v>
      </c>
      <c r="E797" s="218">
        <v>1.35E-2</v>
      </c>
      <c r="F797" s="218">
        <v>277.89</v>
      </c>
      <c r="G797" s="218">
        <v>424.83</v>
      </c>
      <c r="H797" s="218">
        <v>1.2563</v>
      </c>
      <c r="I797" s="218">
        <v>1.7055</v>
      </c>
      <c r="J797" s="218">
        <v>1.5996999999999999</v>
      </c>
      <c r="K797" s="218">
        <v>1.2962</v>
      </c>
      <c r="L797" s="214"/>
      <c r="M797" s="214"/>
      <c r="N797" s="214"/>
      <c r="O797" s="214"/>
      <c r="P797" s="214"/>
      <c r="Q797" s="214"/>
      <c r="R797" s="214"/>
      <c r="S797" s="214"/>
      <c r="T797" s="214"/>
      <c r="U797" s="214"/>
      <c r="V797" s="214"/>
      <c r="W797" s="214"/>
      <c r="X797" s="214"/>
    </row>
    <row r="798" spans="1:24" ht="15.75" customHeight="1">
      <c r="A798" s="83"/>
      <c r="B798" s="218">
        <v>54.1</v>
      </c>
      <c r="C798" s="218">
        <v>14.59</v>
      </c>
      <c r="D798" s="218">
        <v>8.9999999999999998E-4</v>
      </c>
      <c r="E798" s="218">
        <v>1.35E-2</v>
      </c>
      <c r="F798" s="218">
        <v>278.04000000000002</v>
      </c>
      <c r="G798" s="218">
        <v>424.86</v>
      </c>
      <c r="H798" s="218">
        <v>1.2567999999999999</v>
      </c>
      <c r="I798" s="218">
        <v>1.7054</v>
      </c>
      <c r="J798" s="218">
        <v>1.6006</v>
      </c>
      <c r="K798" s="218">
        <v>1.2976000000000001</v>
      </c>
      <c r="L798" s="214"/>
      <c r="M798" s="214"/>
      <c r="N798" s="214"/>
      <c r="O798" s="214"/>
      <c r="P798" s="214"/>
      <c r="Q798" s="214"/>
      <c r="R798" s="214"/>
      <c r="S798" s="214"/>
      <c r="T798" s="214"/>
      <c r="U798" s="214"/>
      <c r="V798" s="214"/>
      <c r="W798" s="214"/>
      <c r="X798" s="214"/>
    </row>
    <row r="799" spans="1:24" ht="15.75" customHeight="1">
      <c r="A799" s="83"/>
      <c r="B799" s="218">
        <v>54.2</v>
      </c>
      <c r="C799" s="218">
        <v>14.63</v>
      </c>
      <c r="D799" s="218">
        <v>8.9999999999999998E-4</v>
      </c>
      <c r="E799" s="218">
        <v>1.34E-2</v>
      </c>
      <c r="F799" s="218">
        <v>278.2</v>
      </c>
      <c r="G799" s="218">
        <v>424.89</v>
      </c>
      <c r="H799" s="218">
        <v>1.2573000000000001</v>
      </c>
      <c r="I799" s="218">
        <v>1.7054</v>
      </c>
      <c r="J799" s="218">
        <v>1.6014999999999999</v>
      </c>
      <c r="K799" s="218">
        <v>1.2988999999999999</v>
      </c>
      <c r="L799" s="214"/>
      <c r="M799" s="214"/>
      <c r="N799" s="214"/>
      <c r="O799" s="214"/>
      <c r="P799" s="214"/>
      <c r="Q799" s="214"/>
      <c r="R799" s="214"/>
      <c r="S799" s="214"/>
      <c r="T799" s="214"/>
      <c r="U799" s="214"/>
      <c r="V799" s="214"/>
      <c r="W799" s="214"/>
      <c r="X799" s="214"/>
    </row>
    <row r="800" spans="1:24" ht="15.75" customHeight="1">
      <c r="A800" s="83"/>
      <c r="B800" s="218">
        <v>54.3</v>
      </c>
      <c r="C800" s="218">
        <v>14.66</v>
      </c>
      <c r="D800" s="218">
        <v>8.9999999999999998E-4</v>
      </c>
      <c r="E800" s="218">
        <v>1.34E-2</v>
      </c>
      <c r="F800" s="218">
        <v>278.36</v>
      </c>
      <c r="G800" s="218">
        <v>424.93</v>
      </c>
      <c r="H800" s="218">
        <v>1.2577</v>
      </c>
      <c r="I800" s="218">
        <v>1.7053</v>
      </c>
      <c r="J800" s="218">
        <v>1.6024</v>
      </c>
      <c r="K800" s="218">
        <v>1.3003</v>
      </c>
      <c r="L800" s="214"/>
      <c r="M800" s="214"/>
      <c r="N800" s="214"/>
      <c r="O800" s="214"/>
      <c r="P800" s="214"/>
      <c r="Q800" s="214"/>
      <c r="R800" s="214"/>
      <c r="S800" s="214"/>
      <c r="T800" s="214"/>
      <c r="U800" s="214"/>
      <c r="V800" s="214"/>
      <c r="W800" s="214"/>
      <c r="X800" s="214"/>
    </row>
    <row r="801" spans="1:24" ht="15.75" customHeight="1">
      <c r="A801" s="83"/>
      <c r="B801" s="218">
        <v>54.4</v>
      </c>
      <c r="C801" s="218">
        <v>14.7</v>
      </c>
      <c r="D801" s="218">
        <v>8.9999999999999998E-4</v>
      </c>
      <c r="E801" s="218">
        <v>1.34E-2</v>
      </c>
      <c r="F801" s="218">
        <v>278.52</v>
      </c>
      <c r="G801" s="218">
        <v>424.96</v>
      </c>
      <c r="H801" s="218">
        <v>1.2582</v>
      </c>
      <c r="I801" s="218">
        <v>1.7053</v>
      </c>
      <c r="J801" s="218">
        <v>1.6032999999999999</v>
      </c>
      <c r="K801" s="218">
        <v>1.3016000000000001</v>
      </c>
      <c r="L801" s="214"/>
      <c r="M801" s="214"/>
      <c r="N801" s="214"/>
      <c r="O801" s="214"/>
      <c r="P801" s="214"/>
      <c r="Q801" s="214"/>
      <c r="R801" s="214"/>
      <c r="S801" s="214"/>
      <c r="T801" s="214"/>
      <c r="U801" s="214"/>
      <c r="V801" s="214"/>
      <c r="W801" s="214"/>
      <c r="X801" s="214"/>
    </row>
    <row r="802" spans="1:24" ht="15.75" customHeight="1">
      <c r="A802" s="83"/>
      <c r="B802" s="218">
        <v>54.5</v>
      </c>
      <c r="C802" s="218">
        <v>14.73</v>
      </c>
      <c r="D802" s="218">
        <v>8.9999999999999998E-4</v>
      </c>
      <c r="E802" s="218">
        <v>1.3299999999999999E-2</v>
      </c>
      <c r="F802" s="218">
        <v>278.68</v>
      </c>
      <c r="G802" s="218">
        <v>424.99</v>
      </c>
      <c r="H802" s="218">
        <v>1.2586999999999999</v>
      </c>
      <c r="I802" s="218">
        <v>1.7052</v>
      </c>
      <c r="J802" s="218">
        <v>1.6043000000000001</v>
      </c>
      <c r="K802" s="218">
        <v>1.3029999999999999</v>
      </c>
      <c r="L802" s="214"/>
      <c r="M802" s="214"/>
      <c r="N802" s="214"/>
      <c r="O802" s="214"/>
      <c r="P802" s="214"/>
      <c r="Q802" s="214"/>
      <c r="R802" s="214"/>
      <c r="S802" s="214"/>
      <c r="T802" s="214"/>
      <c r="U802" s="214"/>
      <c r="V802" s="214"/>
      <c r="W802" s="214"/>
      <c r="X802" s="214"/>
    </row>
    <row r="803" spans="1:24" ht="15.75" customHeight="1">
      <c r="A803" s="83"/>
      <c r="B803" s="218">
        <v>54.6</v>
      </c>
      <c r="C803" s="218">
        <v>14.77</v>
      </c>
      <c r="D803" s="218">
        <v>8.9999999999999998E-4</v>
      </c>
      <c r="E803" s="218">
        <v>1.3299999999999999E-2</v>
      </c>
      <c r="F803" s="218">
        <v>278.83</v>
      </c>
      <c r="G803" s="218">
        <v>425.02</v>
      </c>
      <c r="H803" s="218">
        <v>1.2592000000000001</v>
      </c>
      <c r="I803" s="218">
        <v>1.7052</v>
      </c>
      <c r="J803" s="218">
        <v>1.6052</v>
      </c>
      <c r="K803" s="218">
        <v>1.3044</v>
      </c>
      <c r="L803" s="214"/>
      <c r="M803" s="214"/>
      <c r="N803" s="214"/>
      <c r="O803" s="214"/>
      <c r="P803" s="214"/>
      <c r="Q803" s="214"/>
      <c r="R803" s="214"/>
      <c r="S803" s="214"/>
      <c r="T803" s="214"/>
      <c r="U803" s="214"/>
      <c r="V803" s="214"/>
      <c r="W803" s="214"/>
      <c r="X803" s="214"/>
    </row>
    <row r="804" spans="1:24" ht="15.75" customHeight="1">
      <c r="A804" s="83"/>
      <c r="B804" s="218">
        <v>54.7</v>
      </c>
      <c r="C804" s="218">
        <v>14.81</v>
      </c>
      <c r="D804" s="218">
        <v>8.9999999999999998E-4</v>
      </c>
      <c r="E804" s="218">
        <v>1.32E-2</v>
      </c>
      <c r="F804" s="218">
        <v>278.99</v>
      </c>
      <c r="G804" s="218">
        <v>425.06</v>
      </c>
      <c r="H804" s="218">
        <v>1.2596000000000001</v>
      </c>
      <c r="I804" s="218">
        <v>1.7052</v>
      </c>
      <c r="J804" s="218">
        <v>1.6061000000000001</v>
      </c>
      <c r="K804" s="218">
        <v>1.3058000000000001</v>
      </c>
      <c r="L804" s="214"/>
      <c r="M804" s="214"/>
      <c r="N804" s="214"/>
      <c r="O804" s="214"/>
      <c r="P804" s="214"/>
      <c r="Q804" s="214"/>
      <c r="R804" s="214"/>
      <c r="S804" s="214"/>
      <c r="T804" s="214"/>
      <c r="U804" s="214"/>
      <c r="V804" s="214"/>
      <c r="W804" s="214"/>
      <c r="X804" s="214"/>
    </row>
    <row r="805" spans="1:24" ht="15.75" customHeight="1">
      <c r="A805" s="83"/>
      <c r="B805" s="218">
        <v>54.8</v>
      </c>
      <c r="C805" s="218">
        <v>14.84</v>
      </c>
      <c r="D805" s="218">
        <v>8.9999999999999998E-4</v>
      </c>
      <c r="E805" s="218">
        <v>1.32E-2</v>
      </c>
      <c r="F805" s="218">
        <v>279.14999999999998</v>
      </c>
      <c r="G805" s="218">
        <v>425.09</v>
      </c>
      <c r="H805" s="218">
        <v>1.2601</v>
      </c>
      <c r="I805" s="218">
        <v>1.7051000000000001</v>
      </c>
      <c r="J805" s="218">
        <v>1.607</v>
      </c>
      <c r="K805" s="218">
        <v>1.3070999999999999</v>
      </c>
      <c r="L805" s="214"/>
      <c r="M805" s="214"/>
      <c r="N805" s="214"/>
      <c r="O805" s="214"/>
      <c r="P805" s="214"/>
      <c r="Q805" s="214"/>
      <c r="R805" s="214"/>
      <c r="S805" s="214"/>
      <c r="T805" s="214"/>
      <c r="U805" s="214"/>
      <c r="V805" s="214"/>
      <c r="W805" s="214"/>
      <c r="X805" s="214"/>
    </row>
    <row r="806" spans="1:24" ht="15.75" customHeight="1">
      <c r="A806" s="83"/>
      <c r="B806" s="218">
        <v>54.9</v>
      </c>
      <c r="C806" s="218">
        <v>14.88</v>
      </c>
      <c r="D806" s="218">
        <v>8.9999999999999998E-4</v>
      </c>
      <c r="E806" s="218">
        <v>1.32E-2</v>
      </c>
      <c r="F806" s="218">
        <v>279.31</v>
      </c>
      <c r="G806" s="218">
        <v>425.12</v>
      </c>
      <c r="H806" s="218">
        <v>1.2605999999999999</v>
      </c>
      <c r="I806" s="218">
        <v>1.7051000000000001</v>
      </c>
      <c r="J806" s="218">
        <v>1.6079000000000001</v>
      </c>
      <c r="K806" s="218">
        <v>1.3085</v>
      </c>
      <c r="L806" s="214"/>
      <c r="M806" s="214"/>
      <c r="N806" s="214"/>
      <c r="O806" s="214"/>
      <c r="P806" s="214"/>
      <c r="Q806" s="214"/>
      <c r="R806" s="214"/>
      <c r="S806" s="214"/>
      <c r="T806" s="214"/>
      <c r="U806" s="214"/>
      <c r="V806" s="214"/>
      <c r="W806" s="214"/>
      <c r="X806" s="214"/>
    </row>
    <row r="807" spans="1:24" ht="15.75" customHeight="1">
      <c r="A807" s="83"/>
      <c r="B807" s="218">
        <v>55</v>
      </c>
      <c r="C807" s="218">
        <v>14.92</v>
      </c>
      <c r="D807" s="218">
        <v>8.9999999999999998E-4</v>
      </c>
      <c r="E807" s="218">
        <v>1.3100000000000001E-2</v>
      </c>
      <c r="F807" s="218">
        <v>279.47000000000003</v>
      </c>
      <c r="G807" s="218">
        <v>425.15</v>
      </c>
      <c r="H807" s="218">
        <v>1.2611000000000001</v>
      </c>
      <c r="I807" s="218">
        <v>1.7050000000000001</v>
      </c>
      <c r="J807" s="218">
        <v>1.6089</v>
      </c>
      <c r="K807" s="218">
        <v>1.3099000000000001</v>
      </c>
      <c r="L807" s="214"/>
      <c r="M807" s="214"/>
      <c r="N807" s="214"/>
      <c r="O807" s="214"/>
      <c r="P807" s="214"/>
      <c r="Q807" s="214"/>
      <c r="R807" s="214"/>
      <c r="S807" s="214"/>
      <c r="T807" s="214"/>
      <c r="U807" s="214"/>
      <c r="V807" s="214"/>
      <c r="W807" s="214"/>
      <c r="X807" s="214"/>
    </row>
    <row r="808" spans="1:24" ht="15.75" customHeight="1">
      <c r="A808" s="83"/>
      <c r="B808" s="218">
        <v>55.1</v>
      </c>
      <c r="C808" s="218">
        <v>14.95</v>
      </c>
      <c r="D808" s="218">
        <v>8.9999999999999998E-4</v>
      </c>
      <c r="E808" s="218">
        <v>1.3100000000000001E-2</v>
      </c>
      <c r="F808" s="218">
        <v>279.63</v>
      </c>
      <c r="G808" s="218">
        <v>425.19</v>
      </c>
      <c r="H808" s="218">
        <v>1.2615000000000001</v>
      </c>
      <c r="I808" s="218">
        <v>1.7050000000000001</v>
      </c>
      <c r="J808" s="218">
        <v>1.6097999999999999</v>
      </c>
      <c r="K808" s="218">
        <v>1.3112999999999999</v>
      </c>
      <c r="L808" s="214"/>
      <c r="M808" s="214"/>
      <c r="N808" s="214"/>
      <c r="O808" s="214"/>
      <c r="P808" s="214"/>
      <c r="Q808" s="214"/>
      <c r="R808" s="214"/>
      <c r="S808" s="214"/>
      <c r="T808" s="214"/>
      <c r="U808" s="214"/>
      <c r="V808" s="214"/>
      <c r="W808" s="214"/>
      <c r="X808" s="214"/>
    </row>
    <row r="809" spans="1:24" ht="15.75" customHeight="1">
      <c r="A809" s="83"/>
      <c r="B809" s="218">
        <v>55.2</v>
      </c>
      <c r="C809" s="218">
        <v>14.99</v>
      </c>
      <c r="D809" s="218">
        <v>8.9999999999999998E-4</v>
      </c>
      <c r="E809" s="218">
        <v>1.3100000000000001E-2</v>
      </c>
      <c r="F809" s="218">
        <v>279.79000000000002</v>
      </c>
      <c r="G809" s="218">
        <v>425.22</v>
      </c>
      <c r="H809" s="218">
        <v>1.262</v>
      </c>
      <c r="I809" s="218">
        <v>1.7049000000000001</v>
      </c>
      <c r="J809" s="218">
        <v>1.6107</v>
      </c>
      <c r="K809" s="218">
        <v>1.3127</v>
      </c>
      <c r="L809" s="214"/>
      <c r="M809" s="214"/>
      <c r="N809" s="214"/>
      <c r="O809" s="214"/>
      <c r="P809" s="214"/>
      <c r="Q809" s="214"/>
      <c r="R809" s="214"/>
      <c r="S809" s="214"/>
      <c r="T809" s="214"/>
      <c r="U809" s="214"/>
      <c r="V809" s="214"/>
      <c r="W809" s="214"/>
      <c r="X809" s="214"/>
    </row>
    <row r="810" spans="1:24" ht="15.75" customHeight="1">
      <c r="A810" s="83"/>
      <c r="B810" s="218">
        <v>55.3</v>
      </c>
      <c r="C810" s="218">
        <v>15.02</v>
      </c>
      <c r="D810" s="218">
        <v>8.9999999999999998E-4</v>
      </c>
      <c r="E810" s="218">
        <v>1.2999999999999999E-2</v>
      </c>
      <c r="F810" s="218">
        <v>279.95</v>
      </c>
      <c r="G810" s="218">
        <v>425.25</v>
      </c>
      <c r="H810" s="218">
        <v>1.2625</v>
      </c>
      <c r="I810" s="218">
        <v>1.7049000000000001</v>
      </c>
      <c r="J810" s="218">
        <v>1.6116999999999999</v>
      </c>
      <c r="K810" s="218">
        <v>1.3141</v>
      </c>
      <c r="L810" s="214"/>
      <c r="M810" s="214"/>
      <c r="N810" s="214"/>
      <c r="O810" s="214"/>
      <c r="P810" s="214"/>
      <c r="Q810" s="214"/>
      <c r="R810" s="214"/>
      <c r="S810" s="214"/>
      <c r="T810" s="214"/>
      <c r="U810" s="214"/>
      <c r="V810" s="214"/>
      <c r="W810" s="214"/>
      <c r="X810" s="214"/>
    </row>
    <row r="811" spans="1:24" ht="15.75" customHeight="1">
      <c r="A811" s="83"/>
      <c r="B811" s="218">
        <v>55.4</v>
      </c>
      <c r="C811" s="218">
        <v>15.06</v>
      </c>
      <c r="D811" s="218">
        <v>8.9999999999999998E-4</v>
      </c>
      <c r="E811" s="218">
        <v>1.2999999999999999E-2</v>
      </c>
      <c r="F811" s="218">
        <v>280.10000000000002</v>
      </c>
      <c r="G811" s="218">
        <v>425.28</v>
      </c>
      <c r="H811" s="218">
        <v>1.2629999999999999</v>
      </c>
      <c r="I811" s="218">
        <v>1.7048000000000001</v>
      </c>
      <c r="J811" s="218">
        <v>1.6126</v>
      </c>
      <c r="K811" s="218">
        <v>1.3154999999999999</v>
      </c>
      <c r="L811" s="214"/>
      <c r="M811" s="214"/>
      <c r="N811" s="214"/>
      <c r="O811" s="214"/>
      <c r="P811" s="214"/>
      <c r="Q811" s="214"/>
      <c r="R811" s="214"/>
      <c r="S811" s="214"/>
      <c r="T811" s="214"/>
      <c r="U811" s="214"/>
      <c r="V811" s="214"/>
      <c r="W811" s="214"/>
      <c r="X811" s="214"/>
    </row>
    <row r="812" spans="1:24" ht="15.75" customHeight="1">
      <c r="A812" s="83"/>
      <c r="B812" s="218">
        <v>55.5</v>
      </c>
      <c r="C812" s="218">
        <v>15.1</v>
      </c>
      <c r="D812" s="218">
        <v>8.9999999999999998E-4</v>
      </c>
      <c r="E812" s="218">
        <v>1.2999999999999999E-2</v>
      </c>
      <c r="F812" s="218">
        <v>280.26</v>
      </c>
      <c r="G812" s="218">
        <v>425.31</v>
      </c>
      <c r="H812" s="218">
        <v>1.2634000000000001</v>
      </c>
      <c r="I812" s="218">
        <v>1.7048000000000001</v>
      </c>
      <c r="J812" s="218">
        <v>1.6135999999999999</v>
      </c>
      <c r="K812" s="218">
        <v>1.3169</v>
      </c>
      <c r="L812" s="214"/>
      <c r="M812" s="214"/>
      <c r="N812" s="214"/>
      <c r="O812" s="214"/>
      <c r="P812" s="214"/>
      <c r="Q812" s="214"/>
      <c r="R812" s="214"/>
      <c r="S812" s="214"/>
      <c r="T812" s="214"/>
      <c r="U812" s="214"/>
      <c r="V812" s="214"/>
      <c r="W812" s="214"/>
      <c r="X812" s="214"/>
    </row>
    <row r="813" spans="1:24" ht="15.75" customHeight="1">
      <c r="A813" s="83"/>
      <c r="B813" s="218">
        <v>55.6</v>
      </c>
      <c r="C813" s="218">
        <v>15.13</v>
      </c>
      <c r="D813" s="218">
        <v>8.9999999999999998E-4</v>
      </c>
      <c r="E813" s="218">
        <v>1.29E-2</v>
      </c>
      <c r="F813" s="218">
        <v>280.42</v>
      </c>
      <c r="G813" s="218">
        <v>425.34</v>
      </c>
      <c r="H813" s="218">
        <v>1.2639</v>
      </c>
      <c r="I813" s="218">
        <v>1.7047000000000001</v>
      </c>
      <c r="J813" s="218">
        <v>1.6145</v>
      </c>
      <c r="K813" s="218">
        <v>1.3184</v>
      </c>
      <c r="L813" s="214"/>
      <c r="M813" s="214"/>
      <c r="N813" s="214"/>
      <c r="O813" s="214"/>
      <c r="P813" s="214"/>
      <c r="Q813" s="214"/>
      <c r="R813" s="214"/>
      <c r="S813" s="214"/>
      <c r="T813" s="214"/>
      <c r="U813" s="214"/>
      <c r="V813" s="214"/>
      <c r="W813" s="214"/>
      <c r="X813" s="214"/>
    </row>
    <row r="814" spans="1:24" ht="15.75" customHeight="1">
      <c r="A814" s="83"/>
      <c r="B814" s="218">
        <v>55.7</v>
      </c>
      <c r="C814" s="218">
        <v>15.17</v>
      </c>
      <c r="D814" s="218">
        <v>8.9999999999999998E-4</v>
      </c>
      <c r="E814" s="218">
        <v>1.29E-2</v>
      </c>
      <c r="F814" s="218">
        <v>280.58</v>
      </c>
      <c r="G814" s="218">
        <v>425.38</v>
      </c>
      <c r="H814" s="218">
        <v>1.2644</v>
      </c>
      <c r="I814" s="218">
        <v>1.7047000000000001</v>
      </c>
      <c r="J814" s="218">
        <v>1.6154999999999999</v>
      </c>
      <c r="K814" s="218">
        <v>1.3198000000000001</v>
      </c>
      <c r="L814" s="214"/>
      <c r="M814" s="214"/>
      <c r="N814" s="214"/>
      <c r="O814" s="214"/>
      <c r="P814" s="214"/>
      <c r="Q814" s="214"/>
      <c r="R814" s="214"/>
      <c r="S814" s="214"/>
      <c r="T814" s="214"/>
      <c r="U814" s="214"/>
      <c r="V814" s="214"/>
      <c r="W814" s="214"/>
      <c r="X814" s="214"/>
    </row>
    <row r="815" spans="1:24" ht="15.75" customHeight="1">
      <c r="A815" s="83"/>
      <c r="B815" s="218">
        <v>55.8</v>
      </c>
      <c r="C815" s="218">
        <v>15.21</v>
      </c>
      <c r="D815" s="218">
        <v>8.9999999999999998E-4</v>
      </c>
      <c r="E815" s="218">
        <v>1.29E-2</v>
      </c>
      <c r="F815" s="218">
        <v>280.74</v>
      </c>
      <c r="G815" s="218">
        <v>425.41</v>
      </c>
      <c r="H815" s="218">
        <v>1.2647999999999999</v>
      </c>
      <c r="I815" s="218">
        <v>1.7045999999999999</v>
      </c>
      <c r="J815" s="218">
        <v>1.6164000000000001</v>
      </c>
      <c r="K815" s="218">
        <v>1.3211999999999999</v>
      </c>
      <c r="L815" s="214"/>
      <c r="M815" s="214"/>
      <c r="N815" s="214"/>
      <c r="O815" s="214"/>
      <c r="P815" s="214"/>
      <c r="Q815" s="214"/>
      <c r="R815" s="214"/>
      <c r="S815" s="214"/>
      <c r="T815" s="214"/>
      <c r="U815" s="214"/>
      <c r="V815" s="214"/>
      <c r="W815" s="214"/>
      <c r="X815" s="214"/>
    </row>
    <row r="816" spans="1:24" ht="15.75" customHeight="1">
      <c r="A816" s="83"/>
      <c r="B816" s="218">
        <v>55.9</v>
      </c>
      <c r="C816" s="218">
        <v>15.25</v>
      </c>
      <c r="D816" s="218">
        <v>8.9999999999999998E-4</v>
      </c>
      <c r="E816" s="218">
        <v>1.2800000000000001E-2</v>
      </c>
      <c r="F816" s="218">
        <v>280.89999999999998</v>
      </c>
      <c r="G816" s="218">
        <v>425.44</v>
      </c>
      <c r="H816" s="218">
        <v>1.2653000000000001</v>
      </c>
      <c r="I816" s="218">
        <v>1.7045999999999999</v>
      </c>
      <c r="J816" s="218">
        <v>1.6173999999999999</v>
      </c>
      <c r="K816" s="218">
        <v>1.3227</v>
      </c>
      <c r="L816" s="214"/>
      <c r="M816" s="214"/>
      <c r="N816" s="214"/>
      <c r="O816" s="214"/>
      <c r="P816" s="214"/>
      <c r="Q816" s="214"/>
      <c r="R816" s="214"/>
      <c r="S816" s="214"/>
      <c r="T816" s="214"/>
      <c r="U816" s="214"/>
      <c r="V816" s="214"/>
      <c r="W816" s="214"/>
      <c r="X816" s="214"/>
    </row>
    <row r="817" spans="1:24" ht="15.75" customHeight="1">
      <c r="A817" s="83"/>
      <c r="B817" s="218">
        <v>56</v>
      </c>
      <c r="C817" s="218">
        <v>15.28</v>
      </c>
      <c r="D817" s="218">
        <v>8.9999999999999998E-4</v>
      </c>
      <c r="E817" s="218">
        <v>1.2800000000000001E-2</v>
      </c>
      <c r="F817" s="218">
        <v>281.06</v>
      </c>
      <c r="G817" s="218">
        <v>425.47</v>
      </c>
      <c r="H817" s="218">
        <v>1.2658</v>
      </c>
      <c r="I817" s="218">
        <v>1.7044999999999999</v>
      </c>
      <c r="J817" s="218">
        <v>1.6184000000000001</v>
      </c>
      <c r="K817" s="218">
        <v>1.3241000000000001</v>
      </c>
      <c r="L817" s="214"/>
      <c r="M817" s="214"/>
      <c r="N817" s="214"/>
      <c r="O817" s="214"/>
      <c r="P817" s="214"/>
      <c r="Q817" s="214"/>
      <c r="R817" s="214"/>
      <c r="S817" s="214"/>
      <c r="T817" s="214"/>
      <c r="U817" s="214"/>
      <c r="V817" s="214"/>
      <c r="W817" s="214"/>
      <c r="X817" s="214"/>
    </row>
    <row r="818" spans="1:24" ht="15.75" customHeight="1">
      <c r="A818" s="83"/>
      <c r="B818" s="218">
        <v>56.1</v>
      </c>
      <c r="C818" s="218">
        <v>15.32</v>
      </c>
      <c r="D818" s="218">
        <v>8.9999999999999998E-4</v>
      </c>
      <c r="E818" s="218">
        <v>1.2699999999999999E-2</v>
      </c>
      <c r="F818" s="218">
        <v>281.22000000000003</v>
      </c>
      <c r="G818" s="218">
        <v>425.5</v>
      </c>
      <c r="H818" s="218">
        <v>1.2663</v>
      </c>
      <c r="I818" s="218">
        <v>1.7044999999999999</v>
      </c>
      <c r="J818" s="218">
        <v>1.6193</v>
      </c>
      <c r="K818" s="218">
        <v>1.3255999999999999</v>
      </c>
      <c r="L818" s="214"/>
      <c r="M818" s="214"/>
      <c r="N818" s="214"/>
      <c r="O818" s="214"/>
      <c r="P818" s="214"/>
      <c r="Q818" s="214"/>
      <c r="R818" s="214"/>
      <c r="S818" s="214"/>
      <c r="T818" s="214"/>
      <c r="U818" s="214"/>
      <c r="V818" s="214"/>
      <c r="W818" s="214"/>
      <c r="X818" s="214"/>
    </row>
    <row r="819" spans="1:24" ht="15.75" customHeight="1">
      <c r="A819" s="83"/>
      <c r="B819" s="218">
        <v>56.2</v>
      </c>
      <c r="C819" s="218">
        <v>15.36</v>
      </c>
      <c r="D819" s="218">
        <v>8.9999999999999998E-4</v>
      </c>
      <c r="E819" s="218">
        <v>1.2699999999999999E-2</v>
      </c>
      <c r="F819" s="218">
        <v>281.38</v>
      </c>
      <c r="G819" s="218">
        <v>425.53</v>
      </c>
      <c r="H819" s="218">
        <v>1.2666999999999999</v>
      </c>
      <c r="I819" s="218">
        <v>1.7043999999999999</v>
      </c>
      <c r="J819" s="218">
        <v>1.6203000000000001</v>
      </c>
      <c r="K819" s="218">
        <v>1.327</v>
      </c>
      <c r="L819" s="214"/>
      <c r="M819" s="214"/>
      <c r="N819" s="214"/>
      <c r="O819" s="214"/>
      <c r="P819" s="214"/>
      <c r="Q819" s="214"/>
      <c r="R819" s="214"/>
      <c r="S819" s="214"/>
      <c r="T819" s="214"/>
      <c r="U819" s="214"/>
      <c r="V819" s="214"/>
      <c r="W819" s="214"/>
      <c r="X819" s="214"/>
    </row>
    <row r="820" spans="1:24" ht="15.75" customHeight="1">
      <c r="A820" s="83"/>
      <c r="B820" s="218">
        <v>56.3</v>
      </c>
      <c r="C820" s="218">
        <v>15.39</v>
      </c>
      <c r="D820" s="218">
        <v>8.9999999999999998E-4</v>
      </c>
      <c r="E820" s="218">
        <v>1.2699999999999999E-2</v>
      </c>
      <c r="F820" s="218">
        <v>281.54000000000002</v>
      </c>
      <c r="G820" s="218">
        <v>425.56</v>
      </c>
      <c r="H820" s="218">
        <v>1.2672000000000001</v>
      </c>
      <c r="I820" s="218">
        <v>1.7043999999999999</v>
      </c>
      <c r="J820" s="218">
        <v>1.6213</v>
      </c>
      <c r="K820" s="218">
        <v>1.3285</v>
      </c>
      <c r="L820" s="214"/>
      <c r="M820" s="214"/>
      <c r="N820" s="214"/>
      <c r="O820" s="214"/>
      <c r="P820" s="214"/>
      <c r="Q820" s="214"/>
      <c r="R820" s="214"/>
      <c r="S820" s="214"/>
      <c r="T820" s="214"/>
      <c r="U820" s="214"/>
      <c r="V820" s="214"/>
      <c r="W820" s="214"/>
      <c r="X820" s="214"/>
    </row>
    <row r="821" spans="1:24" ht="15.75" customHeight="1">
      <c r="A821" s="83"/>
      <c r="B821" s="218">
        <v>56.4</v>
      </c>
      <c r="C821" s="218">
        <v>15.43</v>
      </c>
      <c r="D821" s="218">
        <v>8.9999999999999998E-4</v>
      </c>
      <c r="E821" s="218">
        <v>1.26E-2</v>
      </c>
      <c r="F821" s="218">
        <v>281.7</v>
      </c>
      <c r="G821" s="218">
        <v>425.59</v>
      </c>
      <c r="H821" s="218">
        <v>1.2677</v>
      </c>
      <c r="I821" s="218">
        <v>1.7042999999999999</v>
      </c>
      <c r="J821" s="218">
        <v>1.6223000000000001</v>
      </c>
      <c r="K821" s="218">
        <v>1.3299000000000001</v>
      </c>
      <c r="L821" s="214"/>
      <c r="M821" s="214"/>
      <c r="N821" s="214"/>
      <c r="O821" s="214"/>
      <c r="P821" s="214"/>
      <c r="Q821" s="214"/>
      <c r="R821" s="214"/>
      <c r="S821" s="214"/>
      <c r="T821" s="214"/>
      <c r="U821" s="214"/>
      <c r="V821" s="214"/>
      <c r="W821" s="214"/>
      <c r="X821" s="214"/>
    </row>
    <row r="822" spans="1:24" ht="15.75" customHeight="1">
      <c r="A822" s="83"/>
      <c r="B822" s="218">
        <v>56.5</v>
      </c>
      <c r="C822" s="218">
        <v>15.47</v>
      </c>
      <c r="D822" s="218">
        <v>8.9999999999999998E-4</v>
      </c>
      <c r="E822" s="218">
        <v>1.26E-2</v>
      </c>
      <c r="F822" s="218">
        <v>281.86</v>
      </c>
      <c r="G822" s="218">
        <v>425.62</v>
      </c>
      <c r="H822" s="218">
        <v>1.2682</v>
      </c>
      <c r="I822" s="218">
        <v>1.7042999999999999</v>
      </c>
      <c r="J822" s="218">
        <v>1.6232</v>
      </c>
      <c r="K822" s="218">
        <v>1.3313999999999999</v>
      </c>
      <c r="L822" s="214"/>
      <c r="M822" s="214"/>
      <c r="N822" s="214"/>
      <c r="O822" s="214"/>
      <c r="P822" s="214"/>
      <c r="Q822" s="214"/>
      <c r="R822" s="214"/>
      <c r="S822" s="214"/>
      <c r="T822" s="214"/>
      <c r="U822" s="214"/>
      <c r="V822" s="214"/>
      <c r="W822" s="214"/>
      <c r="X822" s="214"/>
    </row>
    <row r="823" spans="1:24" ht="15.75" customHeight="1">
      <c r="A823" s="83"/>
      <c r="B823" s="218">
        <v>56.6</v>
      </c>
      <c r="C823" s="218">
        <v>15.51</v>
      </c>
      <c r="D823" s="218">
        <v>8.9999999999999998E-4</v>
      </c>
      <c r="E823" s="218">
        <v>1.26E-2</v>
      </c>
      <c r="F823" s="218">
        <v>282.02</v>
      </c>
      <c r="G823" s="218">
        <v>425.65</v>
      </c>
      <c r="H823" s="218">
        <v>1.2685999999999999</v>
      </c>
      <c r="I823" s="218">
        <v>1.7041999999999999</v>
      </c>
      <c r="J823" s="218">
        <v>1.6242000000000001</v>
      </c>
      <c r="K823" s="218">
        <v>1.3329</v>
      </c>
      <c r="L823" s="214"/>
      <c r="M823" s="214"/>
      <c r="N823" s="214"/>
      <c r="O823" s="214"/>
      <c r="P823" s="214"/>
      <c r="Q823" s="214"/>
      <c r="R823" s="214"/>
      <c r="S823" s="214"/>
      <c r="T823" s="214"/>
      <c r="U823" s="214"/>
      <c r="V823" s="214"/>
      <c r="W823" s="214"/>
      <c r="X823" s="214"/>
    </row>
    <row r="824" spans="1:24" ht="15.75" customHeight="1">
      <c r="A824" s="83"/>
      <c r="B824" s="218">
        <v>56.7</v>
      </c>
      <c r="C824" s="218">
        <v>15.54</v>
      </c>
      <c r="D824" s="218">
        <v>8.9999999999999998E-4</v>
      </c>
      <c r="E824" s="218">
        <v>1.2500000000000001E-2</v>
      </c>
      <c r="F824" s="218">
        <v>282.18</v>
      </c>
      <c r="G824" s="218">
        <v>425.68</v>
      </c>
      <c r="H824" s="218">
        <v>1.2690999999999999</v>
      </c>
      <c r="I824" s="218">
        <v>1.7041999999999999</v>
      </c>
      <c r="J824" s="218">
        <v>1.6252</v>
      </c>
      <c r="K824" s="218">
        <v>1.3344</v>
      </c>
      <c r="L824" s="214"/>
      <c r="M824" s="214"/>
      <c r="N824" s="214"/>
      <c r="O824" s="214"/>
      <c r="P824" s="214"/>
      <c r="Q824" s="214"/>
      <c r="R824" s="214"/>
      <c r="S824" s="214"/>
      <c r="T824" s="214"/>
      <c r="U824" s="214"/>
      <c r="V824" s="214"/>
      <c r="W824" s="214"/>
      <c r="X824" s="214"/>
    </row>
    <row r="825" spans="1:24" ht="15.75" customHeight="1">
      <c r="A825" s="83"/>
      <c r="B825" s="218">
        <v>56.8</v>
      </c>
      <c r="C825" s="218">
        <v>15.58</v>
      </c>
      <c r="D825" s="218">
        <v>8.9999999999999998E-4</v>
      </c>
      <c r="E825" s="218">
        <v>1.2500000000000001E-2</v>
      </c>
      <c r="F825" s="218">
        <v>282.33999999999997</v>
      </c>
      <c r="G825" s="218">
        <v>425.71</v>
      </c>
      <c r="H825" s="218">
        <v>1.2696000000000001</v>
      </c>
      <c r="I825" s="218">
        <v>1.7040999999999999</v>
      </c>
      <c r="J825" s="218">
        <v>1.6262000000000001</v>
      </c>
      <c r="K825" s="218">
        <v>1.3359000000000001</v>
      </c>
      <c r="L825" s="214"/>
      <c r="M825" s="214"/>
      <c r="N825" s="214"/>
      <c r="O825" s="214"/>
      <c r="P825" s="214"/>
      <c r="Q825" s="214"/>
      <c r="R825" s="214"/>
      <c r="S825" s="214"/>
      <c r="T825" s="214"/>
      <c r="U825" s="214"/>
      <c r="V825" s="214"/>
      <c r="W825" s="214"/>
      <c r="X825" s="214"/>
    </row>
    <row r="826" spans="1:24" ht="15.75" customHeight="1">
      <c r="A826" s="83"/>
      <c r="B826" s="218">
        <v>56.9</v>
      </c>
      <c r="C826" s="218">
        <v>15.62</v>
      </c>
      <c r="D826" s="218">
        <v>8.9999999999999998E-4</v>
      </c>
      <c r="E826" s="218">
        <v>1.2500000000000001E-2</v>
      </c>
      <c r="F826" s="218">
        <v>282.5</v>
      </c>
      <c r="G826" s="218">
        <v>425.74</v>
      </c>
      <c r="H826" s="218">
        <v>1.2701</v>
      </c>
      <c r="I826" s="218">
        <v>1.7040999999999999</v>
      </c>
      <c r="J826" s="218">
        <v>1.6272</v>
      </c>
      <c r="K826" s="218">
        <v>1.3373999999999999</v>
      </c>
      <c r="L826" s="214"/>
      <c r="M826" s="214"/>
      <c r="N826" s="214"/>
      <c r="O826" s="214"/>
      <c r="P826" s="214"/>
      <c r="Q826" s="214"/>
      <c r="R826" s="214"/>
      <c r="S826" s="214"/>
      <c r="T826" s="214"/>
      <c r="U826" s="214"/>
      <c r="V826" s="214"/>
      <c r="W826" s="214"/>
      <c r="X826" s="214"/>
    </row>
    <row r="827" spans="1:24" ht="15.75" customHeight="1">
      <c r="A827" s="83"/>
      <c r="B827" s="218">
        <v>57</v>
      </c>
      <c r="C827" s="218">
        <v>15.66</v>
      </c>
      <c r="D827" s="218">
        <v>8.9999999999999998E-4</v>
      </c>
      <c r="E827" s="218">
        <v>1.24E-2</v>
      </c>
      <c r="F827" s="218">
        <v>282.66000000000003</v>
      </c>
      <c r="G827" s="218">
        <v>425.77</v>
      </c>
      <c r="H827" s="218">
        <v>1.2705</v>
      </c>
      <c r="I827" s="218">
        <v>1.704</v>
      </c>
      <c r="J827" s="218">
        <v>1.6282000000000001</v>
      </c>
      <c r="K827" s="218">
        <v>1.3389</v>
      </c>
      <c r="L827" s="214"/>
      <c r="M827" s="214"/>
      <c r="N827" s="214"/>
      <c r="O827" s="214"/>
      <c r="P827" s="214"/>
      <c r="Q827" s="214"/>
      <c r="R827" s="214"/>
      <c r="S827" s="214"/>
      <c r="T827" s="214"/>
      <c r="U827" s="214"/>
      <c r="V827" s="214"/>
      <c r="W827" s="214"/>
      <c r="X827" s="214"/>
    </row>
    <row r="828" spans="1:24" ht="15.75" customHeight="1">
      <c r="A828" s="83"/>
      <c r="B828" s="218">
        <v>57.1</v>
      </c>
      <c r="C828" s="218">
        <v>15.69</v>
      </c>
      <c r="D828" s="218">
        <v>8.9999999999999998E-4</v>
      </c>
      <c r="E828" s="218">
        <v>1.24E-2</v>
      </c>
      <c r="F828" s="218">
        <v>282.82</v>
      </c>
      <c r="G828" s="218">
        <v>425.8</v>
      </c>
      <c r="H828" s="218">
        <v>1.2709999999999999</v>
      </c>
      <c r="I828" s="218">
        <v>1.704</v>
      </c>
      <c r="J828" s="218">
        <v>1.6292</v>
      </c>
      <c r="K828" s="218">
        <v>1.3404</v>
      </c>
      <c r="L828" s="214"/>
      <c r="M828" s="214"/>
      <c r="N828" s="214"/>
      <c r="O828" s="214"/>
      <c r="P828" s="214"/>
      <c r="Q828" s="214"/>
      <c r="R828" s="214"/>
      <c r="S828" s="214"/>
      <c r="T828" s="214"/>
      <c r="U828" s="214"/>
      <c r="V828" s="214"/>
      <c r="W828" s="214"/>
      <c r="X828" s="214"/>
    </row>
    <row r="829" spans="1:24" ht="15.75" customHeight="1">
      <c r="A829" s="83"/>
      <c r="B829" s="218">
        <v>57.2</v>
      </c>
      <c r="C829" s="218">
        <v>15.73</v>
      </c>
      <c r="D829" s="218">
        <v>8.9999999999999998E-4</v>
      </c>
      <c r="E829" s="218">
        <v>1.24E-2</v>
      </c>
      <c r="F829" s="218">
        <v>282.98</v>
      </c>
      <c r="G829" s="218">
        <v>425.83</v>
      </c>
      <c r="H829" s="218">
        <v>1.2715000000000001</v>
      </c>
      <c r="I829" s="218">
        <v>1.7039</v>
      </c>
      <c r="J829" s="218">
        <v>1.6302000000000001</v>
      </c>
      <c r="K829" s="218">
        <v>1.3419000000000001</v>
      </c>
      <c r="L829" s="214"/>
      <c r="M829" s="214"/>
      <c r="N829" s="214"/>
      <c r="O829" s="214"/>
      <c r="P829" s="214"/>
      <c r="Q829" s="214"/>
      <c r="R829" s="214"/>
      <c r="S829" s="214"/>
      <c r="T829" s="214"/>
      <c r="U829" s="214"/>
      <c r="V829" s="214"/>
      <c r="W829" s="214"/>
      <c r="X829" s="214"/>
    </row>
    <row r="830" spans="1:24" ht="15.75" customHeight="1">
      <c r="A830" s="83"/>
      <c r="B830" s="218">
        <v>57.3</v>
      </c>
      <c r="C830" s="218">
        <v>15.77</v>
      </c>
      <c r="D830" s="218">
        <v>8.9999999999999998E-4</v>
      </c>
      <c r="E830" s="218">
        <v>1.23E-2</v>
      </c>
      <c r="F830" s="218">
        <v>283.14</v>
      </c>
      <c r="G830" s="218">
        <v>425.86</v>
      </c>
      <c r="H830" s="218">
        <v>1.272</v>
      </c>
      <c r="I830" s="218">
        <v>1.7039</v>
      </c>
      <c r="J830" s="218">
        <v>1.6312</v>
      </c>
      <c r="K830" s="218">
        <v>1.3433999999999999</v>
      </c>
      <c r="L830" s="214"/>
      <c r="M830" s="214"/>
      <c r="N830" s="214"/>
      <c r="O830" s="214"/>
      <c r="P830" s="214"/>
      <c r="Q830" s="214"/>
      <c r="R830" s="214"/>
      <c r="S830" s="214"/>
      <c r="T830" s="214"/>
      <c r="U830" s="214"/>
      <c r="V830" s="214"/>
      <c r="W830" s="214"/>
      <c r="X830" s="214"/>
    </row>
    <row r="831" spans="1:24" ht="15.75" customHeight="1">
      <c r="A831" s="83"/>
      <c r="B831" s="218">
        <v>57.4</v>
      </c>
      <c r="C831" s="218">
        <v>15.81</v>
      </c>
      <c r="D831" s="218">
        <v>8.9999999999999998E-4</v>
      </c>
      <c r="E831" s="218">
        <v>1.23E-2</v>
      </c>
      <c r="F831" s="218">
        <v>283.3</v>
      </c>
      <c r="G831" s="218">
        <v>425.89</v>
      </c>
      <c r="H831" s="218">
        <v>1.2724</v>
      </c>
      <c r="I831" s="218">
        <v>1.7038</v>
      </c>
      <c r="J831" s="218">
        <v>1.6323000000000001</v>
      </c>
      <c r="K831" s="218">
        <v>1.3449</v>
      </c>
      <c r="L831" s="214"/>
      <c r="M831" s="214"/>
      <c r="N831" s="214"/>
      <c r="O831" s="214"/>
      <c r="P831" s="214"/>
      <c r="Q831" s="214"/>
      <c r="R831" s="214"/>
      <c r="S831" s="214"/>
      <c r="T831" s="214"/>
      <c r="U831" s="214"/>
      <c r="V831" s="214"/>
      <c r="W831" s="214"/>
      <c r="X831" s="214"/>
    </row>
    <row r="832" spans="1:24" ht="15.75" customHeight="1">
      <c r="A832" s="83"/>
      <c r="B832" s="218">
        <v>57.5</v>
      </c>
      <c r="C832" s="218">
        <v>15.84</v>
      </c>
      <c r="D832" s="218">
        <v>8.9999999999999998E-4</v>
      </c>
      <c r="E832" s="218">
        <v>1.23E-2</v>
      </c>
      <c r="F832" s="218">
        <v>283.45999999999998</v>
      </c>
      <c r="G832" s="218">
        <v>425.92</v>
      </c>
      <c r="H832" s="218">
        <v>1.2728999999999999</v>
      </c>
      <c r="I832" s="218">
        <v>1.7038</v>
      </c>
      <c r="J832" s="218">
        <v>1.6333</v>
      </c>
      <c r="K832" s="218">
        <v>1.3464</v>
      </c>
      <c r="L832" s="214"/>
      <c r="M832" s="214"/>
      <c r="N832" s="214"/>
      <c r="O832" s="214"/>
      <c r="P832" s="214"/>
      <c r="Q832" s="214"/>
      <c r="R832" s="214"/>
      <c r="S832" s="214"/>
      <c r="T832" s="214"/>
      <c r="U832" s="214"/>
      <c r="V832" s="214"/>
      <c r="W832" s="214"/>
      <c r="X832" s="214"/>
    </row>
    <row r="833" spans="1:24" ht="15.75" customHeight="1">
      <c r="A833" s="83"/>
      <c r="B833" s="218">
        <v>57.6</v>
      </c>
      <c r="C833" s="218">
        <v>15.88</v>
      </c>
      <c r="D833" s="218">
        <v>8.9999999999999998E-4</v>
      </c>
      <c r="E833" s="218">
        <v>1.2200000000000001E-2</v>
      </c>
      <c r="F833" s="218">
        <v>283.62</v>
      </c>
      <c r="G833" s="218">
        <v>425.95</v>
      </c>
      <c r="H833" s="218">
        <v>1.2734000000000001</v>
      </c>
      <c r="I833" s="218">
        <v>1.7037</v>
      </c>
      <c r="J833" s="218">
        <v>1.6343000000000001</v>
      </c>
      <c r="K833" s="218">
        <v>1.3480000000000001</v>
      </c>
      <c r="L833" s="214"/>
      <c r="M833" s="214"/>
      <c r="N833" s="214"/>
      <c r="O833" s="214"/>
      <c r="P833" s="214"/>
      <c r="Q833" s="214"/>
      <c r="R833" s="214"/>
      <c r="S833" s="214"/>
      <c r="T833" s="214"/>
      <c r="U833" s="214"/>
      <c r="V833" s="214"/>
      <c r="W833" s="214"/>
      <c r="X833" s="214"/>
    </row>
    <row r="834" spans="1:24" ht="15.75" customHeight="1">
      <c r="A834" s="83"/>
      <c r="B834" s="218">
        <v>57.7</v>
      </c>
      <c r="C834" s="218">
        <v>15.92</v>
      </c>
      <c r="D834" s="218">
        <v>8.9999999999999998E-4</v>
      </c>
      <c r="E834" s="218">
        <v>1.2200000000000001E-2</v>
      </c>
      <c r="F834" s="218">
        <v>283.77999999999997</v>
      </c>
      <c r="G834" s="218">
        <v>425.98</v>
      </c>
      <c r="H834" s="218">
        <v>1.2739</v>
      </c>
      <c r="I834" s="218">
        <v>1.7037</v>
      </c>
      <c r="J834" s="218">
        <v>1.6353</v>
      </c>
      <c r="K834" s="218">
        <v>1.3494999999999999</v>
      </c>
      <c r="L834" s="214"/>
      <c r="M834" s="214"/>
      <c r="N834" s="214"/>
      <c r="O834" s="214"/>
      <c r="P834" s="214"/>
      <c r="Q834" s="214"/>
      <c r="R834" s="214"/>
      <c r="S834" s="214"/>
      <c r="T834" s="214"/>
      <c r="U834" s="214"/>
      <c r="V834" s="214"/>
      <c r="W834" s="214"/>
      <c r="X834" s="214"/>
    </row>
    <row r="835" spans="1:24" ht="15.75" customHeight="1">
      <c r="A835" s="83"/>
      <c r="B835" s="218">
        <v>57.8</v>
      </c>
      <c r="C835" s="218">
        <v>15.96</v>
      </c>
      <c r="D835" s="218">
        <v>8.9999999999999998E-4</v>
      </c>
      <c r="E835" s="218">
        <v>1.2200000000000001E-2</v>
      </c>
      <c r="F835" s="218">
        <v>283.94</v>
      </c>
      <c r="G835" s="218">
        <v>426.01</v>
      </c>
      <c r="H835" s="218">
        <v>1.2743</v>
      </c>
      <c r="I835" s="218">
        <v>1.7036</v>
      </c>
      <c r="J835" s="218">
        <v>1.6364000000000001</v>
      </c>
      <c r="K835" s="218">
        <v>1.3511</v>
      </c>
      <c r="L835" s="214"/>
      <c r="M835" s="214"/>
      <c r="N835" s="214"/>
      <c r="O835" s="214"/>
      <c r="P835" s="214"/>
      <c r="Q835" s="214"/>
      <c r="R835" s="214"/>
      <c r="S835" s="214"/>
      <c r="T835" s="214"/>
      <c r="U835" s="214"/>
      <c r="V835" s="214"/>
      <c r="W835" s="214"/>
      <c r="X835" s="214"/>
    </row>
    <row r="836" spans="1:24" ht="15.75" customHeight="1">
      <c r="A836" s="83"/>
      <c r="B836" s="218">
        <v>57.9</v>
      </c>
      <c r="C836" s="218">
        <v>16</v>
      </c>
      <c r="D836" s="218">
        <v>8.9999999999999998E-4</v>
      </c>
      <c r="E836" s="218">
        <v>1.21E-2</v>
      </c>
      <c r="F836" s="218">
        <v>284.10000000000002</v>
      </c>
      <c r="G836" s="218">
        <v>426.04</v>
      </c>
      <c r="H836" s="218">
        <v>1.2747999999999999</v>
      </c>
      <c r="I836" s="218">
        <v>1.7036</v>
      </c>
      <c r="J836" s="218">
        <v>1.6374</v>
      </c>
      <c r="K836" s="218">
        <v>1.3526</v>
      </c>
      <c r="L836" s="214"/>
      <c r="M836" s="214"/>
      <c r="N836" s="214"/>
      <c r="O836" s="214"/>
      <c r="P836" s="214"/>
      <c r="Q836" s="214"/>
      <c r="R836" s="214"/>
      <c r="S836" s="214"/>
      <c r="T836" s="214"/>
      <c r="U836" s="214"/>
      <c r="V836" s="214"/>
      <c r="W836" s="214"/>
      <c r="X836" s="214"/>
    </row>
    <row r="837" spans="1:24" ht="15.75" customHeight="1">
      <c r="A837" s="83"/>
      <c r="B837" s="218">
        <v>58</v>
      </c>
      <c r="C837" s="218">
        <v>16.04</v>
      </c>
      <c r="D837" s="218">
        <v>8.9999999999999998E-4</v>
      </c>
      <c r="E837" s="218">
        <v>1.21E-2</v>
      </c>
      <c r="F837" s="218">
        <v>284.27</v>
      </c>
      <c r="G837" s="218">
        <v>426.07</v>
      </c>
      <c r="H837" s="218">
        <v>1.2753000000000001</v>
      </c>
      <c r="I837" s="218">
        <v>1.7035</v>
      </c>
      <c r="J837" s="218">
        <v>1.6384000000000001</v>
      </c>
      <c r="K837" s="218">
        <v>1.3542000000000001</v>
      </c>
      <c r="L837" s="214"/>
      <c r="M837" s="214"/>
      <c r="N837" s="214"/>
      <c r="O837" s="214"/>
      <c r="P837" s="214"/>
      <c r="Q837" s="214"/>
      <c r="R837" s="214"/>
      <c r="S837" s="214"/>
      <c r="T837" s="214"/>
      <c r="U837" s="214"/>
      <c r="V837" s="214"/>
      <c r="W837" s="214"/>
      <c r="X837" s="214"/>
    </row>
    <row r="838" spans="1:24" ht="15.75" customHeight="1">
      <c r="A838" s="83"/>
      <c r="B838" s="218">
        <v>58.1</v>
      </c>
      <c r="C838" s="218">
        <v>16.07</v>
      </c>
      <c r="D838" s="218">
        <v>8.9999999999999998E-4</v>
      </c>
      <c r="E838" s="218">
        <v>1.21E-2</v>
      </c>
      <c r="F838" s="218">
        <v>284.43</v>
      </c>
      <c r="G838" s="218">
        <v>426.1</v>
      </c>
      <c r="H838" s="218">
        <v>1.2758</v>
      </c>
      <c r="I838" s="218">
        <v>1.7035</v>
      </c>
      <c r="J838" s="218">
        <v>1.6395</v>
      </c>
      <c r="K838" s="218">
        <v>1.3557999999999999</v>
      </c>
      <c r="L838" s="214"/>
      <c r="M838" s="214"/>
      <c r="N838" s="214"/>
      <c r="O838" s="214"/>
      <c r="P838" s="214"/>
      <c r="Q838" s="214"/>
      <c r="R838" s="214"/>
      <c r="S838" s="214"/>
      <c r="T838" s="214"/>
      <c r="U838" s="214"/>
      <c r="V838" s="214"/>
      <c r="W838" s="214"/>
      <c r="X838" s="214"/>
    </row>
    <row r="839" spans="1:24" ht="15.75" customHeight="1">
      <c r="A839" s="83"/>
      <c r="B839" s="218">
        <v>58.2</v>
      </c>
      <c r="C839" s="218">
        <v>16.11</v>
      </c>
      <c r="D839" s="218">
        <v>8.9999999999999998E-4</v>
      </c>
      <c r="E839" s="218">
        <v>1.2E-2</v>
      </c>
      <c r="F839" s="218">
        <v>284.58999999999997</v>
      </c>
      <c r="G839" s="218">
        <v>426.13</v>
      </c>
      <c r="H839" s="218">
        <v>1.2762</v>
      </c>
      <c r="I839" s="218">
        <v>1.7034</v>
      </c>
      <c r="J839" s="218">
        <v>1.6405000000000001</v>
      </c>
      <c r="K839" s="218">
        <v>1.3573</v>
      </c>
      <c r="L839" s="214"/>
      <c r="M839" s="214"/>
      <c r="N839" s="214"/>
      <c r="O839" s="214"/>
      <c r="P839" s="214"/>
      <c r="Q839" s="214"/>
      <c r="R839" s="214"/>
      <c r="S839" s="214"/>
      <c r="T839" s="214"/>
      <c r="U839" s="214"/>
      <c r="V839" s="214"/>
      <c r="W839" s="214"/>
      <c r="X839" s="214"/>
    </row>
    <row r="840" spans="1:24" ht="15.75" customHeight="1">
      <c r="A840" s="83"/>
      <c r="B840" s="218">
        <v>58.3</v>
      </c>
      <c r="C840" s="218">
        <v>16.149999999999999</v>
      </c>
      <c r="D840" s="218">
        <v>8.9999999999999998E-4</v>
      </c>
      <c r="E840" s="218">
        <v>1.2E-2</v>
      </c>
      <c r="F840" s="218">
        <v>284.75</v>
      </c>
      <c r="G840" s="218">
        <v>426.16</v>
      </c>
      <c r="H840" s="218">
        <v>1.2766999999999999</v>
      </c>
      <c r="I840" s="218">
        <v>1.7034</v>
      </c>
      <c r="J840" s="218">
        <v>1.6415999999999999</v>
      </c>
      <c r="K840" s="218">
        <v>1.3589</v>
      </c>
      <c r="L840" s="214"/>
      <c r="M840" s="214"/>
      <c r="N840" s="214"/>
      <c r="O840" s="214"/>
      <c r="P840" s="214"/>
      <c r="Q840" s="214"/>
      <c r="R840" s="214"/>
      <c r="S840" s="214"/>
      <c r="T840" s="214"/>
      <c r="U840" s="214"/>
      <c r="V840" s="214"/>
      <c r="W840" s="214"/>
      <c r="X840" s="214"/>
    </row>
    <row r="841" spans="1:24" ht="15.75" customHeight="1">
      <c r="A841" s="83"/>
      <c r="B841" s="218">
        <v>58.4</v>
      </c>
      <c r="C841" s="218">
        <v>16.190000000000001</v>
      </c>
      <c r="D841" s="218">
        <v>8.9999999999999998E-4</v>
      </c>
      <c r="E841" s="218">
        <v>1.2E-2</v>
      </c>
      <c r="F841" s="218">
        <v>284.91000000000003</v>
      </c>
      <c r="G841" s="218">
        <v>426.19</v>
      </c>
      <c r="H841" s="218">
        <v>1.2771999999999999</v>
      </c>
      <c r="I841" s="218">
        <v>1.7033</v>
      </c>
      <c r="J841" s="218">
        <v>1.6426000000000001</v>
      </c>
      <c r="K841" s="218">
        <v>1.3605</v>
      </c>
      <c r="L841" s="214"/>
      <c r="M841" s="214"/>
      <c r="N841" s="214"/>
      <c r="O841" s="214"/>
      <c r="P841" s="214"/>
      <c r="Q841" s="214"/>
      <c r="R841" s="214"/>
      <c r="S841" s="214"/>
      <c r="T841" s="214"/>
      <c r="U841" s="214"/>
      <c r="V841" s="214"/>
      <c r="W841" s="214"/>
      <c r="X841" s="214"/>
    </row>
    <row r="842" spans="1:24" ht="15.75" customHeight="1">
      <c r="A842" s="83"/>
      <c r="B842" s="218">
        <v>58.5</v>
      </c>
      <c r="C842" s="218">
        <v>16.23</v>
      </c>
      <c r="D842" s="218">
        <v>8.9999999999999998E-4</v>
      </c>
      <c r="E842" s="218">
        <v>1.1900000000000001E-2</v>
      </c>
      <c r="F842" s="218">
        <v>285.07</v>
      </c>
      <c r="G842" s="218">
        <v>426.21</v>
      </c>
      <c r="H842" s="218">
        <v>1.2777000000000001</v>
      </c>
      <c r="I842" s="218">
        <v>1.7032</v>
      </c>
      <c r="J842" s="218">
        <v>1.6436999999999999</v>
      </c>
      <c r="K842" s="218">
        <v>1.3621000000000001</v>
      </c>
      <c r="L842" s="214"/>
      <c r="M842" s="214"/>
      <c r="N842" s="214"/>
      <c r="O842" s="214"/>
      <c r="P842" s="214"/>
      <c r="Q842" s="214"/>
      <c r="R842" s="214"/>
      <c r="S842" s="214"/>
      <c r="T842" s="214"/>
      <c r="U842" s="214"/>
      <c r="V842" s="214"/>
      <c r="W842" s="214"/>
      <c r="X842" s="214"/>
    </row>
    <row r="843" spans="1:24" ht="15.75" customHeight="1">
      <c r="A843" s="83"/>
      <c r="B843" s="218">
        <v>58.6</v>
      </c>
      <c r="C843" s="218">
        <v>16.27</v>
      </c>
      <c r="D843" s="218">
        <v>8.9999999999999998E-4</v>
      </c>
      <c r="E843" s="218">
        <v>1.1900000000000001E-2</v>
      </c>
      <c r="F843" s="218">
        <v>285.23</v>
      </c>
      <c r="G843" s="218">
        <v>426.24</v>
      </c>
      <c r="H843" s="218">
        <v>1.2781</v>
      </c>
      <c r="I843" s="218">
        <v>1.7032</v>
      </c>
      <c r="J843" s="218">
        <v>1.6448</v>
      </c>
      <c r="K843" s="218">
        <v>1.3636999999999999</v>
      </c>
      <c r="L843" s="214"/>
      <c r="M843" s="214"/>
      <c r="N843" s="214"/>
      <c r="O843" s="214"/>
      <c r="P843" s="214"/>
      <c r="Q843" s="214"/>
      <c r="R843" s="214"/>
      <c r="S843" s="214"/>
      <c r="T843" s="214"/>
      <c r="U843" s="214"/>
      <c r="V843" s="214"/>
      <c r="W843" s="214"/>
      <c r="X843" s="214"/>
    </row>
    <row r="844" spans="1:24" ht="15.75" customHeight="1">
      <c r="A844" s="83"/>
      <c r="B844" s="218">
        <v>58.7</v>
      </c>
      <c r="C844" s="218">
        <v>16.309999999999999</v>
      </c>
      <c r="D844" s="218">
        <v>8.9999999999999998E-4</v>
      </c>
      <c r="E844" s="218">
        <v>1.1900000000000001E-2</v>
      </c>
      <c r="F844" s="218">
        <v>285.39999999999998</v>
      </c>
      <c r="G844" s="218">
        <v>426.27</v>
      </c>
      <c r="H844" s="218">
        <v>1.2786</v>
      </c>
      <c r="I844" s="218">
        <v>1.7031000000000001</v>
      </c>
      <c r="J844" s="218">
        <v>1.6457999999999999</v>
      </c>
      <c r="K844" s="218">
        <v>1.3653</v>
      </c>
      <c r="L844" s="214"/>
      <c r="M844" s="214"/>
      <c r="N844" s="214"/>
      <c r="O844" s="214"/>
      <c r="P844" s="214"/>
      <c r="Q844" s="214"/>
      <c r="R844" s="214"/>
      <c r="S844" s="214"/>
      <c r="T844" s="214"/>
      <c r="U844" s="214"/>
      <c r="V844" s="214"/>
      <c r="W844" s="214"/>
      <c r="X844" s="214"/>
    </row>
    <row r="845" spans="1:24" ht="15.75" customHeight="1">
      <c r="A845" s="83"/>
      <c r="B845" s="218">
        <v>58.8</v>
      </c>
      <c r="C845" s="218">
        <v>16.350000000000001</v>
      </c>
      <c r="D845" s="218">
        <v>8.9999999999999998E-4</v>
      </c>
      <c r="E845" s="218">
        <v>1.18E-2</v>
      </c>
      <c r="F845" s="218">
        <v>285.56</v>
      </c>
      <c r="G845" s="218">
        <v>426.3</v>
      </c>
      <c r="H845" s="218">
        <v>1.2790999999999999</v>
      </c>
      <c r="I845" s="218">
        <v>1.7031000000000001</v>
      </c>
      <c r="J845" s="218">
        <v>1.6469</v>
      </c>
      <c r="K845" s="218">
        <v>1.3669</v>
      </c>
      <c r="L845" s="214"/>
      <c r="M845" s="214"/>
      <c r="N845" s="214"/>
      <c r="O845" s="214"/>
      <c r="P845" s="214"/>
      <c r="Q845" s="214"/>
      <c r="R845" s="214"/>
      <c r="S845" s="214"/>
      <c r="T845" s="214"/>
      <c r="U845" s="214"/>
      <c r="V845" s="214"/>
      <c r="W845" s="214"/>
      <c r="X845" s="214"/>
    </row>
    <row r="846" spans="1:24" ht="15.75" customHeight="1">
      <c r="A846" s="83"/>
      <c r="B846" s="218">
        <v>58.9</v>
      </c>
      <c r="C846" s="218">
        <v>16.38</v>
      </c>
      <c r="D846" s="218">
        <v>8.9999999999999998E-4</v>
      </c>
      <c r="E846" s="218">
        <v>1.18E-2</v>
      </c>
      <c r="F846" s="218">
        <v>285.72000000000003</v>
      </c>
      <c r="G846" s="218">
        <v>426.33</v>
      </c>
      <c r="H846" s="218">
        <v>1.2796000000000001</v>
      </c>
      <c r="I846" s="218">
        <v>1.7030000000000001</v>
      </c>
      <c r="J846" s="218">
        <v>1.6479999999999999</v>
      </c>
      <c r="K846" s="218">
        <v>1.3685</v>
      </c>
      <c r="L846" s="214"/>
      <c r="M846" s="214"/>
      <c r="N846" s="214"/>
      <c r="O846" s="214"/>
      <c r="P846" s="214"/>
      <c r="Q846" s="214"/>
      <c r="R846" s="214"/>
      <c r="S846" s="214"/>
      <c r="T846" s="214"/>
      <c r="U846" s="214"/>
      <c r="V846" s="214"/>
      <c r="W846" s="214"/>
      <c r="X846" s="214"/>
    </row>
    <row r="847" spans="1:24" ht="15.75" customHeight="1">
      <c r="A847" s="83"/>
      <c r="B847" s="218">
        <v>59</v>
      </c>
      <c r="C847" s="218">
        <v>16.420000000000002</v>
      </c>
      <c r="D847" s="218">
        <v>8.9999999999999998E-4</v>
      </c>
      <c r="E847" s="218">
        <v>1.18E-2</v>
      </c>
      <c r="F847" s="218">
        <v>285.88</v>
      </c>
      <c r="G847" s="218">
        <v>426.36</v>
      </c>
      <c r="H847" s="218">
        <v>1.2801</v>
      </c>
      <c r="I847" s="218">
        <v>1.7030000000000001</v>
      </c>
      <c r="J847" s="218">
        <v>1.6491</v>
      </c>
      <c r="K847" s="218">
        <v>1.3702000000000001</v>
      </c>
      <c r="L847" s="214"/>
      <c r="M847" s="214"/>
      <c r="N847" s="214"/>
      <c r="O847" s="214"/>
      <c r="P847" s="214"/>
      <c r="Q847" s="214"/>
      <c r="R847" s="214"/>
      <c r="S847" s="214"/>
      <c r="T847" s="214"/>
      <c r="U847" s="214"/>
      <c r="V847" s="214"/>
      <c r="W847" s="214"/>
      <c r="X847" s="214"/>
    </row>
    <row r="848" spans="1:24" ht="15.75" customHeight="1">
      <c r="A848" s="83"/>
      <c r="B848" s="218">
        <v>59.1</v>
      </c>
      <c r="C848" s="218">
        <v>16.46</v>
      </c>
      <c r="D848" s="218">
        <v>8.9999999999999998E-4</v>
      </c>
      <c r="E848" s="218">
        <v>1.17E-2</v>
      </c>
      <c r="F848" s="218">
        <v>286.04000000000002</v>
      </c>
      <c r="G848" s="218">
        <v>426.38</v>
      </c>
      <c r="H848" s="218">
        <v>1.2805</v>
      </c>
      <c r="I848" s="218">
        <v>1.7029000000000001</v>
      </c>
      <c r="J848" s="218">
        <v>1.6501999999999999</v>
      </c>
      <c r="K848" s="218">
        <v>1.3717999999999999</v>
      </c>
      <c r="L848" s="214"/>
      <c r="M848" s="214"/>
      <c r="N848" s="214"/>
      <c r="O848" s="214"/>
      <c r="P848" s="214"/>
      <c r="Q848" s="214"/>
      <c r="R848" s="214"/>
      <c r="S848" s="214"/>
      <c r="T848" s="214"/>
      <c r="U848" s="214"/>
      <c r="V848" s="214"/>
      <c r="W848" s="214"/>
      <c r="X848" s="214"/>
    </row>
    <row r="849" spans="1:24" ht="15.75" customHeight="1">
      <c r="A849" s="83"/>
      <c r="B849" s="218">
        <v>59.2</v>
      </c>
      <c r="C849" s="218">
        <v>16.5</v>
      </c>
      <c r="D849" s="218">
        <v>8.9999999999999998E-4</v>
      </c>
      <c r="E849" s="218">
        <v>1.17E-2</v>
      </c>
      <c r="F849" s="218">
        <v>286.20999999999998</v>
      </c>
      <c r="G849" s="218">
        <v>426.41</v>
      </c>
      <c r="H849" s="218">
        <v>1.2809999999999999</v>
      </c>
      <c r="I849" s="218">
        <v>1.7029000000000001</v>
      </c>
      <c r="J849" s="218">
        <v>1.6513</v>
      </c>
      <c r="K849" s="218">
        <v>1.3734</v>
      </c>
      <c r="L849" s="214"/>
      <c r="M849" s="214"/>
      <c r="N849" s="214"/>
      <c r="O849" s="214"/>
      <c r="P849" s="214"/>
      <c r="Q849" s="214"/>
      <c r="R849" s="214"/>
      <c r="S849" s="214"/>
      <c r="T849" s="214"/>
      <c r="U849" s="214"/>
      <c r="V849" s="214"/>
      <c r="W849" s="214"/>
      <c r="X849" s="214"/>
    </row>
    <row r="850" spans="1:24" ht="15.75" customHeight="1">
      <c r="A850" s="83"/>
      <c r="B850" s="218">
        <v>59.3</v>
      </c>
      <c r="C850" s="218">
        <v>16.54</v>
      </c>
      <c r="D850" s="218">
        <v>8.9999999999999998E-4</v>
      </c>
      <c r="E850" s="218">
        <v>1.17E-2</v>
      </c>
      <c r="F850" s="218">
        <v>286.37</v>
      </c>
      <c r="G850" s="218">
        <v>426.44</v>
      </c>
      <c r="H850" s="218">
        <v>1.2815000000000001</v>
      </c>
      <c r="I850" s="218">
        <v>1.7028000000000001</v>
      </c>
      <c r="J850" s="218">
        <v>1.6524000000000001</v>
      </c>
      <c r="K850" s="218">
        <v>1.3751</v>
      </c>
      <c r="L850" s="214"/>
      <c r="M850" s="214"/>
      <c r="N850" s="214"/>
      <c r="O850" s="214"/>
      <c r="P850" s="214"/>
      <c r="Q850" s="214"/>
      <c r="R850" s="214"/>
      <c r="S850" s="214"/>
      <c r="T850" s="214"/>
      <c r="U850" s="214"/>
      <c r="V850" s="214"/>
      <c r="W850" s="214"/>
      <c r="X850" s="214"/>
    </row>
    <row r="851" spans="1:24" ht="15.75" customHeight="1">
      <c r="A851" s="83"/>
      <c r="B851" s="218">
        <v>59.4</v>
      </c>
      <c r="C851" s="218">
        <v>16.579999999999998</v>
      </c>
      <c r="D851" s="218">
        <v>8.9999999999999998E-4</v>
      </c>
      <c r="E851" s="218">
        <v>1.1599999999999999E-2</v>
      </c>
      <c r="F851" s="218">
        <v>286.52999999999997</v>
      </c>
      <c r="G851" s="218">
        <v>426.47</v>
      </c>
      <c r="H851" s="218">
        <v>1.282</v>
      </c>
      <c r="I851" s="218">
        <v>1.7028000000000001</v>
      </c>
      <c r="J851" s="218">
        <v>1.6535</v>
      </c>
      <c r="K851" s="218">
        <v>1.3767</v>
      </c>
      <c r="L851" s="214"/>
      <c r="M851" s="214"/>
      <c r="N851" s="214"/>
      <c r="O851" s="214"/>
      <c r="P851" s="214"/>
      <c r="Q851" s="214"/>
      <c r="R851" s="214"/>
      <c r="S851" s="214"/>
      <c r="T851" s="214"/>
      <c r="U851" s="214"/>
      <c r="V851" s="214"/>
      <c r="W851" s="214"/>
      <c r="X851" s="214"/>
    </row>
    <row r="852" spans="1:24" ht="15.75" customHeight="1">
      <c r="A852" s="83"/>
      <c r="B852" s="218">
        <v>59.5</v>
      </c>
      <c r="C852" s="218">
        <v>16.62</v>
      </c>
      <c r="D852" s="218">
        <v>8.9999999999999998E-4</v>
      </c>
      <c r="E852" s="218">
        <v>1.1599999999999999E-2</v>
      </c>
      <c r="F852" s="218">
        <v>286.69</v>
      </c>
      <c r="G852" s="218">
        <v>426.49</v>
      </c>
      <c r="H852" s="218">
        <v>1.2824</v>
      </c>
      <c r="I852" s="218">
        <v>1.7027000000000001</v>
      </c>
      <c r="J852" s="218">
        <v>1.6546000000000001</v>
      </c>
      <c r="K852" s="218">
        <v>1.3784000000000001</v>
      </c>
      <c r="L852" s="214"/>
      <c r="M852" s="214"/>
      <c r="N852" s="214"/>
      <c r="O852" s="214"/>
      <c r="P852" s="214"/>
      <c r="Q852" s="214"/>
      <c r="R852" s="214"/>
      <c r="S852" s="214"/>
      <c r="T852" s="214"/>
      <c r="U852" s="214"/>
      <c r="V852" s="214"/>
      <c r="W852" s="214"/>
      <c r="X852" s="214"/>
    </row>
    <row r="853" spans="1:24" ht="15.75" customHeight="1">
      <c r="A853" s="83"/>
      <c r="B853" s="218">
        <v>59.6</v>
      </c>
      <c r="C853" s="218">
        <v>16.66</v>
      </c>
      <c r="D853" s="218">
        <v>8.9999999999999998E-4</v>
      </c>
      <c r="E853" s="218">
        <v>1.1599999999999999E-2</v>
      </c>
      <c r="F853" s="218">
        <v>286.85000000000002</v>
      </c>
      <c r="G853" s="218">
        <v>426.52</v>
      </c>
      <c r="H853" s="218">
        <v>1.2828999999999999</v>
      </c>
      <c r="I853" s="218">
        <v>1.7025999999999999</v>
      </c>
      <c r="J853" s="218">
        <v>1.6556999999999999</v>
      </c>
      <c r="K853" s="218">
        <v>1.3801000000000001</v>
      </c>
      <c r="L853" s="214"/>
      <c r="M853" s="214"/>
      <c r="N853" s="214"/>
      <c r="O853" s="214"/>
      <c r="P853" s="214"/>
      <c r="Q853" s="214"/>
      <c r="R853" s="214"/>
      <c r="S853" s="214"/>
      <c r="T853" s="214"/>
      <c r="U853" s="214"/>
      <c r="V853" s="214"/>
      <c r="W853" s="214"/>
      <c r="X853" s="214"/>
    </row>
    <row r="854" spans="1:24" ht="15.75" customHeight="1">
      <c r="A854" s="83"/>
      <c r="B854" s="218">
        <v>59.7</v>
      </c>
      <c r="C854" s="218">
        <v>16.7</v>
      </c>
      <c r="D854" s="218">
        <v>8.9999999999999998E-4</v>
      </c>
      <c r="E854" s="218">
        <v>1.15E-2</v>
      </c>
      <c r="F854" s="218">
        <v>287.02</v>
      </c>
      <c r="G854" s="218">
        <v>426.55</v>
      </c>
      <c r="H854" s="218">
        <v>1.2834000000000001</v>
      </c>
      <c r="I854" s="218">
        <v>1.7025999999999999</v>
      </c>
      <c r="J854" s="218">
        <v>1.6568000000000001</v>
      </c>
      <c r="K854" s="218">
        <v>1.3816999999999999</v>
      </c>
      <c r="L854" s="214"/>
      <c r="M854" s="214"/>
      <c r="N854" s="214"/>
      <c r="O854" s="214"/>
      <c r="P854" s="214"/>
      <c r="Q854" s="214"/>
      <c r="R854" s="214"/>
      <c r="S854" s="214"/>
      <c r="T854" s="214"/>
      <c r="U854" s="214"/>
      <c r="V854" s="214"/>
      <c r="W854" s="214"/>
      <c r="X854" s="214"/>
    </row>
    <row r="855" spans="1:24" ht="15.75" customHeight="1">
      <c r="A855" s="83"/>
      <c r="B855" s="218">
        <v>59.8</v>
      </c>
      <c r="C855" s="218">
        <v>16.739999999999998</v>
      </c>
      <c r="D855" s="218">
        <v>8.9999999999999998E-4</v>
      </c>
      <c r="E855" s="218">
        <v>1.15E-2</v>
      </c>
      <c r="F855" s="218">
        <v>287.18</v>
      </c>
      <c r="G855" s="218">
        <v>426.58</v>
      </c>
      <c r="H855" s="218">
        <v>1.2839</v>
      </c>
      <c r="I855" s="218">
        <v>1.7024999999999999</v>
      </c>
      <c r="J855" s="218">
        <v>1.6578999999999999</v>
      </c>
      <c r="K855" s="218">
        <v>1.3834</v>
      </c>
      <c r="L855" s="214"/>
      <c r="M855" s="214"/>
      <c r="N855" s="214"/>
      <c r="O855" s="214"/>
      <c r="P855" s="214"/>
      <c r="Q855" s="214"/>
      <c r="R855" s="214"/>
      <c r="S855" s="214"/>
      <c r="T855" s="214"/>
      <c r="U855" s="214"/>
      <c r="V855" s="214"/>
      <c r="W855" s="214"/>
      <c r="X855" s="214"/>
    </row>
    <row r="856" spans="1:24" ht="15.75" customHeight="1">
      <c r="A856" s="83"/>
      <c r="B856" s="218">
        <v>59.9</v>
      </c>
      <c r="C856" s="218">
        <v>16.78</v>
      </c>
      <c r="D856" s="218">
        <v>8.9999999999999998E-4</v>
      </c>
      <c r="E856" s="218">
        <v>1.15E-2</v>
      </c>
      <c r="F856" s="218">
        <v>287.33999999999997</v>
      </c>
      <c r="G856" s="218">
        <v>426.6</v>
      </c>
      <c r="H856" s="218">
        <v>1.2843</v>
      </c>
      <c r="I856" s="218">
        <v>1.7024999999999999</v>
      </c>
      <c r="J856" s="218">
        <v>1.659</v>
      </c>
      <c r="K856" s="218">
        <v>1.3851</v>
      </c>
      <c r="L856" s="214"/>
      <c r="M856" s="214"/>
      <c r="N856" s="214"/>
      <c r="O856" s="214"/>
      <c r="P856" s="214"/>
      <c r="Q856" s="214"/>
      <c r="R856" s="214"/>
      <c r="S856" s="214"/>
      <c r="T856" s="214"/>
      <c r="U856" s="214"/>
      <c r="V856" s="214"/>
      <c r="W856" s="214"/>
      <c r="X856" s="214"/>
    </row>
    <row r="857" spans="1:24" ht="15.75" customHeight="1">
      <c r="A857" s="83"/>
      <c r="B857" s="218">
        <v>60</v>
      </c>
      <c r="C857" s="218">
        <v>16.82</v>
      </c>
      <c r="D857" s="218">
        <v>1E-3</v>
      </c>
      <c r="E857" s="218">
        <v>1.14E-2</v>
      </c>
      <c r="F857" s="218">
        <v>287.5</v>
      </c>
      <c r="G857" s="218">
        <v>426.63</v>
      </c>
      <c r="H857" s="218">
        <v>1.2847999999999999</v>
      </c>
      <c r="I857" s="218">
        <v>1.7023999999999999</v>
      </c>
      <c r="J857" s="218">
        <v>1.6601999999999999</v>
      </c>
      <c r="K857" s="218">
        <v>1.3868</v>
      </c>
      <c r="L857" s="214"/>
      <c r="M857" s="214"/>
      <c r="N857" s="214"/>
      <c r="O857" s="214"/>
      <c r="P857" s="214"/>
      <c r="Q857" s="214"/>
      <c r="R857" s="214"/>
      <c r="S857" s="214"/>
      <c r="T857" s="214"/>
      <c r="U857" s="214"/>
      <c r="V857" s="214"/>
      <c r="W857" s="214"/>
      <c r="X857" s="214"/>
    </row>
    <row r="858" spans="1:24" ht="15.75" customHeight="1">
      <c r="A858" s="83"/>
      <c r="B858" s="218">
        <v>60.1</v>
      </c>
      <c r="C858" s="218">
        <v>16.86</v>
      </c>
      <c r="D858" s="218">
        <v>1E-3</v>
      </c>
      <c r="E858" s="218">
        <v>1.14E-2</v>
      </c>
      <c r="F858" s="218">
        <v>287.67</v>
      </c>
      <c r="G858" s="218">
        <v>426.66</v>
      </c>
      <c r="H858" s="218">
        <v>1.2853000000000001</v>
      </c>
      <c r="I858" s="218">
        <v>1.7023999999999999</v>
      </c>
      <c r="J858" s="218">
        <v>1.6613</v>
      </c>
      <c r="K858" s="218">
        <v>1.3885000000000001</v>
      </c>
      <c r="L858" s="214"/>
      <c r="M858" s="214"/>
      <c r="N858" s="214"/>
      <c r="O858" s="214"/>
      <c r="P858" s="214"/>
      <c r="Q858" s="214"/>
      <c r="R858" s="214"/>
      <c r="S858" s="214"/>
      <c r="T858" s="214"/>
      <c r="U858" s="214"/>
      <c r="V858" s="214"/>
      <c r="W858" s="214"/>
      <c r="X858" s="214"/>
    </row>
    <row r="859" spans="1:24" ht="15.75" customHeight="1">
      <c r="A859" s="83"/>
      <c r="B859" s="218">
        <v>60.2</v>
      </c>
      <c r="C859" s="218">
        <v>16.899999999999999</v>
      </c>
      <c r="D859" s="218">
        <v>1E-3</v>
      </c>
      <c r="E859" s="218">
        <v>1.14E-2</v>
      </c>
      <c r="F859" s="218">
        <v>287.83</v>
      </c>
      <c r="G859" s="218">
        <v>426.68</v>
      </c>
      <c r="H859" s="218">
        <v>1.2858000000000001</v>
      </c>
      <c r="I859" s="218">
        <v>1.7022999999999999</v>
      </c>
      <c r="J859" s="218">
        <v>1.6624000000000001</v>
      </c>
      <c r="K859" s="218">
        <v>1.3902000000000001</v>
      </c>
      <c r="L859" s="214"/>
      <c r="M859" s="214"/>
      <c r="N859" s="214"/>
      <c r="O859" s="214"/>
      <c r="P859" s="214"/>
      <c r="Q859" s="214"/>
      <c r="R859" s="214"/>
      <c r="S859" s="214"/>
      <c r="T859" s="214"/>
      <c r="U859" s="214"/>
      <c r="V859" s="214"/>
      <c r="W859" s="214"/>
      <c r="X859" s="214"/>
    </row>
    <row r="860" spans="1:24" ht="15.75" customHeight="1">
      <c r="A860" s="83"/>
      <c r="B860" s="218">
        <v>60.3</v>
      </c>
      <c r="C860" s="218">
        <v>16.940000000000001</v>
      </c>
      <c r="D860" s="218">
        <v>1E-3</v>
      </c>
      <c r="E860" s="218">
        <v>1.14E-2</v>
      </c>
      <c r="F860" s="218">
        <v>287.99</v>
      </c>
      <c r="G860" s="218">
        <v>426.71</v>
      </c>
      <c r="H860" s="218">
        <v>1.2863</v>
      </c>
      <c r="I860" s="218">
        <v>1.7022999999999999</v>
      </c>
      <c r="J860" s="218">
        <v>1.6636</v>
      </c>
      <c r="K860" s="218">
        <v>1.3918999999999999</v>
      </c>
      <c r="L860" s="214"/>
      <c r="M860" s="214"/>
      <c r="N860" s="214"/>
      <c r="O860" s="214"/>
      <c r="P860" s="214"/>
      <c r="Q860" s="214"/>
      <c r="R860" s="214"/>
      <c r="S860" s="214"/>
      <c r="T860" s="214"/>
      <c r="U860" s="214"/>
      <c r="V860" s="214"/>
      <c r="W860" s="214"/>
      <c r="X860" s="214"/>
    </row>
    <row r="861" spans="1:24" ht="15.75" customHeight="1">
      <c r="A861" s="83"/>
      <c r="B861" s="218">
        <v>60.4</v>
      </c>
      <c r="C861" s="218">
        <v>16.98</v>
      </c>
      <c r="D861" s="218">
        <v>1E-3</v>
      </c>
      <c r="E861" s="218">
        <v>1.1299999999999999E-2</v>
      </c>
      <c r="F861" s="218">
        <v>288.16000000000003</v>
      </c>
      <c r="G861" s="218">
        <v>426.74</v>
      </c>
      <c r="H861" s="218">
        <v>1.2867</v>
      </c>
      <c r="I861" s="218">
        <v>1.7021999999999999</v>
      </c>
      <c r="J861" s="218">
        <v>1.6647000000000001</v>
      </c>
      <c r="K861" s="218">
        <v>1.3936999999999999</v>
      </c>
      <c r="L861" s="214"/>
      <c r="M861" s="214"/>
      <c r="N861" s="214"/>
      <c r="O861" s="214"/>
      <c r="P861" s="214"/>
      <c r="Q861" s="214"/>
      <c r="R861" s="214"/>
      <c r="S861" s="214"/>
      <c r="T861" s="214"/>
      <c r="U861" s="214"/>
      <c r="V861" s="214"/>
      <c r="W861" s="214"/>
      <c r="X861" s="214"/>
    </row>
    <row r="862" spans="1:24" ht="15.75" customHeight="1">
      <c r="A862" s="83"/>
      <c r="B862" s="218">
        <v>60.5</v>
      </c>
      <c r="C862" s="218">
        <v>17.02</v>
      </c>
      <c r="D862" s="218">
        <v>1E-3</v>
      </c>
      <c r="E862" s="218">
        <v>1.1299999999999999E-2</v>
      </c>
      <c r="F862" s="218">
        <v>288.32</v>
      </c>
      <c r="G862" s="218">
        <v>426.76</v>
      </c>
      <c r="H862" s="218">
        <v>1.2871999999999999</v>
      </c>
      <c r="I862" s="218">
        <v>1.7020999999999999</v>
      </c>
      <c r="J862" s="218">
        <v>1.6658999999999999</v>
      </c>
      <c r="K862" s="218">
        <v>1.3954</v>
      </c>
      <c r="L862" s="214"/>
      <c r="M862" s="214"/>
      <c r="N862" s="214"/>
      <c r="O862" s="214"/>
      <c r="P862" s="214"/>
      <c r="Q862" s="214"/>
      <c r="R862" s="214"/>
      <c r="S862" s="214"/>
      <c r="T862" s="214"/>
      <c r="U862" s="214"/>
      <c r="V862" s="214"/>
      <c r="W862" s="214"/>
      <c r="X862" s="214"/>
    </row>
    <row r="863" spans="1:24" ht="15.75" customHeight="1">
      <c r="A863" s="83"/>
      <c r="B863" s="218">
        <v>60.6</v>
      </c>
      <c r="C863" s="218">
        <v>17.059999999999999</v>
      </c>
      <c r="D863" s="218">
        <v>1E-3</v>
      </c>
      <c r="E863" s="218">
        <v>1.1299999999999999E-2</v>
      </c>
      <c r="F863" s="218">
        <v>288.48</v>
      </c>
      <c r="G863" s="218">
        <v>426.79</v>
      </c>
      <c r="H863" s="218">
        <v>1.2877000000000001</v>
      </c>
      <c r="I863" s="218">
        <v>1.7020999999999999</v>
      </c>
      <c r="J863" s="218">
        <v>1.667</v>
      </c>
      <c r="K863" s="218">
        <v>1.3971</v>
      </c>
      <c r="L863" s="214"/>
      <c r="M863" s="214"/>
      <c r="N863" s="214"/>
      <c r="O863" s="214"/>
      <c r="P863" s="214"/>
      <c r="Q863" s="214"/>
      <c r="R863" s="214"/>
      <c r="S863" s="214"/>
      <c r="T863" s="214"/>
      <c r="U863" s="214"/>
      <c r="V863" s="214"/>
      <c r="W863" s="214"/>
      <c r="X863" s="214"/>
    </row>
    <row r="864" spans="1:24" ht="15.75" customHeight="1">
      <c r="A864" s="83"/>
      <c r="B864" s="218">
        <v>60.7</v>
      </c>
      <c r="C864" s="218">
        <v>17.100000000000001</v>
      </c>
      <c r="D864" s="218">
        <v>1E-3</v>
      </c>
      <c r="E864" s="218">
        <v>1.12E-2</v>
      </c>
      <c r="F864" s="218">
        <v>288.64999999999998</v>
      </c>
      <c r="G864" s="218">
        <v>426.81</v>
      </c>
      <c r="H864" s="218">
        <v>1.2882</v>
      </c>
      <c r="I864" s="218">
        <v>1.702</v>
      </c>
      <c r="J864" s="218">
        <v>1.6681999999999999</v>
      </c>
      <c r="K864" s="218">
        <v>1.3989</v>
      </c>
      <c r="L864" s="214"/>
      <c r="M864" s="214"/>
      <c r="N864" s="214"/>
      <c r="O864" s="214"/>
      <c r="P864" s="214"/>
      <c r="Q864" s="214"/>
      <c r="R864" s="214"/>
      <c r="S864" s="214"/>
      <c r="T864" s="214"/>
      <c r="U864" s="214"/>
      <c r="V864" s="214"/>
      <c r="W864" s="214"/>
      <c r="X864" s="214"/>
    </row>
    <row r="865" spans="1:24" ht="15.75" customHeight="1">
      <c r="A865" s="83"/>
      <c r="B865" s="218">
        <v>60.8</v>
      </c>
      <c r="C865" s="218">
        <v>17.14</v>
      </c>
      <c r="D865" s="218">
        <v>1E-3</v>
      </c>
      <c r="E865" s="218">
        <v>1.12E-2</v>
      </c>
      <c r="F865" s="218">
        <v>288.81</v>
      </c>
      <c r="G865" s="218">
        <v>426.84</v>
      </c>
      <c r="H865" s="218">
        <v>1.2886</v>
      </c>
      <c r="I865" s="218">
        <v>1.702</v>
      </c>
      <c r="J865" s="218">
        <v>1.6694</v>
      </c>
      <c r="K865" s="218">
        <v>1.4006000000000001</v>
      </c>
      <c r="L865" s="214"/>
      <c r="M865" s="214"/>
      <c r="N865" s="214"/>
      <c r="O865" s="214"/>
      <c r="P865" s="214"/>
      <c r="Q865" s="214"/>
      <c r="R865" s="214"/>
      <c r="S865" s="214"/>
      <c r="T865" s="214"/>
      <c r="U865" s="214"/>
      <c r="V865" s="214"/>
      <c r="W865" s="214"/>
      <c r="X865" s="214"/>
    </row>
    <row r="866" spans="1:24" ht="15.75" customHeight="1">
      <c r="A866" s="83"/>
      <c r="B866" s="218">
        <v>60.9</v>
      </c>
      <c r="C866" s="218">
        <v>17.18</v>
      </c>
      <c r="D866" s="218">
        <v>1E-3</v>
      </c>
      <c r="E866" s="218">
        <v>1.12E-2</v>
      </c>
      <c r="F866" s="218">
        <v>288.97000000000003</v>
      </c>
      <c r="G866" s="218">
        <v>426.87</v>
      </c>
      <c r="H866" s="218">
        <v>1.2890999999999999</v>
      </c>
      <c r="I866" s="218">
        <v>1.7019</v>
      </c>
      <c r="J866" s="218">
        <v>1.6705000000000001</v>
      </c>
      <c r="K866" s="218">
        <v>1.4024000000000001</v>
      </c>
      <c r="L866" s="214"/>
      <c r="M866" s="214"/>
      <c r="N866" s="214"/>
      <c r="O866" s="214"/>
      <c r="P866" s="214"/>
      <c r="Q866" s="214"/>
      <c r="R866" s="214"/>
      <c r="S866" s="214"/>
      <c r="T866" s="214"/>
      <c r="U866" s="214"/>
      <c r="V866" s="214"/>
      <c r="W866" s="214"/>
      <c r="X866" s="214"/>
    </row>
    <row r="867" spans="1:24" ht="15.75" customHeight="1">
      <c r="A867" s="83"/>
      <c r="B867" s="218">
        <v>61</v>
      </c>
      <c r="C867" s="218">
        <v>17.22</v>
      </c>
      <c r="D867" s="218">
        <v>1E-3</v>
      </c>
      <c r="E867" s="218">
        <v>1.11E-2</v>
      </c>
      <c r="F867" s="218">
        <v>289.14</v>
      </c>
      <c r="G867" s="218">
        <v>426.89</v>
      </c>
      <c r="H867" s="218">
        <v>1.2896000000000001</v>
      </c>
      <c r="I867" s="218">
        <v>1.7019</v>
      </c>
      <c r="J867" s="218">
        <v>1.6717</v>
      </c>
      <c r="K867" s="218">
        <v>1.4041999999999999</v>
      </c>
      <c r="L867" s="214"/>
      <c r="M867" s="214"/>
      <c r="N867" s="214"/>
      <c r="O867" s="214"/>
      <c r="P867" s="214"/>
      <c r="Q867" s="214"/>
      <c r="R867" s="214"/>
      <c r="S867" s="214"/>
      <c r="T867" s="214"/>
      <c r="U867" s="214"/>
      <c r="V867" s="214"/>
      <c r="W867" s="214"/>
      <c r="X867" s="214"/>
    </row>
    <row r="868" spans="1:24" ht="15.75" customHeight="1">
      <c r="A868" s="83"/>
      <c r="B868" s="218">
        <v>61.1</v>
      </c>
      <c r="C868" s="218">
        <v>17.260000000000002</v>
      </c>
      <c r="D868" s="218">
        <v>1E-3</v>
      </c>
      <c r="E868" s="218">
        <v>1.11E-2</v>
      </c>
      <c r="F868" s="218">
        <v>289.3</v>
      </c>
      <c r="G868" s="218">
        <v>426.92</v>
      </c>
      <c r="H868" s="218">
        <v>1.2901</v>
      </c>
      <c r="I868" s="218">
        <v>1.7018</v>
      </c>
      <c r="J868" s="218">
        <v>1.6729000000000001</v>
      </c>
      <c r="K868" s="218">
        <v>1.4058999999999999</v>
      </c>
      <c r="L868" s="214"/>
      <c r="M868" s="214"/>
      <c r="N868" s="214"/>
      <c r="O868" s="214"/>
      <c r="P868" s="214"/>
      <c r="Q868" s="214"/>
      <c r="R868" s="214"/>
      <c r="S868" s="214"/>
      <c r="T868" s="214"/>
      <c r="U868" s="214"/>
      <c r="V868" s="214"/>
      <c r="W868" s="214"/>
      <c r="X868" s="214"/>
    </row>
    <row r="869" spans="1:24" ht="15.75" customHeight="1">
      <c r="A869" s="83"/>
      <c r="B869" s="218">
        <v>61.2</v>
      </c>
      <c r="C869" s="218">
        <v>17.3</v>
      </c>
      <c r="D869" s="218">
        <v>1E-3</v>
      </c>
      <c r="E869" s="218">
        <v>1.11E-2</v>
      </c>
      <c r="F869" s="218">
        <v>289.45999999999998</v>
      </c>
      <c r="G869" s="218">
        <v>426.94</v>
      </c>
      <c r="H869" s="218">
        <v>1.2906</v>
      </c>
      <c r="I869" s="218">
        <v>1.7017</v>
      </c>
      <c r="J869" s="218">
        <v>1.6740999999999999</v>
      </c>
      <c r="K869" s="218">
        <v>1.4077</v>
      </c>
      <c r="L869" s="214"/>
      <c r="M869" s="214"/>
      <c r="N869" s="214"/>
      <c r="O869" s="214"/>
      <c r="P869" s="214"/>
      <c r="Q869" s="214"/>
      <c r="R869" s="214"/>
      <c r="S869" s="214"/>
      <c r="T869" s="214"/>
      <c r="U869" s="214"/>
      <c r="V869" s="214"/>
      <c r="W869" s="214"/>
      <c r="X869" s="214"/>
    </row>
    <row r="870" spans="1:24" ht="15.75" customHeight="1">
      <c r="A870" s="83"/>
      <c r="B870" s="218">
        <v>61.3</v>
      </c>
      <c r="C870" s="218">
        <v>17.34</v>
      </c>
      <c r="D870" s="218">
        <v>1E-3</v>
      </c>
      <c r="E870" s="218">
        <v>1.0999999999999999E-2</v>
      </c>
      <c r="F870" s="218">
        <v>289.63</v>
      </c>
      <c r="G870" s="218">
        <v>426.97</v>
      </c>
      <c r="H870" s="218">
        <v>1.2909999999999999</v>
      </c>
      <c r="I870" s="218">
        <v>1.7017</v>
      </c>
      <c r="J870" s="218">
        <v>1.6753</v>
      </c>
      <c r="K870" s="218">
        <v>1.4095</v>
      </c>
      <c r="L870" s="214"/>
      <c r="M870" s="214"/>
      <c r="N870" s="214"/>
      <c r="O870" s="214"/>
      <c r="P870" s="214"/>
      <c r="Q870" s="214"/>
      <c r="R870" s="214"/>
      <c r="S870" s="214"/>
      <c r="T870" s="214"/>
      <c r="U870" s="214"/>
      <c r="V870" s="214"/>
      <c r="W870" s="214"/>
      <c r="X870" s="214"/>
    </row>
    <row r="871" spans="1:24" ht="15.75" customHeight="1">
      <c r="A871" s="83"/>
      <c r="B871" s="218">
        <v>61.4</v>
      </c>
      <c r="C871" s="218">
        <v>17.38</v>
      </c>
      <c r="D871" s="218">
        <v>1E-3</v>
      </c>
      <c r="E871" s="218">
        <v>1.0999999999999999E-2</v>
      </c>
      <c r="F871" s="218">
        <v>289.79000000000002</v>
      </c>
      <c r="G871" s="218">
        <v>426.99</v>
      </c>
      <c r="H871" s="218">
        <v>1.2915000000000001</v>
      </c>
      <c r="I871" s="218">
        <v>1.7016</v>
      </c>
      <c r="J871" s="218">
        <v>1.6765000000000001</v>
      </c>
      <c r="K871" s="218">
        <v>1.4113</v>
      </c>
      <c r="L871" s="214"/>
      <c r="M871" s="214"/>
      <c r="N871" s="214"/>
      <c r="O871" s="214"/>
      <c r="P871" s="214"/>
      <c r="Q871" s="214"/>
      <c r="R871" s="214"/>
      <c r="S871" s="214"/>
      <c r="T871" s="214"/>
      <c r="U871" s="214"/>
      <c r="V871" s="214"/>
      <c r="W871" s="214"/>
      <c r="X871" s="214"/>
    </row>
    <row r="872" spans="1:24" ht="15.75" customHeight="1">
      <c r="A872" s="83"/>
      <c r="B872" s="218">
        <v>61.5</v>
      </c>
      <c r="C872" s="218">
        <v>17.420000000000002</v>
      </c>
      <c r="D872" s="218">
        <v>1E-3</v>
      </c>
      <c r="E872" s="218">
        <v>1.0999999999999999E-2</v>
      </c>
      <c r="F872" s="218">
        <v>289.95999999999998</v>
      </c>
      <c r="G872" s="218">
        <v>427.02</v>
      </c>
      <c r="H872" s="218">
        <v>1.292</v>
      </c>
      <c r="I872" s="218">
        <v>1.7016</v>
      </c>
      <c r="J872" s="218">
        <v>1.6777</v>
      </c>
      <c r="K872" s="218">
        <v>1.4131</v>
      </c>
      <c r="L872" s="214"/>
      <c r="M872" s="214"/>
      <c r="N872" s="214"/>
      <c r="O872" s="214"/>
      <c r="P872" s="214"/>
      <c r="Q872" s="214"/>
      <c r="R872" s="214"/>
      <c r="S872" s="214"/>
      <c r="T872" s="214"/>
      <c r="U872" s="214"/>
      <c r="V872" s="214"/>
      <c r="W872" s="214"/>
      <c r="X872" s="214"/>
    </row>
    <row r="873" spans="1:24" ht="15.75" customHeight="1">
      <c r="A873" s="83"/>
      <c r="B873" s="218">
        <v>61.6</v>
      </c>
      <c r="C873" s="218">
        <v>17.46</v>
      </c>
      <c r="D873" s="218">
        <v>1E-3</v>
      </c>
      <c r="E873" s="218">
        <v>1.09E-2</v>
      </c>
      <c r="F873" s="218">
        <v>290.12</v>
      </c>
      <c r="G873" s="218">
        <v>427.04</v>
      </c>
      <c r="H873" s="218">
        <v>1.2925</v>
      </c>
      <c r="I873" s="218">
        <v>1.7015</v>
      </c>
      <c r="J873" s="218">
        <v>1.6789000000000001</v>
      </c>
      <c r="K873" s="218">
        <v>1.415</v>
      </c>
      <c r="L873" s="214"/>
      <c r="M873" s="214"/>
      <c r="N873" s="214"/>
      <c r="O873" s="214"/>
      <c r="P873" s="214"/>
      <c r="Q873" s="214"/>
      <c r="R873" s="214"/>
      <c r="S873" s="214"/>
      <c r="T873" s="214"/>
      <c r="U873" s="214"/>
      <c r="V873" s="214"/>
      <c r="W873" s="214"/>
      <c r="X873" s="214"/>
    </row>
    <row r="874" spans="1:24" ht="15.75" customHeight="1">
      <c r="A874" s="83"/>
      <c r="B874" s="218">
        <v>61.7</v>
      </c>
      <c r="C874" s="218">
        <v>17.5</v>
      </c>
      <c r="D874" s="218">
        <v>1E-3</v>
      </c>
      <c r="E874" s="218">
        <v>1.09E-2</v>
      </c>
      <c r="F874" s="218">
        <v>290.29000000000002</v>
      </c>
      <c r="G874" s="218">
        <v>427.07</v>
      </c>
      <c r="H874" s="218">
        <v>1.2928999999999999</v>
      </c>
      <c r="I874" s="218">
        <v>1.7014</v>
      </c>
      <c r="J874" s="218">
        <v>1.6800999999999999</v>
      </c>
      <c r="K874" s="218">
        <v>1.4168000000000001</v>
      </c>
      <c r="L874" s="214"/>
      <c r="M874" s="214"/>
      <c r="N874" s="214"/>
      <c r="O874" s="214"/>
      <c r="P874" s="214"/>
      <c r="Q874" s="214"/>
      <c r="R874" s="214"/>
      <c r="S874" s="214"/>
      <c r="T874" s="214"/>
      <c r="U874" s="214"/>
      <c r="V874" s="214"/>
      <c r="W874" s="214"/>
      <c r="X874" s="214"/>
    </row>
    <row r="875" spans="1:24" ht="15.75" customHeight="1">
      <c r="A875" s="83"/>
      <c r="B875" s="218">
        <v>61.8</v>
      </c>
      <c r="C875" s="218">
        <v>17.55</v>
      </c>
      <c r="D875" s="218">
        <v>1E-3</v>
      </c>
      <c r="E875" s="218">
        <v>1.09E-2</v>
      </c>
      <c r="F875" s="218">
        <v>290.45</v>
      </c>
      <c r="G875" s="218">
        <v>427.09</v>
      </c>
      <c r="H875" s="218">
        <v>1.2934000000000001</v>
      </c>
      <c r="I875" s="218">
        <v>1.7014</v>
      </c>
      <c r="J875" s="218">
        <v>1.6813</v>
      </c>
      <c r="K875" s="218">
        <v>1.4186000000000001</v>
      </c>
      <c r="L875" s="214"/>
      <c r="M875" s="214"/>
      <c r="N875" s="214"/>
      <c r="O875" s="214"/>
      <c r="P875" s="214"/>
      <c r="Q875" s="214"/>
      <c r="R875" s="214"/>
      <c r="S875" s="214"/>
      <c r="T875" s="214"/>
      <c r="U875" s="214"/>
      <c r="V875" s="214"/>
      <c r="W875" s="214"/>
      <c r="X875" s="214"/>
    </row>
    <row r="876" spans="1:24" ht="15.75" customHeight="1">
      <c r="A876" s="83"/>
      <c r="B876" s="218">
        <v>61.9</v>
      </c>
      <c r="C876" s="218">
        <v>17.59</v>
      </c>
      <c r="D876" s="218">
        <v>1E-3</v>
      </c>
      <c r="E876" s="218">
        <v>1.09E-2</v>
      </c>
      <c r="F876" s="218">
        <v>290.61</v>
      </c>
      <c r="G876" s="218">
        <v>427.12</v>
      </c>
      <c r="H876" s="218">
        <v>1.2939000000000001</v>
      </c>
      <c r="I876" s="218">
        <v>1.7013</v>
      </c>
      <c r="J876" s="218">
        <v>1.6825000000000001</v>
      </c>
      <c r="K876" s="218">
        <v>1.4205000000000001</v>
      </c>
      <c r="L876" s="214"/>
      <c r="M876" s="214"/>
      <c r="N876" s="214"/>
      <c r="O876" s="214"/>
      <c r="P876" s="214"/>
      <c r="Q876" s="214"/>
      <c r="R876" s="214"/>
      <c r="S876" s="214"/>
      <c r="T876" s="214"/>
      <c r="U876" s="214"/>
      <c r="V876" s="214"/>
      <c r="W876" s="214"/>
      <c r="X876" s="214"/>
    </row>
    <row r="877" spans="1:24" ht="15.75" customHeight="1">
      <c r="A877" s="83"/>
      <c r="B877" s="218">
        <v>62</v>
      </c>
      <c r="C877" s="218">
        <v>17.63</v>
      </c>
      <c r="D877" s="218">
        <v>1E-3</v>
      </c>
      <c r="E877" s="218">
        <v>1.0800000000000001E-2</v>
      </c>
      <c r="F877" s="218">
        <v>290.77999999999997</v>
      </c>
      <c r="G877" s="218">
        <v>427.14</v>
      </c>
      <c r="H877" s="218">
        <v>1.2944</v>
      </c>
      <c r="I877" s="218">
        <v>1.7013</v>
      </c>
      <c r="J877" s="218">
        <v>1.6838</v>
      </c>
      <c r="K877" s="218">
        <v>1.4222999999999999</v>
      </c>
      <c r="L877" s="214"/>
      <c r="M877" s="214"/>
      <c r="N877" s="214"/>
      <c r="O877" s="214"/>
      <c r="P877" s="214"/>
      <c r="Q877" s="214"/>
      <c r="R877" s="214"/>
      <c r="S877" s="214"/>
      <c r="T877" s="214"/>
      <c r="U877" s="214"/>
      <c r="V877" s="214"/>
      <c r="W877" s="214"/>
      <c r="X877" s="214"/>
    </row>
    <row r="878" spans="1:24" ht="15.75" customHeight="1">
      <c r="A878" s="83"/>
      <c r="B878" s="218">
        <v>62.1</v>
      </c>
      <c r="C878" s="218">
        <v>17.670000000000002</v>
      </c>
      <c r="D878" s="218">
        <v>1E-3</v>
      </c>
      <c r="E878" s="218">
        <v>1.0800000000000001E-2</v>
      </c>
      <c r="F878" s="218">
        <v>290.94</v>
      </c>
      <c r="G878" s="218">
        <v>427.17</v>
      </c>
      <c r="H878" s="218">
        <v>1.2948999999999999</v>
      </c>
      <c r="I878" s="218">
        <v>1.7012</v>
      </c>
      <c r="J878" s="218">
        <v>1.6850000000000001</v>
      </c>
      <c r="K878" s="218">
        <v>1.4241999999999999</v>
      </c>
      <c r="L878" s="214"/>
      <c r="M878" s="214"/>
      <c r="N878" s="214"/>
      <c r="O878" s="214"/>
      <c r="P878" s="214"/>
      <c r="Q878" s="214"/>
      <c r="R878" s="214"/>
      <c r="S878" s="214"/>
      <c r="T878" s="214"/>
      <c r="U878" s="214"/>
      <c r="V878" s="214"/>
      <c r="W878" s="214"/>
      <c r="X878" s="214"/>
    </row>
    <row r="879" spans="1:24" ht="15.75" customHeight="1">
      <c r="A879" s="83"/>
      <c r="B879" s="218">
        <v>62.2</v>
      </c>
      <c r="C879" s="218">
        <v>17.71</v>
      </c>
      <c r="D879" s="218">
        <v>1E-3</v>
      </c>
      <c r="E879" s="218">
        <v>1.0800000000000001E-2</v>
      </c>
      <c r="F879" s="218">
        <v>291.11</v>
      </c>
      <c r="G879" s="218">
        <v>427.19</v>
      </c>
      <c r="H879" s="218">
        <v>1.2952999999999999</v>
      </c>
      <c r="I879" s="218">
        <v>1.7011000000000001</v>
      </c>
      <c r="J879" s="218">
        <v>1.6861999999999999</v>
      </c>
      <c r="K879" s="218">
        <v>1.4260999999999999</v>
      </c>
      <c r="L879" s="214"/>
      <c r="M879" s="214"/>
      <c r="N879" s="214"/>
      <c r="O879" s="214"/>
      <c r="P879" s="214"/>
      <c r="Q879" s="214"/>
      <c r="R879" s="214"/>
      <c r="S879" s="214"/>
      <c r="T879" s="214"/>
      <c r="U879" s="214"/>
      <c r="V879" s="214"/>
      <c r="W879" s="214"/>
      <c r="X879" s="214"/>
    </row>
    <row r="880" spans="1:24" ht="15.75" customHeight="1">
      <c r="A880" s="83"/>
      <c r="B880" s="218">
        <v>62.3</v>
      </c>
      <c r="C880" s="218">
        <v>17.75</v>
      </c>
      <c r="D880" s="218">
        <v>1E-3</v>
      </c>
      <c r="E880" s="218">
        <v>1.0699999999999999E-2</v>
      </c>
      <c r="F880" s="218">
        <v>291.27</v>
      </c>
      <c r="G880" s="218">
        <v>427.22</v>
      </c>
      <c r="H880" s="218">
        <v>1.2958000000000001</v>
      </c>
      <c r="I880" s="218">
        <v>1.7011000000000001</v>
      </c>
      <c r="J880" s="218">
        <v>1.6875</v>
      </c>
      <c r="K880" s="218">
        <v>1.4278999999999999</v>
      </c>
      <c r="L880" s="214"/>
      <c r="M880" s="214"/>
      <c r="N880" s="214"/>
      <c r="O880" s="214"/>
      <c r="P880" s="214"/>
      <c r="Q880" s="214"/>
      <c r="R880" s="214"/>
      <c r="S880" s="214"/>
      <c r="T880" s="214"/>
      <c r="U880" s="214"/>
      <c r="V880" s="214"/>
      <c r="W880" s="214"/>
      <c r="X880" s="214"/>
    </row>
    <row r="881" spans="1:24" ht="15.75" customHeight="1">
      <c r="A881" s="83"/>
      <c r="B881" s="218">
        <v>62.4</v>
      </c>
      <c r="C881" s="218">
        <v>17.79</v>
      </c>
      <c r="D881" s="218">
        <v>1E-3</v>
      </c>
      <c r="E881" s="218">
        <v>1.0699999999999999E-2</v>
      </c>
      <c r="F881" s="218">
        <v>291.44</v>
      </c>
      <c r="G881" s="218">
        <v>427.24</v>
      </c>
      <c r="H881" s="218">
        <v>1.2963</v>
      </c>
      <c r="I881" s="218">
        <v>1.7010000000000001</v>
      </c>
      <c r="J881" s="218">
        <v>1.6887000000000001</v>
      </c>
      <c r="K881" s="218">
        <v>1.4298</v>
      </c>
      <c r="L881" s="214"/>
      <c r="M881" s="214"/>
      <c r="N881" s="214"/>
      <c r="O881" s="214"/>
      <c r="P881" s="214"/>
      <c r="Q881" s="214"/>
      <c r="R881" s="214"/>
      <c r="S881" s="214"/>
      <c r="T881" s="214"/>
      <c r="U881" s="214"/>
      <c r="V881" s="214"/>
      <c r="W881" s="214"/>
      <c r="X881" s="214"/>
    </row>
    <row r="882" spans="1:24" ht="15.75" customHeight="1">
      <c r="A882" s="83"/>
      <c r="B882" s="218">
        <v>62.5</v>
      </c>
      <c r="C882" s="218">
        <v>17.84</v>
      </c>
      <c r="D882" s="218">
        <v>1E-3</v>
      </c>
      <c r="E882" s="218">
        <v>1.0699999999999999E-2</v>
      </c>
      <c r="F882" s="218">
        <v>291.60000000000002</v>
      </c>
      <c r="G882" s="218">
        <v>427.26</v>
      </c>
      <c r="H882" s="218">
        <v>1.2968</v>
      </c>
      <c r="I882" s="218">
        <v>1.7010000000000001</v>
      </c>
      <c r="J882" s="218">
        <v>1.69</v>
      </c>
      <c r="K882" s="218">
        <v>1.4317</v>
      </c>
      <c r="L882" s="214"/>
      <c r="M882" s="214"/>
      <c r="N882" s="214"/>
      <c r="O882" s="214"/>
      <c r="P882" s="214"/>
      <c r="Q882" s="214"/>
      <c r="R882" s="214"/>
      <c r="S882" s="214"/>
      <c r="T882" s="214"/>
      <c r="U882" s="214"/>
      <c r="V882" s="214"/>
      <c r="W882" s="214"/>
      <c r="X882" s="214"/>
    </row>
    <row r="883" spans="1:24" ht="15.75" customHeight="1">
      <c r="A883" s="83"/>
      <c r="B883" s="218">
        <v>62.6</v>
      </c>
      <c r="C883" s="218">
        <v>17.88</v>
      </c>
      <c r="D883" s="218">
        <v>1E-3</v>
      </c>
      <c r="E883" s="218">
        <v>1.06E-2</v>
      </c>
      <c r="F883" s="218">
        <v>291.77</v>
      </c>
      <c r="G883" s="218">
        <v>427.29</v>
      </c>
      <c r="H883" s="218">
        <v>1.2972999999999999</v>
      </c>
      <c r="I883" s="218">
        <v>1.7009000000000001</v>
      </c>
      <c r="J883" s="218">
        <v>1.6913</v>
      </c>
      <c r="K883" s="218">
        <v>1.4336</v>
      </c>
      <c r="L883" s="214"/>
      <c r="M883" s="214"/>
      <c r="N883" s="214"/>
      <c r="O883" s="214"/>
      <c r="P883" s="214"/>
      <c r="Q883" s="214"/>
      <c r="R883" s="214"/>
      <c r="S883" s="214"/>
      <c r="T883" s="214"/>
      <c r="U883" s="214"/>
      <c r="V883" s="214"/>
      <c r="W883" s="214"/>
      <c r="X883" s="214"/>
    </row>
    <row r="884" spans="1:24" ht="15.75" customHeight="1">
      <c r="A884" s="83"/>
      <c r="B884" s="218">
        <v>62.7</v>
      </c>
      <c r="C884" s="218">
        <v>17.920000000000002</v>
      </c>
      <c r="D884" s="218">
        <v>1E-3</v>
      </c>
      <c r="E884" s="218">
        <v>1.06E-2</v>
      </c>
      <c r="F884" s="218">
        <v>291.93</v>
      </c>
      <c r="G884" s="218">
        <v>427.31</v>
      </c>
      <c r="H884" s="218">
        <v>1.2977000000000001</v>
      </c>
      <c r="I884" s="218">
        <v>1.7008000000000001</v>
      </c>
      <c r="J884" s="218">
        <v>1.6924999999999999</v>
      </c>
      <c r="K884" s="218">
        <v>1.4355</v>
      </c>
      <c r="L884" s="214"/>
      <c r="M884" s="214"/>
      <c r="N884" s="214"/>
      <c r="O884" s="214"/>
      <c r="P884" s="214"/>
      <c r="Q884" s="214"/>
      <c r="R884" s="214"/>
      <c r="S884" s="214"/>
      <c r="T884" s="214"/>
      <c r="U884" s="214"/>
      <c r="V884" s="214"/>
      <c r="W884" s="214"/>
      <c r="X884" s="214"/>
    </row>
    <row r="885" spans="1:24" ht="15.75" customHeight="1">
      <c r="A885" s="83"/>
      <c r="B885" s="218">
        <v>62.8</v>
      </c>
      <c r="C885" s="218">
        <v>17.96</v>
      </c>
      <c r="D885" s="218">
        <v>1E-3</v>
      </c>
      <c r="E885" s="218">
        <v>1.06E-2</v>
      </c>
      <c r="F885" s="218">
        <v>292.10000000000002</v>
      </c>
      <c r="G885" s="218">
        <v>427.33</v>
      </c>
      <c r="H885" s="218">
        <v>1.2982</v>
      </c>
      <c r="I885" s="218">
        <v>1.7008000000000001</v>
      </c>
      <c r="J885" s="218">
        <v>1.6938</v>
      </c>
      <c r="K885" s="218">
        <v>1.4375</v>
      </c>
      <c r="L885" s="214"/>
      <c r="M885" s="214"/>
      <c r="N885" s="214"/>
      <c r="O885" s="214"/>
      <c r="P885" s="214"/>
      <c r="Q885" s="214"/>
      <c r="R885" s="214"/>
      <c r="S885" s="214"/>
      <c r="T885" s="214"/>
      <c r="U885" s="214"/>
      <c r="V885" s="214"/>
      <c r="W885" s="214"/>
      <c r="X885" s="214"/>
    </row>
    <row r="886" spans="1:24" ht="15.75" customHeight="1">
      <c r="A886" s="83"/>
      <c r="B886" s="218">
        <v>62.9</v>
      </c>
      <c r="C886" s="218">
        <v>18</v>
      </c>
      <c r="D886" s="218">
        <v>1E-3</v>
      </c>
      <c r="E886" s="218">
        <v>1.06E-2</v>
      </c>
      <c r="F886" s="218">
        <v>292.26</v>
      </c>
      <c r="G886" s="218">
        <v>427.36</v>
      </c>
      <c r="H886" s="218">
        <v>1.2987</v>
      </c>
      <c r="I886" s="218">
        <v>1.7007000000000001</v>
      </c>
      <c r="J886" s="218">
        <v>1.6951000000000001</v>
      </c>
      <c r="K886" s="218">
        <v>1.4394</v>
      </c>
      <c r="L886" s="214"/>
      <c r="M886" s="214"/>
      <c r="N886" s="214"/>
      <c r="O886" s="214"/>
      <c r="P886" s="214"/>
      <c r="Q886" s="214"/>
      <c r="R886" s="214"/>
      <c r="S886" s="214"/>
      <c r="T886" s="214"/>
      <c r="U886" s="214"/>
      <c r="V886" s="214"/>
      <c r="W886" s="214"/>
      <c r="X886" s="214"/>
    </row>
    <row r="887" spans="1:24" ht="15.75" customHeight="1">
      <c r="A887" s="83"/>
      <c r="B887" s="218">
        <v>63</v>
      </c>
      <c r="C887" s="218">
        <v>18.04</v>
      </c>
      <c r="D887" s="218">
        <v>1E-3</v>
      </c>
      <c r="E887" s="218">
        <v>1.0500000000000001E-2</v>
      </c>
      <c r="F887" s="218">
        <v>292.43</v>
      </c>
      <c r="G887" s="218">
        <v>427.38</v>
      </c>
      <c r="H887" s="218">
        <v>1.2991999999999999</v>
      </c>
      <c r="I887" s="218">
        <v>1.7005999999999999</v>
      </c>
      <c r="J887" s="218">
        <v>1.6963999999999999</v>
      </c>
      <c r="K887" s="218">
        <v>1.4413</v>
      </c>
      <c r="L887" s="214"/>
      <c r="M887" s="214"/>
      <c r="N887" s="214"/>
      <c r="O887" s="214"/>
      <c r="P887" s="214"/>
      <c r="Q887" s="214"/>
      <c r="R887" s="214"/>
      <c r="S887" s="214"/>
      <c r="T887" s="214"/>
      <c r="U887" s="214"/>
      <c r="V887" s="214"/>
      <c r="W887" s="214"/>
      <c r="X887" s="214"/>
    </row>
    <row r="888" spans="1:24" ht="15.75" customHeight="1">
      <c r="A888" s="83"/>
      <c r="B888" s="218">
        <v>63.1</v>
      </c>
      <c r="C888" s="218">
        <v>18.09</v>
      </c>
      <c r="D888" s="218">
        <v>1E-3</v>
      </c>
      <c r="E888" s="218">
        <v>1.0500000000000001E-2</v>
      </c>
      <c r="F888" s="218">
        <v>292.60000000000002</v>
      </c>
      <c r="G888" s="218">
        <v>427.4</v>
      </c>
      <c r="H888" s="218">
        <v>1.2997000000000001</v>
      </c>
      <c r="I888" s="218">
        <v>1.7005999999999999</v>
      </c>
      <c r="J888" s="218">
        <v>1.6977</v>
      </c>
      <c r="K888" s="218">
        <v>1.4433</v>
      </c>
      <c r="L888" s="214"/>
      <c r="M888" s="214"/>
      <c r="N888" s="214"/>
      <c r="O888" s="214"/>
      <c r="P888" s="214"/>
      <c r="Q888" s="214"/>
      <c r="R888" s="214"/>
      <c r="S888" s="214"/>
      <c r="T888" s="214"/>
      <c r="U888" s="214"/>
      <c r="V888" s="214"/>
      <c r="W888" s="214"/>
      <c r="X888" s="214"/>
    </row>
    <row r="889" spans="1:24" ht="15.75" customHeight="1">
      <c r="A889" s="83"/>
      <c r="B889" s="218">
        <v>63.2</v>
      </c>
      <c r="C889" s="218">
        <v>18.13</v>
      </c>
      <c r="D889" s="218">
        <v>1E-3</v>
      </c>
      <c r="E889" s="218">
        <v>1.0500000000000001E-2</v>
      </c>
      <c r="F889" s="218">
        <v>292.76</v>
      </c>
      <c r="G889" s="218">
        <v>427.43</v>
      </c>
      <c r="H889" s="218">
        <v>1.3001</v>
      </c>
      <c r="I889" s="218">
        <v>1.7004999999999999</v>
      </c>
      <c r="J889" s="218">
        <v>1.6990000000000001</v>
      </c>
      <c r="K889" s="218">
        <v>1.4452</v>
      </c>
      <c r="L889" s="214"/>
      <c r="M889" s="214"/>
      <c r="N889" s="214"/>
      <c r="O889" s="214"/>
      <c r="P889" s="214"/>
      <c r="Q889" s="214"/>
      <c r="R889" s="214"/>
      <c r="S889" s="214"/>
      <c r="T889" s="214"/>
      <c r="U889" s="214"/>
      <c r="V889" s="214"/>
      <c r="W889" s="214"/>
      <c r="X889" s="214"/>
    </row>
    <row r="890" spans="1:24" ht="15.75" customHeight="1">
      <c r="A890" s="83"/>
      <c r="B890" s="218">
        <v>63.3</v>
      </c>
      <c r="C890" s="218">
        <v>18.170000000000002</v>
      </c>
      <c r="D890" s="218">
        <v>1E-3</v>
      </c>
      <c r="E890" s="218">
        <v>1.04E-2</v>
      </c>
      <c r="F890" s="218">
        <v>292.93</v>
      </c>
      <c r="G890" s="218">
        <v>427.45</v>
      </c>
      <c r="H890" s="218">
        <v>1.3006</v>
      </c>
      <c r="I890" s="218">
        <v>1.7004999999999999</v>
      </c>
      <c r="J890" s="218">
        <v>1.7002999999999999</v>
      </c>
      <c r="K890" s="218">
        <v>1.4472</v>
      </c>
      <c r="L890" s="214"/>
      <c r="M890" s="214"/>
      <c r="N890" s="214"/>
      <c r="O890" s="214"/>
      <c r="P890" s="214"/>
      <c r="Q890" s="214"/>
      <c r="R890" s="214"/>
      <c r="S890" s="214"/>
      <c r="T890" s="214"/>
      <c r="U890" s="214"/>
      <c r="V890" s="214"/>
      <c r="W890" s="214"/>
      <c r="X890" s="214"/>
    </row>
    <row r="891" spans="1:24" ht="15.75" customHeight="1">
      <c r="A891" s="83"/>
      <c r="B891" s="218">
        <v>63.4</v>
      </c>
      <c r="C891" s="218">
        <v>18.21</v>
      </c>
      <c r="D891" s="218">
        <v>1E-3</v>
      </c>
      <c r="E891" s="218">
        <v>1.04E-2</v>
      </c>
      <c r="F891" s="218">
        <v>293.08999999999997</v>
      </c>
      <c r="G891" s="218">
        <v>427.47</v>
      </c>
      <c r="H891" s="218">
        <v>1.3010999999999999</v>
      </c>
      <c r="I891" s="218">
        <v>1.7003999999999999</v>
      </c>
      <c r="J891" s="218">
        <v>1.7016</v>
      </c>
      <c r="K891" s="218">
        <v>1.4492</v>
      </c>
      <c r="L891" s="214"/>
      <c r="M891" s="214"/>
      <c r="N891" s="214"/>
      <c r="O891" s="214"/>
      <c r="P891" s="214"/>
      <c r="Q891" s="214"/>
      <c r="R891" s="214"/>
      <c r="S891" s="214"/>
      <c r="T891" s="214"/>
      <c r="U891" s="214"/>
      <c r="V891" s="214"/>
      <c r="W891" s="214"/>
      <c r="X891" s="214"/>
    </row>
    <row r="892" spans="1:24" ht="15.75" customHeight="1">
      <c r="A892" s="83"/>
      <c r="B892" s="218">
        <v>63.5</v>
      </c>
      <c r="C892" s="218">
        <v>18.25</v>
      </c>
      <c r="D892" s="218">
        <v>1E-3</v>
      </c>
      <c r="E892" s="218">
        <v>1.04E-2</v>
      </c>
      <c r="F892" s="218">
        <v>293.26</v>
      </c>
      <c r="G892" s="218">
        <v>427.5</v>
      </c>
      <c r="H892" s="218">
        <v>1.3016000000000001</v>
      </c>
      <c r="I892" s="218">
        <v>1.7002999999999999</v>
      </c>
      <c r="J892" s="218">
        <v>1.7029000000000001</v>
      </c>
      <c r="K892" s="218">
        <v>1.4512</v>
      </c>
      <c r="L892" s="214"/>
      <c r="M892" s="214"/>
      <c r="N892" s="214"/>
      <c r="O892" s="214"/>
      <c r="P892" s="214"/>
      <c r="Q892" s="214"/>
      <c r="R892" s="214"/>
      <c r="S892" s="214"/>
      <c r="T892" s="214"/>
      <c r="U892" s="214"/>
      <c r="V892" s="214"/>
      <c r="W892" s="214"/>
      <c r="X892" s="214"/>
    </row>
    <row r="893" spans="1:24" ht="15.75" customHeight="1">
      <c r="A893" s="83"/>
      <c r="B893" s="218">
        <v>63.6</v>
      </c>
      <c r="C893" s="218">
        <v>18.3</v>
      </c>
      <c r="D893" s="218">
        <v>1E-3</v>
      </c>
      <c r="E893" s="218">
        <v>1.04E-2</v>
      </c>
      <c r="F893" s="218">
        <v>293.43</v>
      </c>
      <c r="G893" s="218">
        <v>427.52</v>
      </c>
      <c r="H893" s="218">
        <v>1.3021</v>
      </c>
      <c r="I893" s="218">
        <v>1.7002999999999999</v>
      </c>
      <c r="J893" s="218">
        <v>1.7041999999999999</v>
      </c>
      <c r="K893" s="218">
        <v>1.4532</v>
      </c>
      <c r="L893" s="214"/>
      <c r="M893" s="214"/>
      <c r="N893" s="214"/>
      <c r="O893" s="214"/>
      <c r="P893" s="214"/>
      <c r="Q893" s="214"/>
      <c r="R893" s="214"/>
      <c r="S893" s="214"/>
      <c r="T893" s="214"/>
      <c r="U893" s="214"/>
      <c r="V893" s="214"/>
      <c r="W893" s="214"/>
      <c r="X893" s="214"/>
    </row>
    <row r="894" spans="1:24" ht="15.75" customHeight="1">
      <c r="A894" s="83"/>
      <c r="B894" s="218">
        <v>63.7</v>
      </c>
      <c r="C894" s="218">
        <v>18.34</v>
      </c>
      <c r="D894" s="218">
        <v>1E-3</v>
      </c>
      <c r="E894" s="218">
        <v>1.03E-2</v>
      </c>
      <c r="F894" s="218">
        <v>293.58999999999997</v>
      </c>
      <c r="G894" s="218">
        <v>427.54</v>
      </c>
      <c r="H894" s="218">
        <v>1.3026</v>
      </c>
      <c r="I894" s="218">
        <v>1.7001999999999999</v>
      </c>
      <c r="J894" s="218">
        <v>1.7055</v>
      </c>
      <c r="K894" s="218">
        <v>1.4552</v>
      </c>
      <c r="L894" s="214"/>
      <c r="M894" s="214"/>
      <c r="N894" s="214"/>
      <c r="O894" s="214"/>
      <c r="P894" s="214"/>
      <c r="Q894" s="214"/>
      <c r="R894" s="214"/>
      <c r="S894" s="214"/>
      <c r="T894" s="214"/>
      <c r="U894" s="214"/>
      <c r="V894" s="214"/>
      <c r="W894" s="214"/>
      <c r="X894" s="214"/>
    </row>
    <row r="895" spans="1:24" ht="15.75" customHeight="1">
      <c r="A895" s="83"/>
      <c r="B895" s="218">
        <v>63.8</v>
      </c>
      <c r="C895" s="218">
        <v>18.38</v>
      </c>
      <c r="D895" s="218">
        <v>1E-3</v>
      </c>
      <c r="E895" s="218">
        <v>1.03E-2</v>
      </c>
      <c r="F895" s="218">
        <v>293.76</v>
      </c>
      <c r="G895" s="218">
        <v>427.56</v>
      </c>
      <c r="H895" s="218">
        <v>1.3029999999999999</v>
      </c>
      <c r="I895" s="218">
        <v>1.7000999999999999</v>
      </c>
      <c r="J895" s="218">
        <v>1.7069000000000001</v>
      </c>
      <c r="K895" s="218">
        <v>1.4572000000000001</v>
      </c>
      <c r="L895" s="214"/>
      <c r="M895" s="214"/>
      <c r="N895" s="214"/>
      <c r="O895" s="214"/>
      <c r="P895" s="214"/>
      <c r="Q895" s="214"/>
      <c r="R895" s="214"/>
      <c r="S895" s="214"/>
      <c r="T895" s="214"/>
      <c r="U895" s="214"/>
      <c r="V895" s="214"/>
      <c r="W895" s="214"/>
      <c r="X895" s="214"/>
    </row>
    <row r="896" spans="1:24" ht="15.75" customHeight="1">
      <c r="A896" s="83"/>
      <c r="B896" s="218">
        <v>63.9</v>
      </c>
      <c r="C896" s="218">
        <v>18.420000000000002</v>
      </c>
      <c r="D896" s="218">
        <v>1E-3</v>
      </c>
      <c r="E896" s="218">
        <v>1.03E-2</v>
      </c>
      <c r="F896" s="218">
        <v>293.92</v>
      </c>
      <c r="G896" s="218">
        <v>427.58</v>
      </c>
      <c r="H896" s="218">
        <v>1.3035000000000001</v>
      </c>
      <c r="I896" s="218">
        <v>1.7000999999999999</v>
      </c>
      <c r="J896" s="218">
        <v>1.7081999999999999</v>
      </c>
      <c r="K896" s="218">
        <v>1.4592000000000001</v>
      </c>
      <c r="L896" s="214"/>
      <c r="M896" s="214"/>
      <c r="N896" s="214"/>
      <c r="O896" s="214"/>
      <c r="P896" s="214"/>
      <c r="Q896" s="214"/>
      <c r="R896" s="214"/>
      <c r="S896" s="214"/>
      <c r="T896" s="214"/>
      <c r="U896" s="214"/>
      <c r="V896" s="214"/>
      <c r="W896" s="214"/>
      <c r="X896" s="214"/>
    </row>
    <row r="897" spans="1:24" ht="15.75" customHeight="1">
      <c r="A897" s="83"/>
      <c r="B897" s="218">
        <v>64</v>
      </c>
      <c r="C897" s="218">
        <v>18.47</v>
      </c>
      <c r="D897" s="218">
        <v>1E-3</v>
      </c>
      <c r="E897" s="218">
        <v>1.0200000000000001E-2</v>
      </c>
      <c r="F897" s="218">
        <v>294.08999999999997</v>
      </c>
      <c r="G897" s="218">
        <v>427.61</v>
      </c>
      <c r="H897" s="218">
        <v>1.304</v>
      </c>
      <c r="I897" s="218">
        <v>1.7</v>
      </c>
      <c r="J897" s="218">
        <v>1.7095</v>
      </c>
      <c r="K897" s="218">
        <v>1.4613</v>
      </c>
      <c r="L897" s="214"/>
      <c r="M897" s="214"/>
      <c r="N897" s="214"/>
      <c r="O897" s="214"/>
      <c r="P897" s="214"/>
      <c r="Q897" s="214"/>
      <c r="R897" s="214"/>
      <c r="S897" s="214"/>
      <c r="T897" s="214"/>
      <c r="U897" s="214"/>
      <c r="V897" s="214"/>
      <c r="W897" s="214"/>
      <c r="X897" s="214"/>
    </row>
    <row r="898" spans="1:24" ht="15.75" customHeight="1">
      <c r="A898" s="83"/>
      <c r="B898" s="218">
        <v>64.099999999999994</v>
      </c>
      <c r="C898" s="218">
        <v>18.510000000000002</v>
      </c>
      <c r="D898" s="218">
        <v>1E-3</v>
      </c>
      <c r="E898" s="218">
        <v>1.0200000000000001E-2</v>
      </c>
      <c r="F898" s="218">
        <v>294.26</v>
      </c>
      <c r="G898" s="218">
        <v>427.63</v>
      </c>
      <c r="H898" s="218">
        <v>1.3045</v>
      </c>
      <c r="I898" s="218">
        <v>1.6999</v>
      </c>
      <c r="J898" s="218">
        <v>1.7109000000000001</v>
      </c>
      <c r="K898" s="218">
        <v>1.4633</v>
      </c>
      <c r="L898" s="214"/>
      <c r="M898" s="214"/>
      <c r="N898" s="214"/>
      <c r="O898" s="214"/>
      <c r="P898" s="214"/>
      <c r="Q898" s="214"/>
      <c r="R898" s="214"/>
      <c r="S898" s="214"/>
      <c r="T898" s="214"/>
      <c r="U898" s="214"/>
      <c r="V898" s="214"/>
      <c r="W898" s="214"/>
      <c r="X898" s="214"/>
    </row>
    <row r="899" spans="1:24" ht="15.75" customHeight="1">
      <c r="A899" s="83"/>
      <c r="B899" s="218">
        <v>64.2</v>
      </c>
      <c r="C899" s="218">
        <v>18.55</v>
      </c>
      <c r="D899" s="218">
        <v>1E-3</v>
      </c>
      <c r="E899" s="218">
        <v>1.0200000000000001E-2</v>
      </c>
      <c r="F899" s="218">
        <v>294.42</v>
      </c>
      <c r="G899" s="218">
        <v>427.65</v>
      </c>
      <c r="H899" s="218">
        <v>1.3049999999999999</v>
      </c>
      <c r="I899" s="218">
        <v>1.6999</v>
      </c>
      <c r="J899" s="218">
        <v>1.7122999999999999</v>
      </c>
      <c r="K899" s="218">
        <v>1.4654</v>
      </c>
      <c r="L899" s="214"/>
      <c r="M899" s="214"/>
      <c r="N899" s="214"/>
      <c r="O899" s="214"/>
      <c r="P899" s="214"/>
      <c r="Q899" s="214"/>
      <c r="R899" s="214"/>
      <c r="S899" s="214"/>
      <c r="T899" s="214"/>
      <c r="U899" s="214"/>
      <c r="V899" s="214"/>
      <c r="W899" s="214"/>
      <c r="X899" s="214"/>
    </row>
    <row r="900" spans="1:24" ht="15.75" customHeight="1">
      <c r="A900" s="83"/>
      <c r="B900" s="218">
        <v>64.3</v>
      </c>
      <c r="C900" s="218">
        <v>18.600000000000001</v>
      </c>
      <c r="D900" s="218">
        <v>1E-3</v>
      </c>
      <c r="E900" s="218">
        <v>1.0200000000000001E-2</v>
      </c>
      <c r="F900" s="218">
        <v>294.58999999999997</v>
      </c>
      <c r="G900" s="218">
        <v>427.67</v>
      </c>
      <c r="H900" s="218">
        <v>1.3053999999999999</v>
      </c>
      <c r="I900" s="218">
        <v>1.6998</v>
      </c>
      <c r="J900" s="218">
        <v>1.7136</v>
      </c>
      <c r="K900" s="218">
        <v>1.4674</v>
      </c>
      <c r="L900" s="214"/>
      <c r="M900" s="214"/>
      <c r="N900" s="214"/>
      <c r="O900" s="214"/>
      <c r="P900" s="214"/>
      <c r="Q900" s="214"/>
      <c r="R900" s="214"/>
      <c r="S900" s="214"/>
      <c r="T900" s="214"/>
      <c r="U900" s="214"/>
      <c r="V900" s="214"/>
      <c r="W900" s="214"/>
      <c r="X900" s="214"/>
    </row>
    <row r="901" spans="1:24" ht="15.75" customHeight="1">
      <c r="A901" s="83"/>
      <c r="B901" s="218">
        <v>64.400000000000006</v>
      </c>
      <c r="C901" s="218">
        <v>18.64</v>
      </c>
      <c r="D901" s="218">
        <v>1E-3</v>
      </c>
      <c r="E901" s="218">
        <v>1.01E-2</v>
      </c>
      <c r="F901" s="218">
        <v>294.76</v>
      </c>
      <c r="G901" s="218">
        <v>427.69</v>
      </c>
      <c r="H901" s="218">
        <v>1.3059000000000001</v>
      </c>
      <c r="I901" s="218">
        <v>1.6997</v>
      </c>
      <c r="J901" s="218">
        <v>1.7150000000000001</v>
      </c>
      <c r="K901" s="218">
        <v>1.4695</v>
      </c>
      <c r="L901" s="214"/>
      <c r="M901" s="214"/>
      <c r="N901" s="214"/>
      <c r="O901" s="214"/>
      <c r="P901" s="214"/>
      <c r="Q901" s="214"/>
      <c r="R901" s="214"/>
      <c r="S901" s="214"/>
      <c r="T901" s="214"/>
      <c r="U901" s="214"/>
      <c r="V901" s="214"/>
      <c r="W901" s="214"/>
      <c r="X901" s="214"/>
    </row>
    <row r="902" spans="1:24" ht="15.75" customHeight="1">
      <c r="A902" s="83"/>
      <c r="B902" s="218">
        <v>64.5</v>
      </c>
      <c r="C902" s="218">
        <v>18.68</v>
      </c>
      <c r="D902" s="218">
        <v>1E-3</v>
      </c>
      <c r="E902" s="218">
        <v>1.01E-2</v>
      </c>
      <c r="F902" s="218">
        <v>294.92</v>
      </c>
      <c r="G902" s="218">
        <v>427.71</v>
      </c>
      <c r="H902" s="218">
        <v>1.3064</v>
      </c>
      <c r="I902" s="218">
        <v>1.6997</v>
      </c>
      <c r="J902" s="218">
        <v>1.7163999999999999</v>
      </c>
      <c r="K902" s="218">
        <v>1.4716</v>
      </c>
      <c r="L902" s="214"/>
      <c r="M902" s="214"/>
      <c r="N902" s="214"/>
      <c r="O902" s="214"/>
      <c r="P902" s="214"/>
      <c r="Q902" s="214"/>
      <c r="R902" s="214"/>
      <c r="S902" s="214"/>
      <c r="T902" s="214"/>
      <c r="U902" s="214"/>
      <c r="V902" s="214"/>
      <c r="W902" s="214"/>
      <c r="X902" s="214"/>
    </row>
    <row r="903" spans="1:24" ht="15.75" customHeight="1">
      <c r="A903" s="83"/>
      <c r="B903" s="218">
        <v>64.599999999999994</v>
      </c>
      <c r="C903" s="218">
        <v>18.72</v>
      </c>
      <c r="D903" s="218">
        <v>1E-3</v>
      </c>
      <c r="E903" s="218">
        <v>1.01E-2</v>
      </c>
      <c r="F903" s="218">
        <v>295.08999999999997</v>
      </c>
      <c r="G903" s="218">
        <v>427.73</v>
      </c>
      <c r="H903" s="218">
        <v>1.3069</v>
      </c>
      <c r="I903" s="218">
        <v>1.6996</v>
      </c>
      <c r="J903" s="218">
        <v>1.7178</v>
      </c>
      <c r="K903" s="218">
        <v>1.4737</v>
      </c>
      <c r="L903" s="214"/>
      <c r="M903" s="214"/>
      <c r="N903" s="214"/>
      <c r="O903" s="214"/>
      <c r="P903" s="214"/>
      <c r="Q903" s="214"/>
      <c r="R903" s="214"/>
      <c r="S903" s="214"/>
      <c r="T903" s="214"/>
      <c r="U903" s="214"/>
      <c r="V903" s="214"/>
      <c r="W903" s="214"/>
      <c r="X903" s="214"/>
    </row>
    <row r="904" spans="1:24" ht="15.75" customHeight="1">
      <c r="A904" s="83"/>
      <c r="B904" s="218">
        <v>64.7</v>
      </c>
      <c r="C904" s="218">
        <v>18.77</v>
      </c>
      <c r="D904" s="218">
        <v>1E-3</v>
      </c>
      <c r="E904" s="218">
        <v>0.01</v>
      </c>
      <c r="F904" s="218">
        <v>295.26</v>
      </c>
      <c r="G904" s="218">
        <v>427.76</v>
      </c>
      <c r="H904" s="218">
        <v>1.3073999999999999</v>
      </c>
      <c r="I904" s="218">
        <v>1.6995</v>
      </c>
      <c r="J904" s="218">
        <v>1.7191000000000001</v>
      </c>
      <c r="K904" s="218">
        <v>1.4758</v>
      </c>
      <c r="L904" s="214"/>
      <c r="M904" s="214"/>
      <c r="N904" s="214"/>
      <c r="O904" s="214"/>
      <c r="P904" s="214"/>
      <c r="Q904" s="214"/>
      <c r="R904" s="214"/>
      <c r="S904" s="214"/>
      <c r="T904" s="214"/>
      <c r="U904" s="214"/>
      <c r="V904" s="214"/>
      <c r="W904" s="214"/>
      <c r="X904" s="214"/>
    </row>
    <row r="905" spans="1:24" ht="15.75" customHeight="1">
      <c r="A905" s="83"/>
      <c r="B905" s="218">
        <v>64.8</v>
      </c>
      <c r="C905" s="218">
        <v>18.809999999999999</v>
      </c>
      <c r="D905" s="218">
        <v>1E-3</v>
      </c>
      <c r="E905" s="218">
        <v>0.01</v>
      </c>
      <c r="F905" s="218">
        <v>295.43</v>
      </c>
      <c r="G905" s="218">
        <v>427.78</v>
      </c>
      <c r="H905" s="218">
        <v>1.3079000000000001</v>
      </c>
      <c r="I905" s="218">
        <v>1.6995</v>
      </c>
      <c r="J905" s="218">
        <v>1.7204999999999999</v>
      </c>
      <c r="K905" s="218">
        <v>1.4779</v>
      </c>
      <c r="L905" s="214"/>
      <c r="M905" s="214"/>
      <c r="N905" s="214"/>
      <c r="O905" s="214"/>
      <c r="P905" s="214"/>
      <c r="Q905" s="214"/>
      <c r="R905" s="214"/>
      <c r="S905" s="214"/>
      <c r="T905" s="214"/>
      <c r="U905" s="214"/>
      <c r="V905" s="214"/>
      <c r="W905" s="214"/>
      <c r="X905" s="214"/>
    </row>
    <row r="906" spans="1:24" ht="15.75" customHeight="1">
      <c r="A906" s="83"/>
      <c r="B906" s="218">
        <v>64.900000000000006</v>
      </c>
      <c r="C906" s="218">
        <v>18.850000000000001</v>
      </c>
      <c r="D906" s="218">
        <v>1E-3</v>
      </c>
      <c r="E906" s="218">
        <v>0.01</v>
      </c>
      <c r="F906" s="218">
        <v>295.58999999999997</v>
      </c>
      <c r="G906" s="218">
        <v>427.8</v>
      </c>
      <c r="H906" s="218">
        <v>1.3083</v>
      </c>
      <c r="I906" s="218">
        <v>1.6994</v>
      </c>
      <c r="J906" s="218">
        <v>1.7219</v>
      </c>
      <c r="K906" s="218">
        <v>1.48</v>
      </c>
      <c r="L906" s="214"/>
      <c r="M906" s="214"/>
      <c r="N906" s="214"/>
      <c r="O906" s="214"/>
      <c r="P906" s="214"/>
      <c r="Q906" s="214"/>
      <c r="R906" s="214"/>
      <c r="S906" s="214"/>
      <c r="T906" s="214"/>
      <c r="U906" s="214"/>
      <c r="V906" s="214"/>
      <c r="W906" s="214"/>
      <c r="X906" s="214"/>
    </row>
    <row r="907" spans="1:24" ht="15.75" customHeight="1">
      <c r="A907" s="83"/>
      <c r="B907" s="218">
        <v>65</v>
      </c>
      <c r="C907" s="218">
        <v>18.899999999999999</v>
      </c>
      <c r="D907" s="218">
        <v>1E-3</v>
      </c>
      <c r="E907" s="218">
        <v>0.01</v>
      </c>
      <c r="F907" s="218">
        <v>295.76</v>
      </c>
      <c r="G907" s="218">
        <v>427.82</v>
      </c>
      <c r="H907" s="218">
        <v>1.3088</v>
      </c>
      <c r="I907" s="218">
        <v>1.6993</v>
      </c>
      <c r="J907" s="218">
        <v>1.7234</v>
      </c>
      <c r="K907" s="218">
        <v>1.4822</v>
      </c>
      <c r="L907" s="214"/>
      <c r="M907" s="214"/>
      <c r="N907" s="214"/>
      <c r="O907" s="214"/>
      <c r="P907" s="214"/>
      <c r="Q907" s="214"/>
      <c r="R907" s="214"/>
      <c r="S907" s="214"/>
      <c r="T907" s="214"/>
      <c r="U907" s="214"/>
      <c r="V907" s="214"/>
      <c r="W907" s="214"/>
      <c r="X907" s="214"/>
    </row>
    <row r="908" spans="1:24" ht="15.75" customHeight="1">
      <c r="A908" s="83"/>
      <c r="B908" s="218">
        <v>65.099999999999994</v>
      </c>
      <c r="C908" s="218">
        <v>18.940000000000001</v>
      </c>
      <c r="D908" s="218">
        <v>1E-3</v>
      </c>
      <c r="E908" s="218">
        <v>9.9000000000000008E-3</v>
      </c>
      <c r="F908" s="218">
        <v>295.93</v>
      </c>
      <c r="G908" s="218">
        <v>427.84</v>
      </c>
      <c r="H908" s="218">
        <v>1.3092999999999999</v>
      </c>
      <c r="I908" s="218">
        <v>1.6993</v>
      </c>
      <c r="J908" s="218">
        <v>1.7248000000000001</v>
      </c>
      <c r="K908" s="218">
        <v>1.4843</v>
      </c>
      <c r="L908" s="214"/>
      <c r="M908" s="214"/>
      <c r="N908" s="214"/>
      <c r="O908" s="214"/>
      <c r="P908" s="214"/>
      <c r="Q908" s="214"/>
      <c r="R908" s="214"/>
      <c r="S908" s="214"/>
      <c r="T908" s="214"/>
      <c r="U908" s="214"/>
      <c r="V908" s="214"/>
      <c r="W908" s="214"/>
      <c r="X908" s="214"/>
    </row>
    <row r="909" spans="1:24" ht="15.75" customHeight="1">
      <c r="A909" s="83"/>
      <c r="B909" s="218">
        <v>65.2</v>
      </c>
      <c r="C909" s="218">
        <v>18.989999999999998</v>
      </c>
      <c r="D909" s="218">
        <v>1E-3</v>
      </c>
      <c r="E909" s="218">
        <v>9.9000000000000008E-3</v>
      </c>
      <c r="F909" s="218">
        <v>296.10000000000002</v>
      </c>
      <c r="G909" s="218">
        <v>427.86</v>
      </c>
      <c r="H909" s="218">
        <v>1.3098000000000001</v>
      </c>
      <c r="I909" s="218">
        <v>1.6992</v>
      </c>
      <c r="J909" s="218">
        <v>1.7262</v>
      </c>
      <c r="K909" s="218">
        <v>1.4864999999999999</v>
      </c>
      <c r="L909" s="214"/>
      <c r="M909" s="214"/>
      <c r="N909" s="214"/>
      <c r="O909" s="214"/>
      <c r="P909" s="214"/>
      <c r="Q909" s="214"/>
      <c r="R909" s="214"/>
      <c r="S909" s="214"/>
      <c r="T909" s="214"/>
      <c r="U909" s="214"/>
      <c r="V909" s="214"/>
      <c r="W909" s="214"/>
      <c r="X909" s="214"/>
    </row>
    <row r="910" spans="1:24" ht="15.75" customHeight="1">
      <c r="A910" s="83"/>
      <c r="B910" s="218">
        <v>65.3</v>
      </c>
      <c r="C910" s="218">
        <v>19.03</v>
      </c>
      <c r="D910" s="218">
        <v>1E-3</v>
      </c>
      <c r="E910" s="218">
        <v>9.9000000000000008E-3</v>
      </c>
      <c r="F910" s="218">
        <v>296.26</v>
      </c>
      <c r="G910" s="218">
        <v>427.88</v>
      </c>
      <c r="H910" s="218">
        <v>1.3103</v>
      </c>
      <c r="I910" s="218">
        <v>1.6991000000000001</v>
      </c>
      <c r="J910" s="218">
        <v>1.7276</v>
      </c>
      <c r="K910" s="218">
        <v>1.4886999999999999</v>
      </c>
      <c r="L910" s="214"/>
      <c r="M910" s="214"/>
      <c r="N910" s="214"/>
      <c r="O910" s="214"/>
      <c r="P910" s="214"/>
      <c r="Q910" s="214"/>
      <c r="R910" s="214"/>
      <c r="S910" s="214"/>
      <c r="T910" s="214"/>
      <c r="U910" s="214"/>
      <c r="V910" s="214"/>
      <c r="W910" s="214"/>
      <c r="X910" s="214"/>
    </row>
    <row r="911" spans="1:24" ht="15.75" customHeight="1">
      <c r="A911" s="83"/>
      <c r="B911" s="218">
        <v>65.400000000000006</v>
      </c>
      <c r="C911" s="218">
        <v>19.07</v>
      </c>
      <c r="D911" s="218">
        <v>1E-3</v>
      </c>
      <c r="E911" s="218">
        <v>9.7999999999999997E-3</v>
      </c>
      <c r="F911" s="218">
        <v>296.43</v>
      </c>
      <c r="G911" s="218">
        <v>427.9</v>
      </c>
      <c r="H911" s="218">
        <v>1.3108</v>
      </c>
      <c r="I911" s="218">
        <v>1.6991000000000001</v>
      </c>
      <c r="J911" s="218">
        <v>1.7291000000000001</v>
      </c>
      <c r="K911" s="218">
        <v>1.4907999999999999</v>
      </c>
      <c r="L911" s="214"/>
      <c r="M911" s="214"/>
      <c r="N911" s="214"/>
      <c r="O911" s="214"/>
      <c r="P911" s="214"/>
      <c r="Q911" s="214"/>
      <c r="R911" s="214"/>
      <c r="S911" s="214"/>
      <c r="T911" s="214"/>
      <c r="U911" s="214"/>
      <c r="V911" s="214"/>
      <c r="W911" s="214"/>
      <c r="X911" s="214"/>
    </row>
    <row r="912" spans="1:24" ht="15.75" customHeight="1">
      <c r="A912" s="83"/>
      <c r="B912" s="218">
        <v>65.5</v>
      </c>
      <c r="C912" s="218">
        <v>19.12</v>
      </c>
      <c r="D912" s="218">
        <v>1E-3</v>
      </c>
      <c r="E912" s="218">
        <v>9.7999999999999997E-3</v>
      </c>
      <c r="F912" s="218">
        <v>296.60000000000002</v>
      </c>
      <c r="G912" s="218">
        <v>427.92</v>
      </c>
      <c r="H912" s="218">
        <v>1.3111999999999999</v>
      </c>
      <c r="I912" s="218">
        <v>1.6990000000000001</v>
      </c>
      <c r="J912" s="218">
        <v>1.7304999999999999</v>
      </c>
      <c r="K912" s="218">
        <v>1.4930000000000001</v>
      </c>
      <c r="L912" s="214"/>
      <c r="M912" s="214"/>
      <c r="N912" s="214"/>
      <c r="O912" s="214"/>
      <c r="P912" s="214"/>
      <c r="Q912" s="214"/>
      <c r="R912" s="214"/>
      <c r="S912" s="214"/>
      <c r="T912" s="214"/>
      <c r="U912" s="214"/>
      <c r="V912" s="214"/>
      <c r="W912" s="214"/>
      <c r="X912" s="214"/>
    </row>
    <row r="913" spans="1:24" ht="15.75" customHeight="1">
      <c r="A913" s="83"/>
      <c r="B913" s="218">
        <v>65.599999999999994</v>
      </c>
      <c r="C913" s="218">
        <v>19.16</v>
      </c>
      <c r="D913" s="218">
        <v>1E-3</v>
      </c>
      <c r="E913" s="218">
        <v>9.7999999999999997E-3</v>
      </c>
      <c r="F913" s="218">
        <v>296.77</v>
      </c>
      <c r="G913" s="218">
        <v>427.94</v>
      </c>
      <c r="H913" s="218">
        <v>1.3117000000000001</v>
      </c>
      <c r="I913" s="218">
        <v>1.6989000000000001</v>
      </c>
      <c r="J913" s="218">
        <v>1.732</v>
      </c>
      <c r="K913" s="218">
        <v>1.4952000000000001</v>
      </c>
      <c r="L913" s="214"/>
      <c r="M913" s="214"/>
      <c r="N913" s="214"/>
      <c r="O913" s="214"/>
      <c r="P913" s="214"/>
      <c r="Q913" s="214"/>
      <c r="R913" s="214"/>
      <c r="S913" s="214"/>
      <c r="T913" s="214"/>
      <c r="U913" s="214"/>
      <c r="V913" s="214"/>
      <c r="W913" s="214"/>
      <c r="X913" s="214"/>
    </row>
    <row r="914" spans="1:24" ht="15.75" customHeight="1">
      <c r="A914" s="83"/>
      <c r="B914" s="218">
        <v>65.7</v>
      </c>
      <c r="C914" s="218">
        <v>19.2</v>
      </c>
      <c r="D914" s="218">
        <v>1E-3</v>
      </c>
      <c r="E914" s="218">
        <v>9.7999999999999997E-3</v>
      </c>
      <c r="F914" s="218">
        <v>296.94</v>
      </c>
      <c r="G914" s="218">
        <v>427.96</v>
      </c>
      <c r="H914" s="218">
        <v>1.3122</v>
      </c>
      <c r="I914" s="218">
        <v>1.6989000000000001</v>
      </c>
      <c r="J914" s="218">
        <v>1.7334000000000001</v>
      </c>
      <c r="K914" s="218">
        <v>1.4975000000000001</v>
      </c>
      <c r="L914" s="214"/>
      <c r="M914" s="214"/>
      <c r="N914" s="214"/>
      <c r="O914" s="214"/>
      <c r="P914" s="214"/>
      <c r="Q914" s="214"/>
      <c r="R914" s="214"/>
      <c r="S914" s="214"/>
      <c r="T914" s="214"/>
      <c r="U914" s="214"/>
      <c r="V914" s="214"/>
      <c r="W914" s="214"/>
      <c r="X914" s="214"/>
    </row>
    <row r="915" spans="1:24" ht="15.75" customHeight="1">
      <c r="A915" s="83"/>
      <c r="B915" s="218">
        <v>65.8</v>
      </c>
      <c r="C915" s="218">
        <v>19.25</v>
      </c>
      <c r="D915" s="218">
        <v>1E-3</v>
      </c>
      <c r="E915" s="218">
        <v>9.7000000000000003E-3</v>
      </c>
      <c r="F915" s="218">
        <v>297.11</v>
      </c>
      <c r="G915" s="218">
        <v>427.98</v>
      </c>
      <c r="H915" s="218">
        <v>1.3127</v>
      </c>
      <c r="I915" s="218">
        <v>1.6988000000000001</v>
      </c>
      <c r="J915" s="218">
        <v>1.7349000000000001</v>
      </c>
      <c r="K915" s="218">
        <v>1.4997</v>
      </c>
      <c r="L915" s="214"/>
      <c r="M915" s="214"/>
      <c r="N915" s="214"/>
      <c r="O915" s="214"/>
      <c r="P915" s="214"/>
      <c r="Q915" s="214"/>
      <c r="R915" s="214"/>
      <c r="S915" s="214"/>
      <c r="T915" s="214"/>
      <c r="U915" s="214"/>
      <c r="V915" s="214"/>
      <c r="W915" s="214"/>
      <c r="X915" s="214"/>
    </row>
    <row r="916" spans="1:24" ht="15.75" customHeight="1">
      <c r="A916" s="83"/>
      <c r="B916" s="218">
        <v>65.900000000000006</v>
      </c>
      <c r="C916" s="218">
        <v>19.29</v>
      </c>
      <c r="D916" s="218">
        <v>1E-3</v>
      </c>
      <c r="E916" s="218">
        <v>9.7000000000000003E-3</v>
      </c>
      <c r="F916" s="218">
        <v>297.27</v>
      </c>
      <c r="G916" s="218">
        <v>428</v>
      </c>
      <c r="H916" s="218">
        <v>1.3131999999999999</v>
      </c>
      <c r="I916" s="218">
        <v>1.6987000000000001</v>
      </c>
      <c r="J916" s="218">
        <v>1.7363999999999999</v>
      </c>
      <c r="K916" s="218">
        <v>1.5019</v>
      </c>
      <c r="L916" s="214"/>
      <c r="M916" s="214"/>
      <c r="N916" s="214"/>
      <c r="O916" s="214"/>
      <c r="P916" s="214"/>
      <c r="Q916" s="214"/>
      <c r="R916" s="214"/>
      <c r="S916" s="214"/>
      <c r="T916" s="214"/>
      <c r="U916" s="214"/>
      <c r="V916" s="214"/>
      <c r="W916" s="214"/>
      <c r="X916" s="214"/>
    </row>
    <row r="917" spans="1:24" ht="15.75" customHeight="1">
      <c r="A917" s="83"/>
      <c r="B917" s="218">
        <v>66</v>
      </c>
      <c r="C917" s="218">
        <v>19.34</v>
      </c>
      <c r="D917" s="218">
        <v>1E-3</v>
      </c>
      <c r="E917" s="218">
        <v>9.7000000000000003E-3</v>
      </c>
      <c r="F917" s="218">
        <v>297.44</v>
      </c>
      <c r="G917" s="218">
        <v>428.02</v>
      </c>
      <c r="H917" s="218">
        <v>1.3137000000000001</v>
      </c>
      <c r="I917" s="218">
        <v>1.6987000000000001</v>
      </c>
      <c r="J917" s="218">
        <v>1.7379</v>
      </c>
      <c r="K917" s="218">
        <v>1.5042</v>
      </c>
      <c r="L917" s="214"/>
      <c r="M917" s="214"/>
      <c r="N917" s="214"/>
      <c r="O917" s="214"/>
      <c r="P917" s="214"/>
      <c r="Q917" s="214"/>
      <c r="R917" s="214"/>
      <c r="S917" s="214"/>
      <c r="T917" s="214"/>
      <c r="U917" s="214"/>
      <c r="V917" s="214"/>
      <c r="W917" s="214"/>
      <c r="X917" s="214"/>
    </row>
    <row r="918" spans="1:24" ht="15.75" customHeight="1">
      <c r="A918" s="83"/>
      <c r="B918" s="218">
        <v>66.099999999999994</v>
      </c>
      <c r="C918" s="218">
        <v>19.38</v>
      </c>
      <c r="D918" s="218">
        <v>1E-3</v>
      </c>
      <c r="E918" s="218">
        <v>9.7000000000000003E-3</v>
      </c>
      <c r="F918" s="218">
        <v>297.61</v>
      </c>
      <c r="G918" s="218">
        <v>428.03</v>
      </c>
      <c r="H918" s="218">
        <v>1.3141</v>
      </c>
      <c r="I918" s="218">
        <v>1.6986000000000001</v>
      </c>
      <c r="J918" s="218">
        <v>1.7393000000000001</v>
      </c>
      <c r="K918" s="218">
        <v>1.5064</v>
      </c>
      <c r="L918" s="214"/>
      <c r="M918" s="214"/>
      <c r="N918" s="214"/>
      <c r="O918" s="214"/>
      <c r="P918" s="214"/>
      <c r="Q918" s="214"/>
      <c r="R918" s="214"/>
      <c r="S918" s="214"/>
      <c r="T918" s="214"/>
      <c r="U918" s="214"/>
      <c r="V918" s="214"/>
      <c r="W918" s="214"/>
      <c r="X918" s="214"/>
    </row>
    <row r="919" spans="1:24" ht="15.75" customHeight="1">
      <c r="A919" s="83"/>
      <c r="B919" s="218">
        <v>66.2</v>
      </c>
      <c r="C919" s="218">
        <v>19.43</v>
      </c>
      <c r="D919" s="218">
        <v>1E-3</v>
      </c>
      <c r="E919" s="218">
        <v>9.5999999999999992E-3</v>
      </c>
      <c r="F919" s="218">
        <v>297.77999999999997</v>
      </c>
      <c r="G919" s="218">
        <v>428.05</v>
      </c>
      <c r="H919" s="218">
        <v>1.3146</v>
      </c>
      <c r="I919" s="218">
        <v>1.6984999999999999</v>
      </c>
      <c r="J919" s="218">
        <v>1.7407999999999999</v>
      </c>
      <c r="K919" s="218">
        <v>1.5086999999999999</v>
      </c>
      <c r="L919" s="214"/>
      <c r="M919" s="214"/>
      <c r="N919" s="214"/>
      <c r="O919" s="214"/>
      <c r="P919" s="214"/>
      <c r="Q919" s="214"/>
      <c r="R919" s="214"/>
      <c r="S919" s="214"/>
      <c r="T919" s="214"/>
      <c r="U919" s="214"/>
      <c r="V919" s="214"/>
      <c r="W919" s="214"/>
      <c r="X919" s="214"/>
    </row>
    <row r="920" spans="1:24" ht="15.75" customHeight="1">
      <c r="A920" s="83"/>
      <c r="B920" s="218">
        <v>66.3</v>
      </c>
      <c r="C920" s="218">
        <v>19.47</v>
      </c>
      <c r="D920" s="218">
        <v>1E-3</v>
      </c>
      <c r="E920" s="218">
        <v>9.5999999999999992E-3</v>
      </c>
      <c r="F920" s="218">
        <v>297.95</v>
      </c>
      <c r="G920" s="218">
        <v>428.07</v>
      </c>
      <c r="H920" s="218">
        <v>1.3150999999999999</v>
      </c>
      <c r="I920" s="218">
        <v>1.6983999999999999</v>
      </c>
      <c r="J920" s="218">
        <v>1.7423</v>
      </c>
      <c r="K920" s="218">
        <v>1.5109999999999999</v>
      </c>
      <c r="L920" s="214"/>
      <c r="M920" s="214"/>
      <c r="N920" s="214"/>
      <c r="O920" s="214"/>
      <c r="P920" s="214"/>
      <c r="Q920" s="214"/>
      <c r="R920" s="214"/>
      <c r="S920" s="214"/>
      <c r="T920" s="214"/>
      <c r="U920" s="214"/>
      <c r="V920" s="214"/>
      <c r="W920" s="214"/>
      <c r="X920" s="214"/>
    </row>
    <row r="921" spans="1:24" ht="15.75" customHeight="1">
      <c r="A921" s="83"/>
      <c r="B921" s="218">
        <v>66.400000000000006</v>
      </c>
      <c r="C921" s="218">
        <v>19.510000000000002</v>
      </c>
      <c r="D921" s="218">
        <v>1E-3</v>
      </c>
      <c r="E921" s="218">
        <v>9.5999999999999992E-3</v>
      </c>
      <c r="F921" s="218">
        <v>298.12</v>
      </c>
      <c r="G921" s="218">
        <v>428.09</v>
      </c>
      <c r="H921" s="218">
        <v>1.3156000000000001</v>
      </c>
      <c r="I921" s="218">
        <v>1.6983999999999999</v>
      </c>
      <c r="J921" s="218">
        <v>1.7439</v>
      </c>
      <c r="K921" s="218">
        <v>1.5133000000000001</v>
      </c>
      <c r="L921" s="214"/>
      <c r="M921" s="214"/>
      <c r="N921" s="214"/>
      <c r="O921" s="214"/>
      <c r="P921" s="214"/>
      <c r="Q921" s="214"/>
      <c r="R921" s="214"/>
      <c r="S921" s="214"/>
      <c r="T921" s="214"/>
      <c r="U921" s="214"/>
      <c r="V921" s="214"/>
      <c r="W921" s="214"/>
      <c r="X921" s="214"/>
    </row>
    <row r="922" spans="1:24" ht="15.75" customHeight="1">
      <c r="A922" s="83"/>
      <c r="B922" s="218">
        <v>66.5</v>
      </c>
      <c r="C922" s="218">
        <v>19.559999999999999</v>
      </c>
      <c r="D922" s="218">
        <v>1E-3</v>
      </c>
      <c r="E922" s="218">
        <v>9.5999999999999992E-3</v>
      </c>
      <c r="F922" s="218">
        <v>298.29000000000002</v>
      </c>
      <c r="G922" s="218">
        <v>428.11</v>
      </c>
      <c r="H922" s="218">
        <v>1.3161</v>
      </c>
      <c r="I922" s="218">
        <v>1.6982999999999999</v>
      </c>
      <c r="J922" s="218">
        <v>1.7454000000000001</v>
      </c>
      <c r="K922" s="218">
        <v>1.5156000000000001</v>
      </c>
      <c r="L922" s="214"/>
      <c r="M922" s="214"/>
      <c r="N922" s="214"/>
      <c r="O922" s="214"/>
      <c r="P922" s="214"/>
      <c r="Q922" s="214"/>
      <c r="R922" s="214"/>
      <c r="S922" s="214"/>
      <c r="T922" s="214"/>
      <c r="U922" s="214"/>
      <c r="V922" s="214"/>
      <c r="W922" s="214"/>
      <c r="X922" s="214"/>
    </row>
    <row r="923" spans="1:24" ht="15.75" customHeight="1">
      <c r="A923" s="83"/>
      <c r="B923" s="218">
        <v>66.599999999999994</v>
      </c>
      <c r="C923" s="218">
        <v>19.600000000000001</v>
      </c>
      <c r="D923" s="218">
        <v>1E-3</v>
      </c>
      <c r="E923" s="218">
        <v>9.4999999999999998E-3</v>
      </c>
      <c r="F923" s="218">
        <v>298.45999999999998</v>
      </c>
      <c r="G923" s="218">
        <v>428.13</v>
      </c>
      <c r="H923" s="218">
        <v>1.3166</v>
      </c>
      <c r="I923" s="218">
        <v>1.6981999999999999</v>
      </c>
      <c r="J923" s="218">
        <v>1.7468999999999999</v>
      </c>
      <c r="K923" s="218">
        <v>1.5179</v>
      </c>
      <c r="L923" s="214"/>
      <c r="M923" s="214"/>
      <c r="N923" s="214"/>
      <c r="O923" s="214"/>
      <c r="P923" s="214"/>
      <c r="Q923" s="214"/>
      <c r="R923" s="214"/>
      <c r="S923" s="214"/>
      <c r="T923" s="214"/>
      <c r="U923" s="214"/>
      <c r="V923" s="214"/>
      <c r="W923" s="214"/>
      <c r="X923" s="214"/>
    </row>
    <row r="924" spans="1:24" ht="15.75" customHeight="1">
      <c r="A924" s="83"/>
      <c r="B924" s="218">
        <v>66.7</v>
      </c>
      <c r="C924" s="218">
        <v>19.649999999999999</v>
      </c>
      <c r="D924" s="218">
        <v>1E-3</v>
      </c>
      <c r="E924" s="218">
        <v>9.4999999999999998E-3</v>
      </c>
      <c r="F924" s="218">
        <v>298.63</v>
      </c>
      <c r="G924" s="218">
        <v>428.14</v>
      </c>
      <c r="H924" s="218">
        <v>1.3170999999999999</v>
      </c>
      <c r="I924" s="218">
        <v>1.6981999999999999</v>
      </c>
      <c r="J924" s="218">
        <v>1.7484</v>
      </c>
      <c r="K924" s="218">
        <v>1.5203</v>
      </c>
      <c r="L924" s="214"/>
      <c r="M924" s="214"/>
      <c r="N924" s="214"/>
      <c r="O924" s="214"/>
      <c r="P924" s="214"/>
      <c r="Q924" s="214"/>
      <c r="R924" s="214"/>
      <c r="S924" s="214"/>
      <c r="T924" s="214"/>
      <c r="U924" s="214"/>
      <c r="V924" s="214"/>
      <c r="W924" s="214"/>
      <c r="X924" s="214"/>
    </row>
    <row r="925" spans="1:24" ht="15.75" customHeight="1">
      <c r="A925" s="83"/>
      <c r="B925" s="218">
        <v>66.8</v>
      </c>
      <c r="C925" s="218">
        <v>19.690000000000001</v>
      </c>
      <c r="D925" s="218">
        <v>1E-3</v>
      </c>
      <c r="E925" s="218">
        <v>9.4999999999999998E-3</v>
      </c>
      <c r="F925" s="218">
        <v>298.8</v>
      </c>
      <c r="G925" s="218">
        <v>428.16</v>
      </c>
      <c r="H925" s="218">
        <v>1.3174999999999999</v>
      </c>
      <c r="I925" s="218">
        <v>1.6980999999999999</v>
      </c>
      <c r="J925" s="218">
        <v>1.75</v>
      </c>
      <c r="K925" s="218">
        <v>1.5226</v>
      </c>
      <c r="L925" s="214"/>
      <c r="M925" s="214"/>
      <c r="N925" s="214"/>
      <c r="O925" s="214"/>
      <c r="P925" s="214"/>
      <c r="Q925" s="214"/>
      <c r="R925" s="214"/>
      <c r="S925" s="214"/>
      <c r="T925" s="214"/>
      <c r="U925" s="214"/>
      <c r="V925" s="214"/>
      <c r="W925" s="214"/>
      <c r="X925" s="214"/>
    </row>
    <row r="926" spans="1:24" ht="15.75" customHeight="1">
      <c r="A926" s="83"/>
      <c r="B926" s="218">
        <v>66.900000000000006</v>
      </c>
      <c r="C926" s="218">
        <v>19.739999999999998</v>
      </c>
      <c r="D926" s="218">
        <v>1E-3</v>
      </c>
      <c r="E926" s="218">
        <v>9.4000000000000004E-3</v>
      </c>
      <c r="F926" s="218">
        <v>298.97000000000003</v>
      </c>
      <c r="G926" s="218">
        <v>428.18</v>
      </c>
      <c r="H926" s="218">
        <v>1.3180000000000001</v>
      </c>
      <c r="I926" s="218">
        <v>1.698</v>
      </c>
      <c r="J926" s="218">
        <v>1.7515000000000001</v>
      </c>
      <c r="K926" s="218">
        <v>1.5249999999999999</v>
      </c>
      <c r="L926" s="214"/>
      <c r="M926" s="214"/>
      <c r="N926" s="214"/>
      <c r="O926" s="214"/>
      <c r="P926" s="214"/>
      <c r="Q926" s="214"/>
      <c r="R926" s="214"/>
      <c r="S926" s="214"/>
      <c r="T926" s="214"/>
      <c r="U926" s="214"/>
      <c r="V926" s="214"/>
      <c r="W926" s="214"/>
      <c r="X926" s="214"/>
    </row>
    <row r="927" spans="1:24" ht="15.75" customHeight="1">
      <c r="A927" s="83"/>
      <c r="B927" s="218">
        <v>67</v>
      </c>
      <c r="C927" s="218">
        <v>19.78</v>
      </c>
      <c r="D927" s="218">
        <v>1E-3</v>
      </c>
      <c r="E927" s="218">
        <v>9.4000000000000004E-3</v>
      </c>
      <c r="F927" s="218">
        <v>299.14</v>
      </c>
      <c r="G927" s="218">
        <v>428.2</v>
      </c>
      <c r="H927" s="218">
        <v>1.3185</v>
      </c>
      <c r="I927" s="218">
        <v>1.6979</v>
      </c>
      <c r="J927" s="218">
        <v>1.7531000000000001</v>
      </c>
      <c r="K927" s="218">
        <v>1.5273000000000001</v>
      </c>
      <c r="L927" s="214"/>
      <c r="M927" s="214"/>
      <c r="N927" s="214"/>
      <c r="O927" s="214"/>
      <c r="P927" s="214"/>
      <c r="Q927" s="214"/>
      <c r="R927" s="214"/>
      <c r="S927" s="214"/>
      <c r="T927" s="214"/>
      <c r="U927" s="214"/>
      <c r="V927" s="214"/>
      <c r="W927" s="214"/>
      <c r="X927" s="214"/>
    </row>
    <row r="928" spans="1:24" ht="15.75" customHeight="1">
      <c r="A928" s="83"/>
      <c r="B928" s="218">
        <v>67.099999999999994</v>
      </c>
      <c r="C928" s="218">
        <v>19.829999999999998</v>
      </c>
      <c r="D928" s="218">
        <v>1E-3</v>
      </c>
      <c r="E928" s="218">
        <v>9.4000000000000004E-3</v>
      </c>
      <c r="F928" s="218">
        <v>299.31</v>
      </c>
      <c r="G928" s="218">
        <v>428.22</v>
      </c>
      <c r="H928" s="218">
        <v>1.319</v>
      </c>
      <c r="I928" s="218">
        <v>1.6979</v>
      </c>
      <c r="J928" s="218">
        <v>1.7546999999999999</v>
      </c>
      <c r="K928" s="218">
        <v>1.5297000000000001</v>
      </c>
      <c r="L928" s="214"/>
      <c r="M928" s="214"/>
      <c r="N928" s="214"/>
      <c r="O928" s="214"/>
      <c r="P928" s="214"/>
      <c r="Q928" s="214"/>
      <c r="R928" s="214"/>
      <c r="S928" s="214"/>
      <c r="T928" s="214"/>
      <c r="U928" s="214"/>
      <c r="V928" s="214"/>
      <c r="W928" s="214"/>
      <c r="X928" s="214"/>
    </row>
    <row r="929" spans="1:24" ht="15.75" customHeight="1">
      <c r="A929" s="83"/>
      <c r="B929" s="218">
        <v>67.2</v>
      </c>
      <c r="C929" s="218">
        <v>19.87</v>
      </c>
      <c r="D929" s="218">
        <v>1E-3</v>
      </c>
      <c r="E929" s="218">
        <v>9.4000000000000004E-3</v>
      </c>
      <c r="F929" s="218">
        <v>299.48</v>
      </c>
      <c r="G929" s="218">
        <v>428.23</v>
      </c>
      <c r="H929" s="218">
        <v>1.3194999999999999</v>
      </c>
      <c r="I929" s="218">
        <v>1.6978</v>
      </c>
      <c r="J929" s="218">
        <v>1.7562</v>
      </c>
      <c r="K929" s="218">
        <v>1.5321</v>
      </c>
      <c r="L929" s="214"/>
      <c r="M929" s="214"/>
      <c r="N929" s="214"/>
      <c r="O929" s="214"/>
      <c r="P929" s="214"/>
      <c r="Q929" s="214"/>
      <c r="R929" s="214"/>
      <c r="S929" s="214"/>
      <c r="T929" s="214"/>
      <c r="U929" s="214"/>
      <c r="V929" s="214"/>
      <c r="W929" s="214"/>
      <c r="X929" s="214"/>
    </row>
    <row r="930" spans="1:24" ht="15.75" customHeight="1">
      <c r="A930" s="83"/>
      <c r="B930" s="218">
        <v>67.3</v>
      </c>
      <c r="C930" s="218">
        <v>19.920000000000002</v>
      </c>
      <c r="D930" s="218">
        <v>1E-3</v>
      </c>
      <c r="E930" s="218">
        <v>9.2999999999999992E-3</v>
      </c>
      <c r="F930" s="218">
        <v>299.64999999999998</v>
      </c>
      <c r="G930" s="218">
        <v>428.25</v>
      </c>
      <c r="H930" s="218">
        <v>1.32</v>
      </c>
      <c r="I930" s="218">
        <v>1.6977</v>
      </c>
      <c r="J930" s="218">
        <v>1.7578</v>
      </c>
      <c r="K930" s="218">
        <v>1.5345</v>
      </c>
      <c r="L930" s="214"/>
      <c r="M930" s="214"/>
      <c r="N930" s="214"/>
      <c r="O930" s="214"/>
      <c r="P930" s="214"/>
      <c r="Q930" s="214"/>
      <c r="R930" s="214"/>
      <c r="S930" s="214"/>
      <c r="T930" s="214"/>
      <c r="U930" s="214"/>
      <c r="V930" s="214"/>
      <c r="W930" s="214"/>
      <c r="X930" s="214"/>
    </row>
    <row r="931" spans="1:24" ht="15.75" customHeight="1">
      <c r="A931" s="83"/>
      <c r="B931" s="218">
        <v>67.400000000000006</v>
      </c>
      <c r="C931" s="218">
        <v>19.96</v>
      </c>
      <c r="D931" s="218">
        <v>1E-3</v>
      </c>
      <c r="E931" s="218">
        <v>9.2999999999999992E-3</v>
      </c>
      <c r="F931" s="218">
        <v>299.82</v>
      </c>
      <c r="G931" s="218">
        <v>428.27</v>
      </c>
      <c r="H931" s="218">
        <v>1.3205</v>
      </c>
      <c r="I931" s="218">
        <v>1.6976</v>
      </c>
      <c r="J931" s="218">
        <v>1.7594000000000001</v>
      </c>
      <c r="K931" s="218">
        <v>1.5369999999999999</v>
      </c>
      <c r="L931" s="214"/>
      <c r="M931" s="214"/>
      <c r="N931" s="214"/>
      <c r="O931" s="214"/>
      <c r="P931" s="214"/>
      <c r="Q931" s="214"/>
      <c r="R931" s="214"/>
      <c r="S931" s="214"/>
      <c r="T931" s="214"/>
      <c r="U931" s="214"/>
      <c r="V931" s="214"/>
      <c r="W931" s="214"/>
      <c r="X931" s="214"/>
    </row>
    <row r="932" spans="1:24" ht="15.75" customHeight="1">
      <c r="A932" s="83"/>
      <c r="B932" s="218">
        <v>67.5</v>
      </c>
      <c r="C932" s="218">
        <v>20.010000000000002</v>
      </c>
      <c r="D932" s="218">
        <v>1E-3</v>
      </c>
      <c r="E932" s="218">
        <v>9.2999999999999992E-3</v>
      </c>
      <c r="F932" s="218">
        <v>299.99</v>
      </c>
      <c r="G932" s="218">
        <v>428.28</v>
      </c>
      <c r="H932" s="218">
        <v>1.3209</v>
      </c>
      <c r="I932" s="218">
        <v>1.6976</v>
      </c>
      <c r="J932" s="218">
        <v>1.7609999999999999</v>
      </c>
      <c r="K932" s="218">
        <v>1.5394000000000001</v>
      </c>
      <c r="L932" s="214"/>
      <c r="M932" s="214"/>
      <c r="N932" s="214"/>
      <c r="O932" s="214"/>
      <c r="P932" s="214"/>
      <c r="Q932" s="214"/>
      <c r="R932" s="214"/>
      <c r="S932" s="214"/>
      <c r="T932" s="214"/>
      <c r="U932" s="214"/>
      <c r="V932" s="214"/>
      <c r="W932" s="214"/>
      <c r="X932" s="214"/>
    </row>
    <row r="933" spans="1:24" ht="15.75" customHeight="1">
      <c r="A933" s="83"/>
      <c r="B933" s="218">
        <v>67.599999999999994</v>
      </c>
      <c r="C933" s="218">
        <v>20.05</v>
      </c>
      <c r="D933" s="218">
        <v>1E-3</v>
      </c>
      <c r="E933" s="218">
        <v>9.2999999999999992E-3</v>
      </c>
      <c r="F933" s="218">
        <v>300.16000000000003</v>
      </c>
      <c r="G933" s="218">
        <v>428.3</v>
      </c>
      <c r="H933" s="218">
        <v>1.3213999999999999</v>
      </c>
      <c r="I933" s="218">
        <v>1.6975</v>
      </c>
      <c r="J933" s="218">
        <v>1.7625999999999999</v>
      </c>
      <c r="K933" s="218">
        <v>1.5419</v>
      </c>
      <c r="L933" s="214"/>
      <c r="M933" s="214"/>
      <c r="N933" s="214"/>
      <c r="O933" s="214"/>
      <c r="P933" s="214"/>
      <c r="Q933" s="214"/>
      <c r="R933" s="214"/>
      <c r="S933" s="214"/>
      <c r="T933" s="214"/>
      <c r="U933" s="214"/>
      <c r="V933" s="214"/>
      <c r="W933" s="214"/>
      <c r="X933" s="214"/>
    </row>
    <row r="934" spans="1:24" ht="15.75" customHeight="1">
      <c r="A934" s="83"/>
      <c r="B934" s="218">
        <v>67.7</v>
      </c>
      <c r="C934" s="218">
        <v>20.100000000000001</v>
      </c>
      <c r="D934" s="218">
        <v>1E-3</v>
      </c>
      <c r="E934" s="218">
        <v>9.1999999999999998E-3</v>
      </c>
      <c r="F934" s="218">
        <v>300.33</v>
      </c>
      <c r="G934" s="218">
        <v>428.32</v>
      </c>
      <c r="H934" s="218">
        <v>1.3219000000000001</v>
      </c>
      <c r="I934" s="218">
        <v>1.6974</v>
      </c>
      <c r="J934" s="218">
        <v>1.7642</v>
      </c>
      <c r="K934" s="218">
        <v>1.5443</v>
      </c>
      <c r="L934" s="214"/>
      <c r="M934" s="214"/>
      <c r="N934" s="214"/>
      <c r="O934" s="214"/>
      <c r="P934" s="214"/>
      <c r="Q934" s="214"/>
      <c r="R934" s="214"/>
      <c r="S934" s="214"/>
      <c r="T934" s="214"/>
      <c r="U934" s="214"/>
      <c r="V934" s="214"/>
      <c r="W934" s="214"/>
      <c r="X934" s="214"/>
    </row>
    <row r="935" spans="1:24" ht="15.75" customHeight="1">
      <c r="A935" s="83"/>
      <c r="B935" s="218">
        <v>67.8</v>
      </c>
      <c r="C935" s="218">
        <v>20.149999999999999</v>
      </c>
      <c r="D935" s="218">
        <v>1E-3</v>
      </c>
      <c r="E935" s="218">
        <v>9.1999999999999998E-3</v>
      </c>
      <c r="F935" s="218">
        <v>300.5</v>
      </c>
      <c r="G935" s="218">
        <v>428.33</v>
      </c>
      <c r="H935" s="218">
        <v>1.3224</v>
      </c>
      <c r="I935" s="218">
        <v>1.6973</v>
      </c>
      <c r="J935" s="218">
        <v>1.7658</v>
      </c>
      <c r="K935" s="218">
        <v>1.5468</v>
      </c>
      <c r="L935" s="214"/>
      <c r="M935" s="214"/>
      <c r="N935" s="214"/>
      <c r="O935" s="214"/>
      <c r="P935" s="214"/>
      <c r="Q935" s="214"/>
      <c r="R935" s="214"/>
      <c r="S935" s="214"/>
      <c r="T935" s="214"/>
      <c r="U935" s="214"/>
      <c r="V935" s="214"/>
      <c r="W935" s="214"/>
      <c r="X935" s="214"/>
    </row>
    <row r="936" spans="1:24" ht="15.75" customHeight="1">
      <c r="A936" s="83"/>
      <c r="B936" s="218">
        <v>67.900000000000006</v>
      </c>
      <c r="C936" s="218">
        <v>20.190000000000001</v>
      </c>
      <c r="D936" s="218">
        <v>1E-3</v>
      </c>
      <c r="E936" s="218">
        <v>9.1999999999999998E-3</v>
      </c>
      <c r="F936" s="218">
        <v>300.67</v>
      </c>
      <c r="G936" s="218">
        <v>428.35</v>
      </c>
      <c r="H936" s="218">
        <v>1.3229</v>
      </c>
      <c r="I936" s="218">
        <v>1.6973</v>
      </c>
      <c r="J936" s="218">
        <v>1.7675000000000001</v>
      </c>
      <c r="K936" s="218">
        <v>1.5492999999999999</v>
      </c>
      <c r="L936" s="214"/>
      <c r="M936" s="214"/>
      <c r="N936" s="214"/>
      <c r="O936" s="214"/>
      <c r="P936" s="214"/>
      <c r="Q936" s="214"/>
      <c r="R936" s="214"/>
      <c r="S936" s="214"/>
      <c r="T936" s="214"/>
      <c r="U936" s="214"/>
      <c r="V936" s="214"/>
      <c r="W936" s="214"/>
      <c r="X936" s="214"/>
    </row>
    <row r="937" spans="1:24" ht="15.75" customHeight="1">
      <c r="A937" s="83"/>
      <c r="B937" s="218">
        <v>68</v>
      </c>
      <c r="C937" s="218">
        <v>20.239999999999998</v>
      </c>
      <c r="D937" s="218">
        <v>1E-3</v>
      </c>
      <c r="E937" s="218">
        <v>9.1999999999999998E-3</v>
      </c>
      <c r="F937" s="218">
        <v>300.83999999999997</v>
      </c>
      <c r="G937" s="218">
        <v>428.36</v>
      </c>
      <c r="H937" s="218">
        <v>1.3233999999999999</v>
      </c>
      <c r="I937" s="218">
        <v>1.6972</v>
      </c>
      <c r="J937" s="218">
        <v>1.7690999999999999</v>
      </c>
      <c r="K937" s="218">
        <v>1.5518000000000001</v>
      </c>
      <c r="L937" s="214"/>
      <c r="M937" s="214"/>
      <c r="N937" s="214"/>
      <c r="O937" s="214"/>
      <c r="P937" s="214"/>
      <c r="Q937" s="214"/>
      <c r="R937" s="214"/>
      <c r="S937" s="214"/>
      <c r="T937" s="214"/>
      <c r="U937" s="214"/>
      <c r="V937" s="214"/>
      <c r="W937" s="214"/>
      <c r="X937" s="214"/>
    </row>
    <row r="938" spans="1:24" ht="15.75" customHeight="1">
      <c r="A938" s="83"/>
      <c r="B938" s="218">
        <v>68.099999999999994</v>
      </c>
      <c r="C938" s="218">
        <v>20.28</v>
      </c>
      <c r="D938" s="218">
        <v>1E-3</v>
      </c>
      <c r="E938" s="218">
        <v>9.1000000000000004E-3</v>
      </c>
      <c r="F938" s="218">
        <v>301.01</v>
      </c>
      <c r="G938" s="218">
        <v>428.38</v>
      </c>
      <c r="H938" s="218">
        <v>1.3239000000000001</v>
      </c>
      <c r="I938" s="218">
        <v>1.6971000000000001</v>
      </c>
      <c r="J938" s="218">
        <v>1.7707999999999999</v>
      </c>
      <c r="K938" s="218">
        <v>1.5543</v>
      </c>
      <c r="L938" s="214"/>
      <c r="M938" s="214"/>
      <c r="N938" s="214"/>
      <c r="O938" s="214"/>
      <c r="P938" s="214"/>
      <c r="Q938" s="214"/>
      <c r="R938" s="214"/>
      <c r="S938" s="214"/>
      <c r="T938" s="214"/>
      <c r="U938" s="214"/>
      <c r="V938" s="214"/>
      <c r="W938" s="214"/>
      <c r="X938" s="214"/>
    </row>
    <row r="939" spans="1:24" ht="15.75" customHeight="1">
      <c r="A939" s="83"/>
      <c r="B939" s="218">
        <v>68.2</v>
      </c>
      <c r="C939" s="218">
        <v>20.329999999999998</v>
      </c>
      <c r="D939" s="218">
        <v>1E-3</v>
      </c>
      <c r="E939" s="218">
        <v>9.1000000000000004E-3</v>
      </c>
      <c r="F939" s="218">
        <v>301.18</v>
      </c>
      <c r="G939" s="218">
        <v>428.4</v>
      </c>
      <c r="H939" s="218">
        <v>1.3244</v>
      </c>
      <c r="I939" s="218">
        <v>1.6970000000000001</v>
      </c>
      <c r="J939" s="218">
        <v>1.7724</v>
      </c>
      <c r="K939" s="218">
        <v>1.5569</v>
      </c>
      <c r="L939" s="214"/>
      <c r="M939" s="214"/>
      <c r="N939" s="214"/>
      <c r="O939" s="214"/>
      <c r="P939" s="214"/>
      <c r="Q939" s="214"/>
      <c r="R939" s="214"/>
      <c r="S939" s="214"/>
      <c r="T939" s="214"/>
      <c r="U939" s="214"/>
      <c r="V939" s="214"/>
      <c r="W939" s="214"/>
      <c r="X939" s="214"/>
    </row>
    <row r="940" spans="1:24" ht="15.75" customHeight="1">
      <c r="A940" s="83"/>
      <c r="B940" s="218">
        <v>68.3</v>
      </c>
      <c r="C940" s="218">
        <v>20.37</v>
      </c>
      <c r="D940" s="218">
        <v>1E-3</v>
      </c>
      <c r="E940" s="218">
        <v>9.1000000000000004E-3</v>
      </c>
      <c r="F940" s="218">
        <v>301.35000000000002</v>
      </c>
      <c r="G940" s="218">
        <v>428.41</v>
      </c>
      <c r="H940" s="218">
        <v>1.3248</v>
      </c>
      <c r="I940" s="218">
        <v>1.6970000000000001</v>
      </c>
      <c r="J940" s="218">
        <v>1.7741</v>
      </c>
      <c r="K940" s="218">
        <v>1.5593999999999999</v>
      </c>
      <c r="L940" s="214"/>
      <c r="M940" s="214"/>
      <c r="N940" s="214"/>
      <c r="O940" s="214"/>
      <c r="P940" s="214"/>
      <c r="Q940" s="214"/>
      <c r="R940" s="214"/>
      <c r="S940" s="214"/>
      <c r="T940" s="214"/>
      <c r="U940" s="214"/>
      <c r="V940" s="214"/>
      <c r="W940" s="214"/>
      <c r="X940" s="214"/>
    </row>
    <row r="941" spans="1:24" ht="15.75" customHeight="1">
      <c r="A941" s="83"/>
      <c r="B941" s="218">
        <v>68.400000000000006</v>
      </c>
      <c r="C941" s="218">
        <v>20.420000000000002</v>
      </c>
      <c r="D941" s="218">
        <v>1E-3</v>
      </c>
      <c r="E941" s="218">
        <v>9.1000000000000004E-3</v>
      </c>
      <c r="F941" s="218">
        <v>301.52</v>
      </c>
      <c r="G941" s="218">
        <v>428.43</v>
      </c>
      <c r="H941" s="218">
        <v>1.3252999999999999</v>
      </c>
      <c r="I941" s="218">
        <v>1.6969000000000001</v>
      </c>
      <c r="J941" s="218">
        <v>1.7758</v>
      </c>
      <c r="K941" s="218">
        <v>1.5620000000000001</v>
      </c>
      <c r="L941" s="214"/>
      <c r="M941" s="214"/>
      <c r="N941" s="214"/>
      <c r="O941" s="214"/>
      <c r="P941" s="214"/>
      <c r="Q941" s="214"/>
      <c r="R941" s="214"/>
      <c r="S941" s="214"/>
      <c r="T941" s="214"/>
      <c r="U941" s="214"/>
      <c r="V941" s="214"/>
      <c r="W941" s="214"/>
      <c r="X941" s="214"/>
    </row>
    <row r="942" spans="1:24" ht="15.75" customHeight="1">
      <c r="A942" s="83"/>
      <c r="B942" s="218">
        <v>68.5</v>
      </c>
      <c r="C942" s="218">
        <v>20.47</v>
      </c>
      <c r="D942" s="218">
        <v>1E-3</v>
      </c>
      <c r="E942" s="218">
        <v>8.9999999999999993E-3</v>
      </c>
      <c r="F942" s="218">
        <v>301.7</v>
      </c>
      <c r="G942" s="218">
        <v>428.44</v>
      </c>
      <c r="H942" s="218">
        <v>1.3258000000000001</v>
      </c>
      <c r="I942" s="218">
        <v>1.6968000000000001</v>
      </c>
      <c r="J942" s="218">
        <v>1.7775000000000001</v>
      </c>
      <c r="K942" s="218">
        <v>1.5646</v>
      </c>
      <c r="L942" s="214"/>
      <c r="M942" s="214"/>
      <c r="N942" s="214"/>
      <c r="O942" s="214"/>
      <c r="P942" s="214"/>
      <c r="Q942" s="214"/>
      <c r="R942" s="214"/>
      <c r="S942" s="214"/>
      <c r="T942" s="214"/>
      <c r="U942" s="214"/>
      <c r="V942" s="214"/>
      <c r="W942" s="214"/>
      <c r="X942" s="214"/>
    </row>
    <row r="943" spans="1:24" ht="15.75" customHeight="1">
      <c r="A943" s="83"/>
      <c r="B943" s="218">
        <v>68.599999999999994</v>
      </c>
      <c r="C943" s="218">
        <v>20.51</v>
      </c>
      <c r="D943" s="218">
        <v>1E-3</v>
      </c>
      <c r="E943" s="218">
        <v>8.9999999999999993E-3</v>
      </c>
      <c r="F943" s="218">
        <v>301.87</v>
      </c>
      <c r="G943" s="218">
        <v>428.46</v>
      </c>
      <c r="H943" s="218">
        <v>1.3263</v>
      </c>
      <c r="I943" s="218">
        <v>1.6967000000000001</v>
      </c>
      <c r="J943" s="218">
        <v>1.7791999999999999</v>
      </c>
      <c r="K943" s="218">
        <v>1.5670999999999999</v>
      </c>
      <c r="L943" s="214"/>
      <c r="M943" s="214"/>
      <c r="N943" s="214"/>
      <c r="O943" s="214"/>
      <c r="P943" s="214"/>
      <c r="Q943" s="214"/>
      <c r="R943" s="214"/>
      <c r="S943" s="214"/>
      <c r="T943" s="214"/>
      <c r="U943" s="214"/>
      <c r="V943" s="214"/>
      <c r="W943" s="214"/>
      <c r="X943" s="214"/>
    </row>
    <row r="944" spans="1:24" ht="15.75" customHeight="1">
      <c r="A944" s="83"/>
      <c r="B944" s="218">
        <v>68.7</v>
      </c>
      <c r="C944" s="218">
        <v>20.56</v>
      </c>
      <c r="D944" s="218">
        <v>1E-3</v>
      </c>
      <c r="E944" s="218">
        <v>8.9999999999999993E-3</v>
      </c>
      <c r="F944" s="218">
        <v>302.04000000000002</v>
      </c>
      <c r="G944" s="218">
        <v>428.47</v>
      </c>
      <c r="H944" s="218">
        <v>1.3268</v>
      </c>
      <c r="I944" s="218">
        <v>1.6967000000000001</v>
      </c>
      <c r="J944" s="218">
        <v>1.7808999999999999</v>
      </c>
      <c r="K944" s="218">
        <v>1.5698000000000001</v>
      </c>
      <c r="L944" s="214"/>
      <c r="M944" s="214"/>
      <c r="N944" s="214"/>
      <c r="O944" s="214"/>
      <c r="P944" s="214"/>
      <c r="Q944" s="214"/>
      <c r="R944" s="214"/>
      <c r="S944" s="214"/>
      <c r="T944" s="214"/>
      <c r="U944" s="214"/>
      <c r="V944" s="214"/>
      <c r="W944" s="214"/>
      <c r="X944" s="214"/>
    </row>
    <row r="945" spans="1:24" ht="15.75" customHeight="1">
      <c r="A945" s="83"/>
      <c r="B945" s="218">
        <v>68.8</v>
      </c>
      <c r="C945" s="218">
        <v>20.61</v>
      </c>
      <c r="D945" s="218">
        <v>1E-3</v>
      </c>
      <c r="E945" s="218">
        <v>8.9999999999999993E-3</v>
      </c>
      <c r="F945" s="218">
        <v>302.20999999999998</v>
      </c>
      <c r="G945" s="218">
        <v>428.49</v>
      </c>
      <c r="H945" s="218">
        <v>1.3272999999999999</v>
      </c>
      <c r="I945" s="218">
        <v>1.6966000000000001</v>
      </c>
      <c r="J945" s="218">
        <v>1.7826</v>
      </c>
      <c r="K945" s="218">
        <v>1.5724</v>
      </c>
      <c r="L945" s="214"/>
      <c r="M945" s="214"/>
      <c r="N945" s="214"/>
      <c r="O945" s="214"/>
      <c r="P945" s="214"/>
      <c r="Q945" s="214"/>
      <c r="R945" s="214"/>
      <c r="S945" s="214"/>
      <c r="T945" s="214"/>
      <c r="U945" s="214"/>
      <c r="V945" s="214"/>
      <c r="W945" s="214"/>
      <c r="X945" s="214"/>
    </row>
    <row r="946" spans="1:24" ht="15.75" customHeight="1">
      <c r="A946" s="83"/>
      <c r="B946" s="218">
        <v>68.900000000000006</v>
      </c>
      <c r="C946" s="218">
        <v>20.65</v>
      </c>
      <c r="D946" s="218">
        <v>1E-3</v>
      </c>
      <c r="E946" s="218">
        <v>8.8999999999999999E-3</v>
      </c>
      <c r="F946" s="218">
        <v>302.38</v>
      </c>
      <c r="G946" s="218">
        <v>428.5</v>
      </c>
      <c r="H946" s="218">
        <v>1.3278000000000001</v>
      </c>
      <c r="I946" s="218">
        <v>1.6964999999999999</v>
      </c>
      <c r="J946" s="218">
        <v>1.7843</v>
      </c>
      <c r="K946" s="218">
        <v>1.575</v>
      </c>
      <c r="L946" s="214"/>
      <c r="M946" s="214"/>
      <c r="N946" s="214"/>
      <c r="O946" s="214"/>
      <c r="P946" s="214"/>
      <c r="Q946" s="214"/>
      <c r="R946" s="214"/>
      <c r="S946" s="214"/>
      <c r="T946" s="214"/>
      <c r="U946" s="214"/>
      <c r="V946" s="214"/>
      <c r="W946" s="214"/>
      <c r="X946" s="214"/>
    </row>
    <row r="947" spans="1:24" ht="15.75" customHeight="1">
      <c r="A947" s="83"/>
      <c r="B947" s="218">
        <v>69</v>
      </c>
      <c r="C947" s="218">
        <v>20.7</v>
      </c>
      <c r="D947" s="218">
        <v>1E-3</v>
      </c>
      <c r="E947" s="218">
        <v>8.8999999999999999E-3</v>
      </c>
      <c r="F947" s="218">
        <v>302.55</v>
      </c>
      <c r="G947" s="218">
        <v>428.52</v>
      </c>
      <c r="H947" s="218">
        <v>1.3283</v>
      </c>
      <c r="I947" s="218">
        <v>1.6963999999999999</v>
      </c>
      <c r="J947" s="218">
        <v>1.786</v>
      </c>
      <c r="K947" s="218">
        <v>1.5777000000000001</v>
      </c>
      <c r="L947" s="214"/>
      <c r="M947" s="214"/>
      <c r="N947" s="214"/>
      <c r="O947" s="214"/>
      <c r="P947" s="214"/>
      <c r="Q947" s="214"/>
      <c r="R947" s="214"/>
      <c r="S947" s="214"/>
      <c r="T947" s="214"/>
      <c r="U947" s="214"/>
      <c r="V947" s="214"/>
      <c r="W947" s="214"/>
      <c r="X947" s="214"/>
    </row>
    <row r="948" spans="1:24" ht="15.75" customHeight="1">
      <c r="A948" s="83"/>
      <c r="B948" s="218">
        <v>69.099999999999994</v>
      </c>
      <c r="C948" s="218">
        <v>20.75</v>
      </c>
      <c r="D948" s="218">
        <v>1E-3</v>
      </c>
      <c r="E948" s="218">
        <v>8.8999999999999999E-3</v>
      </c>
      <c r="F948" s="218">
        <v>302.73</v>
      </c>
      <c r="G948" s="218">
        <v>428.53</v>
      </c>
      <c r="H948" s="218">
        <v>1.3288</v>
      </c>
      <c r="I948" s="218">
        <v>1.6962999999999999</v>
      </c>
      <c r="J948" s="218">
        <v>1.7878000000000001</v>
      </c>
      <c r="K948" s="218">
        <v>1.5803</v>
      </c>
      <c r="L948" s="214"/>
      <c r="M948" s="214"/>
      <c r="N948" s="214"/>
      <c r="O948" s="214"/>
      <c r="P948" s="214"/>
      <c r="Q948" s="214"/>
      <c r="R948" s="214"/>
      <c r="S948" s="214"/>
      <c r="T948" s="214"/>
      <c r="U948" s="214"/>
      <c r="V948" s="214"/>
      <c r="W948" s="214"/>
      <c r="X948" s="214"/>
    </row>
    <row r="949" spans="1:24" ht="15.75" customHeight="1">
      <c r="A949" s="83"/>
      <c r="B949" s="218">
        <v>69.2</v>
      </c>
      <c r="C949" s="218">
        <v>20.79</v>
      </c>
      <c r="D949" s="218">
        <v>1E-3</v>
      </c>
      <c r="E949" s="218">
        <v>8.8999999999999999E-3</v>
      </c>
      <c r="F949" s="218">
        <v>302.89999999999998</v>
      </c>
      <c r="G949" s="218">
        <v>428.54</v>
      </c>
      <c r="H949" s="218">
        <v>1.3291999999999999</v>
      </c>
      <c r="I949" s="218">
        <v>1.6962999999999999</v>
      </c>
      <c r="J949" s="218">
        <v>1.7895000000000001</v>
      </c>
      <c r="K949" s="218">
        <v>1.583</v>
      </c>
      <c r="L949" s="214"/>
      <c r="M949" s="214"/>
      <c r="N949" s="214"/>
      <c r="O949" s="214"/>
      <c r="P949" s="214"/>
      <c r="Q949" s="214"/>
      <c r="R949" s="214"/>
      <c r="S949" s="214"/>
      <c r="T949" s="214"/>
      <c r="U949" s="214"/>
      <c r="V949" s="214"/>
      <c r="W949" s="214"/>
      <c r="X949" s="214"/>
    </row>
    <row r="950" spans="1:24" ht="15.75" customHeight="1">
      <c r="A950" s="83"/>
      <c r="B950" s="218">
        <v>69.3</v>
      </c>
      <c r="C950" s="218">
        <v>20.84</v>
      </c>
      <c r="D950" s="218">
        <v>1E-3</v>
      </c>
      <c r="E950" s="218">
        <v>8.8000000000000005E-3</v>
      </c>
      <c r="F950" s="218">
        <v>303.07</v>
      </c>
      <c r="G950" s="218">
        <v>428.56</v>
      </c>
      <c r="H950" s="218">
        <v>1.3297000000000001</v>
      </c>
      <c r="I950" s="218">
        <v>1.6961999999999999</v>
      </c>
      <c r="J950" s="218">
        <v>1.7912999999999999</v>
      </c>
      <c r="K950" s="218">
        <v>1.5857000000000001</v>
      </c>
      <c r="L950" s="214"/>
      <c r="M950" s="214"/>
      <c r="N950" s="214"/>
      <c r="O950" s="214"/>
      <c r="P950" s="214"/>
      <c r="Q950" s="214"/>
      <c r="R950" s="214"/>
      <c r="S950" s="214"/>
      <c r="T950" s="214"/>
      <c r="U950" s="214"/>
      <c r="V950" s="214"/>
      <c r="W950" s="214"/>
      <c r="X950" s="214"/>
    </row>
    <row r="951" spans="1:24" ht="15.75" customHeight="1">
      <c r="A951" s="83"/>
      <c r="B951" s="218">
        <v>69.400000000000006</v>
      </c>
      <c r="C951" s="218">
        <v>20.89</v>
      </c>
      <c r="D951" s="218">
        <v>1E-3</v>
      </c>
      <c r="E951" s="218">
        <v>8.8000000000000005E-3</v>
      </c>
      <c r="F951" s="218">
        <v>303.24</v>
      </c>
      <c r="G951" s="218">
        <v>428.57</v>
      </c>
      <c r="H951" s="218">
        <v>1.3302</v>
      </c>
      <c r="I951" s="218">
        <v>1.6960999999999999</v>
      </c>
      <c r="J951" s="218">
        <v>1.7930999999999999</v>
      </c>
      <c r="K951" s="218">
        <v>1.5884</v>
      </c>
      <c r="L951" s="214"/>
      <c r="M951" s="214"/>
      <c r="N951" s="214"/>
      <c r="O951" s="214"/>
      <c r="P951" s="214"/>
      <c r="Q951" s="214"/>
      <c r="R951" s="214"/>
      <c r="S951" s="214"/>
      <c r="T951" s="214"/>
      <c r="U951" s="214"/>
      <c r="V951" s="214"/>
      <c r="W951" s="214"/>
      <c r="X951" s="214"/>
    </row>
    <row r="952" spans="1:24" ht="15.75" customHeight="1">
      <c r="A952" s="83"/>
      <c r="B952" s="218">
        <v>69.5</v>
      </c>
      <c r="C952" s="218">
        <v>20.93</v>
      </c>
      <c r="D952" s="218">
        <v>1E-3</v>
      </c>
      <c r="E952" s="218">
        <v>8.8000000000000005E-3</v>
      </c>
      <c r="F952" s="218">
        <v>303.42</v>
      </c>
      <c r="G952" s="218">
        <v>428.59</v>
      </c>
      <c r="H952" s="218">
        <v>1.3307</v>
      </c>
      <c r="I952" s="218">
        <v>1.696</v>
      </c>
      <c r="J952" s="218">
        <v>1.7948</v>
      </c>
      <c r="K952" s="218">
        <v>1.5911999999999999</v>
      </c>
      <c r="L952" s="214"/>
      <c r="M952" s="214"/>
      <c r="N952" s="214"/>
      <c r="O952" s="214"/>
      <c r="P952" s="214"/>
      <c r="Q952" s="214"/>
      <c r="R952" s="214"/>
      <c r="S952" s="214"/>
      <c r="T952" s="214"/>
      <c r="U952" s="214"/>
      <c r="V952" s="214"/>
      <c r="W952" s="214"/>
      <c r="X952" s="214"/>
    </row>
    <row r="953" spans="1:24" ht="15.75" customHeight="1">
      <c r="A953" s="83"/>
      <c r="B953" s="218">
        <v>69.599999999999994</v>
      </c>
      <c r="C953" s="218">
        <v>20.98</v>
      </c>
      <c r="D953" s="218">
        <v>1E-3</v>
      </c>
      <c r="E953" s="218">
        <v>8.8000000000000005E-3</v>
      </c>
      <c r="F953" s="218">
        <v>303.58999999999997</v>
      </c>
      <c r="G953" s="218">
        <v>428.6</v>
      </c>
      <c r="H953" s="218">
        <v>1.3311999999999999</v>
      </c>
      <c r="I953" s="218">
        <v>1.6959</v>
      </c>
      <c r="J953" s="218">
        <v>1.7966</v>
      </c>
      <c r="K953" s="218">
        <v>1.5939000000000001</v>
      </c>
      <c r="L953" s="214"/>
      <c r="M953" s="214"/>
      <c r="N953" s="214"/>
      <c r="O953" s="214"/>
      <c r="P953" s="214"/>
      <c r="Q953" s="214"/>
      <c r="R953" s="214"/>
      <c r="S953" s="214"/>
      <c r="T953" s="214"/>
      <c r="U953" s="214"/>
      <c r="V953" s="214"/>
      <c r="W953" s="214"/>
      <c r="X953" s="214"/>
    </row>
    <row r="954" spans="1:24" ht="15.75" customHeight="1">
      <c r="A954" s="83"/>
      <c r="B954" s="218">
        <v>69.7</v>
      </c>
      <c r="C954" s="218">
        <v>21.03</v>
      </c>
      <c r="D954" s="218">
        <v>1E-3</v>
      </c>
      <c r="E954" s="218">
        <v>8.6999999999999994E-3</v>
      </c>
      <c r="F954" s="218">
        <v>303.76</v>
      </c>
      <c r="G954" s="218">
        <v>428.61</v>
      </c>
      <c r="H954" s="218">
        <v>1.3317000000000001</v>
      </c>
      <c r="I954" s="218">
        <v>1.6959</v>
      </c>
      <c r="J954" s="218">
        <v>1.7984</v>
      </c>
      <c r="K954" s="218">
        <v>1.5967</v>
      </c>
      <c r="L954" s="214"/>
      <c r="M954" s="214"/>
      <c r="N954" s="214"/>
      <c r="O954" s="214"/>
      <c r="P954" s="214"/>
      <c r="Q954" s="214"/>
      <c r="R954" s="214"/>
      <c r="S954" s="214"/>
      <c r="T954" s="214"/>
      <c r="U954" s="214"/>
      <c r="V954" s="214"/>
      <c r="W954" s="214"/>
      <c r="X954" s="214"/>
    </row>
    <row r="955" spans="1:24" ht="15.75" customHeight="1">
      <c r="A955" s="83"/>
      <c r="B955" s="218">
        <v>69.8</v>
      </c>
      <c r="C955" s="218">
        <v>21.07</v>
      </c>
      <c r="D955" s="218">
        <v>1E-3</v>
      </c>
      <c r="E955" s="218">
        <v>8.6999999999999994E-3</v>
      </c>
      <c r="F955" s="218">
        <v>303.94</v>
      </c>
      <c r="G955" s="218">
        <v>428.62</v>
      </c>
      <c r="H955" s="218">
        <v>1.3322000000000001</v>
      </c>
      <c r="I955" s="218">
        <v>1.6958</v>
      </c>
      <c r="J955" s="218">
        <v>1.8003</v>
      </c>
      <c r="K955" s="218">
        <v>1.5994999999999999</v>
      </c>
      <c r="L955" s="214"/>
      <c r="M955" s="214"/>
      <c r="N955" s="214"/>
      <c r="O955" s="214"/>
      <c r="P955" s="214"/>
      <c r="Q955" s="214"/>
      <c r="R955" s="214"/>
      <c r="S955" s="214"/>
      <c r="T955" s="214"/>
      <c r="U955" s="214"/>
      <c r="V955" s="214"/>
      <c r="W955" s="214"/>
      <c r="X955" s="214"/>
    </row>
    <row r="956" spans="1:24" ht="15.75" customHeight="1">
      <c r="A956" s="83"/>
      <c r="B956" s="218">
        <v>69.900000000000006</v>
      </c>
      <c r="C956" s="218">
        <v>21.12</v>
      </c>
      <c r="D956" s="218">
        <v>1E-3</v>
      </c>
      <c r="E956" s="218">
        <v>8.6999999999999994E-3</v>
      </c>
      <c r="F956" s="218">
        <v>304.11</v>
      </c>
      <c r="G956" s="218">
        <v>428.64</v>
      </c>
      <c r="H956" s="218">
        <v>1.3327</v>
      </c>
      <c r="I956" s="218">
        <v>1.6957</v>
      </c>
      <c r="J956" s="218">
        <v>1.8021</v>
      </c>
      <c r="K956" s="218">
        <v>1.6023000000000001</v>
      </c>
      <c r="L956" s="214"/>
      <c r="M956" s="214"/>
      <c r="N956" s="214"/>
      <c r="O956" s="214"/>
      <c r="P956" s="214"/>
      <c r="Q956" s="214"/>
      <c r="R956" s="214"/>
      <c r="S956" s="214"/>
      <c r="T956" s="214"/>
      <c r="U956" s="214"/>
      <c r="V956" s="214"/>
      <c r="W956" s="214"/>
      <c r="X956" s="214"/>
    </row>
    <row r="957" spans="1:24" ht="15.75" customHeight="1">
      <c r="A957" s="214"/>
      <c r="B957" s="214"/>
      <c r="C957" s="214"/>
      <c r="D957" s="214"/>
      <c r="E957" s="214"/>
      <c r="F957" s="214"/>
      <c r="G957" s="214"/>
      <c r="H957" s="214"/>
      <c r="I957" s="214"/>
      <c r="J957" s="214"/>
      <c r="K957" s="214"/>
      <c r="L957" s="214"/>
      <c r="M957" s="214"/>
      <c r="N957" s="214"/>
      <c r="O957" s="214"/>
      <c r="P957" s="214"/>
      <c r="Q957" s="214"/>
      <c r="R957" s="214"/>
      <c r="S957" s="214"/>
      <c r="T957" s="214"/>
      <c r="U957" s="214"/>
      <c r="V957" s="214"/>
      <c r="W957" s="214"/>
      <c r="X957" s="214"/>
    </row>
    <row r="958" spans="1:24" ht="15.75" customHeight="1">
      <c r="A958" s="214"/>
      <c r="B958" s="214"/>
      <c r="C958" s="214"/>
      <c r="D958" s="214"/>
      <c r="E958" s="214"/>
      <c r="F958" s="214"/>
      <c r="G958" s="214"/>
      <c r="H958" s="214"/>
      <c r="I958" s="214"/>
      <c r="J958" s="214"/>
      <c r="K958" s="214"/>
      <c r="L958" s="214"/>
      <c r="M958" s="214"/>
      <c r="N958" s="214"/>
      <c r="O958" s="214"/>
      <c r="P958" s="214"/>
      <c r="Q958" s="214"/>
      <c r="R958" s="214"/>
      <c r="S958" s="214"/>
      <c r="T958" s="214"/>
      <c r="U958" s="214"/>
      <c r="V958" s="214"/>
      <c r="W958" s="214"/>
      <c r="X958" s="214"/>
    </row>
    <row r="959" spans="1:24" ht="15.75" customHeight="1">
      <c r="A959" s="214"/>
      <c r="B959" s="214"/>
      <c r="C959" s="214"/>
      <c r="D959" s="214"/>
      <c r="E959" s="214"/>
      <c r="F959" s="214"/>
      <c r="G959" s="214"/>
      <c r="H959" s="214"/>
      <c r="I959" s="214"/>
      <c r="J959" s="214"/>
      <c r="K959" s="214"/>
      <c r="L959" s="214"/>
      <c r="M959" s="214"/>
      <c r="N959" s="214"/>
      <c r="O959" s="214"/>
      <c r="P959" s="214"/>
      <c r="Q959" s="214"/>
      <c r="R959" s="214"/>
      <c r="S959" s="214"/>
      <c r="T959" s="214"/>
      <c r="U959" s="214"/>
      <c r="V959" s="214"/>
      <c r="W959" s="214"/>
      <c r="X959" s="214"/>
    </row>
    <row r="960" spans="1:24" ht="15.75" customHeight="1">
      <c r="A960" s="214"/>
      <c r="B960" s="214"/>
      <c r="C960" s="214"/>
      <c r="D960" s="214"/>
      <c r="E960" s="214"/>
      <c r="F960" s="214"/>
      <c r="G960" s="214"/>
      <c r="H960" s="214"/>
      <c r="I960" s="214"/>
      <c r="J960" s="214"/>
      <c r="K960" s="214"/>
      <c r="L960" s="214"/>
      <c r="M960" s="214"/>
      <c r="N960" s="214"/>
      <c r="O960" s="214"/>
      <c r="P960" s="214"/>
      <c r="Q960" s="214"/>
      <c r="R960" s="214"/>
      <c r="S960" s="214"/>
      <c r="T960" s="214"/>
      <c r="U960" s="214"/>
      <c r="V960" s="214"/>
      <c r="W960" s="214"/>
      <c r="X960" s="214"/>
    </row>
    <row r="961" spans="1:24" ht="15.75" customHeight="1">
      <c r="A961" s="214"/>
      <c r="B961" s="214"/>
      <c r="C961" s="214"/>
      <c r="D961" s="214"/>
      <c r="E961" s="214"/>
      <c r="F961" s="214"/>
      <c r="G961" s="214"/>
      <c r="H961" s="214"/>
      <c r="I961" s="214"/>
      <c r="J961" s="214"/>
      <c r="K961" s="214"/>
      <c r="L961" s="214"/>
      <c r="M961" s="214"/>
      <c r="N961" s="214"/>
      <c r="O961" s="214"/>
      <c r="P961" s="214"/>
      <c r="Q961" s="214"/>
      <c r="R961" s="214"/>
      <c r="S961" s="214"/>
      <c r="T961" s="214"/>
      <c r="U961" s="214"/>
      <c r="V961" s="214"/>
      <c r="W961" s="214"/>
      <c r="X961" s="214"/>
    </row>
    <row r="962" spans="1:24" ht="15.75" customHeight="1">
      <c r="A962" s="214"/>
      <c r="B962" s="214"/>
      <c r="C962" s="214"/>
      <c r="D962" s="214"/>
      <c r="E962" s="214"/>
      <c r="F962" s="214"/>
      <c r="G962" s="214"/>
      <c r="H962" s="214"/>
      <c r="I962" s="214"/>
      <c r="J962" s="214"/>
      <c r="K962" s="214"/>
      <c r="L962" s="214"/>
      <c r="M962" s="214"/>
      <c r="N962" s="214"/>
      <c r="O962" s="214"/>
      <c r="P962" s="214"/>
      <c r="Q962" s="214"/>
      <c r="R962" s="214"/>
      <c r="S962" s="214"/>
      <c r="T962" s="214"/>
      <c r="U962" s="214"/>
      <c r="V962" s="214"/>
      <c r="W962" s="214"/>
      <c r="X962" s="214"/>
    </row>
    <row r="963" spans="1:24" ht="15.75" customHeight="1">
      <c r="A963" s="214"/>
      <c r="B963" s="214"/>
      <c r="C963" s="214"/>
      <c r="D963" s="214"/>
      <c r="E963" s="214"/>
      <c r="F963" s="214"/>
      <c r="G963" s="214"/>
      <c r="H963" s="214"/>
      <c r="I963" s="214"/>
      <c r="J963" s="214"/>
      <c r="K963" s="214"/>
      <c r="L963" s="214"/>
      <c r="M963" s="214"/>
      <c r="N963" s="214"/>
      <c r="O963" s="214"/>
      <c r="P963" s="214"/>
      <c r="Q963" s="214"/>
      <c r="R963" s="214"/>
      <c r="S963" s="214"/>
      <c r="T963" s="214"/>
      <c r="U963" s="214"/>
      <c r="V963" s="214"/>
      <c r="W963" s="214"/>
      <c r="X963" s="214"/>
    </row>
    <row r="964" spans="1:24" ht="15.75" customHeight="1">
      <c r="A964" s="214"/>
      <c r="B964" s="214"/>
      <c r="C964" s="214"/>
      <c r="D964" s="214"/>
      <c r="E964" s="214"/>
      <c r="F964" s="214"/>
      <c r="G964" s="214"/>
      <c r="H964" s="214"/>
      <c r="I964" s="214"/>
      <c r="J964" s="214"/>
      <c r="K964" s="214"/>
      <c r="L964" s="214"/>
      <c r="M964" s="214"/>
      <c r="N964" s="214"/>
      <c r="O964" s="214"/>
      <c r="P964" s="214"/>
      <c r="Q964" s="214"/>
      <c r="R964" s="214"/>
      <c r="S964" s="214"/>
      <c r="T964" s="214"/>
      <c r="U964" s="214"/>
      <c r="V964" s="214"/>
      <c r="W964" s="214"/>
      <c r="X964" s="214"/>
    </row>
    <row r="965" spans="1:24" ht="15.75" customHeight="1">
      <c r="A965" s="214"/>
      <c r="B965" s="214"/>
      <c r="C965" s="214"/>
      <c r="D965" s="214"/>
      <c r="E965" s="214"/>
      <c r="F965" s="214"/>
      <c r="G965" s="214"/>
      <c r="H965" s="214"/>
      <c r="I965" s="214"/>
      <c r="J965" s="214"/>
      <c r="K965" s="214"/>
      <c r="L965" s="214"/>
      <c r="M965" s="214"/>
      <c r="N965" s="214"/>
      <c r="O965" s="214"/>
      <c r="P965" s="214"/>
      <c r="Q965" s="214"/>
      <c r="R965" s="214"/>
      <c r="S965" s="214"/>
      <c r="T965" s="214"/>
      <c r="U965" s="214"/>
      <c r="V965" s="214"/>
      <c r="W965" s="214"/>
      <c r="X965" s="214"/>
    </row>
    <row r="966" spans="1:24" ht="15.75" customHeight="1">
      <c r="A966" s="214"/>
      <c r="B966" s="214"/>
      <c r="C966" s="214"/>
      <c r="D966" s="214"/>
      <c r="E966" s="214"/>
      <c r="F966" s="214"/>
      <c r="G966" s="214"/>
      <c r="H966" s="214"/>
      <c r="I966" s="214"/>
      <c r="J966" s="214"/>
      <c r="K966" s="214"/>
      <c r="L966" s="214"/>
      <c r="M966" s="214"/>
      <c r="N966" s="214"/>
      <c r="O966" s="214"/>
      <c r="P966" s="214"/>
      <c r="Q966" s="214"/>
      <c r="R966" s="214"/>
      <c r="S966" s="214"/>
      <c r="T966" s="214"/>
      <c r="U966" s="214"/>
      <c r="V966" s="214"/>
      <c r="W966" s="214"/>
      <c r="X966" s="214"/>
    </row>
    <row r="967" spans="1:24" ht="15.75" customHeight="1">
      <c r="A967" s="214"/>
      <c r="B967" s="214"/>
      <c r="C967" s="214"/>
      <c r="D967" s="214"/>
      <c r="E967" s="214"/>
      <c r="F967" s="214"/>
      <c r="G967" s="214"/>
      <c r="H967" s="214"/>
      <c r="I967" s="214"/>
      <c r="J967" s="214"/>
      <c r="K967" s="214"/>
      <c r="L967" s="214"/>
      <c r="M967" s="214"/>
      <c r="N967" s="214"/>
      <c r="O967" s="214"/>
      <c r="P967" s="214"/>
      <c r="Q967" s="214"/>
      <c r="R967" s="214"/>
      <c r="S967" s="214"/>
      <c r="T967" s="214"/>
      <c r="U967" s="214"/>
      <c r="V967" s="214"/>
      <c r="W967" s="214"/>
      <c r="X967" s="214"/>
    </row>
    <row r="968" spans="1:24" ht="15.75" customHeight="1">
      <c r="A968" s="214"/>
      <c r="B968" s="214"/>
      <c r="C968" s="214"/>
      <c r="D968" s="214"/>
      <c r="E968" s="214"/>
      <c r="F968" s="214"/>
      <c r="G968" s="214"/>
      <c r="H968" s="214"/>
      <c r="I968" s="214"/>
      <c r="J968" s="214"/>
      <c r="K968" s="214"/>
      <c r="L968" s="214"/>
      <c r="M968" s="214"/>
      <c r="N968" s="214"/>
      <c r="O968" s="214"/>
      <c r="P968" s="214"/>
      <c r="Q968" s="214"/>
      <c r="R968" s="214"/>
      <c r="S968" s="214"/>
      <c r="T968" s="214"/>
      <c r="U968" s="214"/>
      <c r="V968" s="214"/>
      <c r="W968" s="214"/>
      <c r="X968" s="214"/>
    </row>
    <row r="969" spans="1:24" ht="15.75" customHeight="1">
      <c r="A969" s="214"/>
      <c r="B969" s="214"/>
      <c r="C969" s="214"/>
      <c r="D969" s="214"/>
      <c r="E969" s="214"/>
      <c r="F969" s="214"/>
      <c r="G969" s="214"/>
      <c r="H969" s="214"/>
      <c r="I969" s="214"/>
      <c r="J969" s="214"/>
      <c r="K969" s="214"/>
      <c r="L969" s="214"/>
      <c r="M969" s="214"/>
      <c r="N969" s="214"/>
      <c r="O969" s="214"/>
      <c r="P969" s="214"/>
      <c r="Q969" s="214"/>
      <c r="R969" s="214"/>
      <c r="S969" s="214"/>
      <c r="T969" s="214"/>
      <c r="U969" s="214"/>
      <c r="V969" s="214"/>
      <c r="W969" s="214"/>
      <c r="X969" s="214"/>
    </row>
    <row r="970" spans="1:24" ht="15.75" customHeight="1">
      <c r="A970" s="214"/>
      <c r="B970" s="214"/>
      <c r="C970" s="214"/>
      <c r="D970" s="214"/>
      <c r="E970" s="214"/>
      <c r="F970" s="214"/>
      <c r="G970" s="214"/>
      <c r="H970" s="214"/>
      <c r="I970" s="214"/>
      <c r="J970" s="214"/>
      <c r="K970" s="214"/>
      <c r="L970" s="214"/>
      <c r="M970" s="214"/>
      <c r="N970" s="214"/>
      <c r="O970" s="214"/>
      <c r="P970" s="214"/>
      <c r="Q970" s="214"/>
      <c r="R970" s="214"/>
      <c r="S970" s="214"/>
      <c r="T970" s="214"/>
      <c r="U970" s="214"/>
      <c r="V970" s="214"/>
      <c r="W970" s="214"/>
      <c r="X970" s="214"/>
    </row>
    <row r="971" spans="1:24" ht="15.75" customHeight="1">
      <c r="A971" s="214"/>
      <c r="B971" s="214"/>
      <c r="C971" s="214"/>
      <c r="D971" s="214"/>
      <c r="E971" s="214"/>
      <c r="F971" s="214"/>
      <c r="G971" s="214"/>
      <c r="H971" s="214"/>
      <c r="I971" s="214"/>
      <c r="J971" s="214"/>
      <c r="K971" s="214"/>
      <c r="L971" s="214"/>
      <c r="M971" s="214"/>
      <c r="N971" s="214"/>
      <c r="O971" s="214"/>
      <c r="P971" s="214"/>
      <c r="Q971" s="214"/>
      <c r="R971" s="214"/>
      <c r="S971" s="214"/>
      <c r="T971" s="214"/>
      <c r="U971" s="214"/>
      <c r="V971" s="214"/>
      <c r="W971" s="214"/>
      <c r="X971" s="214"/>
    </row>
    <row r="972" spans="1:24" ht="15.75" customHeight="1">
      <c r="A972" s="214"/>
      <c r="B972" s="214"/>
      <c r="C972" s="214"/>
      <c r="D972" s="214"/>
      <c r="E972" s="214"/>
      <c r="F972" s="214"/>
      <c r="G972" s="214"/>
      <c r="H972" s="214"/>
      <c r="I972" s="214"/>
      <c r="J972" s="214"/>
      <c r="K972" s="214"/>
      <c r="L972" s="214"/>
      <c r="M972" s="214"/>
      <c r="N972" s="214"/>
      <c r="O972" s="214"/>
      <c r="P972" s="214"/>
      <c r="Q972" s="214"/>
      <c r="R972" s="214"/>
      <c r="S972" s="214"/>
      <c r="T972" s="214"/>
      <c r="U972" s="214"/>
      <c r="V972" s="214"/>
      <c r="W972" s="214"/>
      <c r="X972" s="214"/>
    </row>
    <row r="973" spans="1:24" ht="15.75" customHeight="1">
      <c r="A973" s="214"/>
      <c r="B973" s="214"/>
      <c r="C973" s="214"/>
      <c r="D973" s="214"/>
      <c r="E973" s="214"/>
      <c r="F973" s="214"/>
      <c r="G973" s="214"/>
      <c r="H973" s="214"/>
      <c r="I973" s="214"/>
      <c r="J973" s="214"/>
      <c r="K973" s="214"/>
      <c r="L973" s="214"/>
      <c r="M973" s="214"/>
      <c r="N973" s="214"/>
      <c r="O973" s="214"/>
      <c r="P973" s="214"/>
      <c r="Q973" s="214"/>
      <c r="R973" s="214"/>
      <c r="S973" s="214"/>
      <c r="T973" s="214"/>
      <c r="U973" s="214"/>
      <c r="V973" s="214"/>
      <c r="W973" s="214"/>
      <c r="X973" s="214"/>
    </row>
    <row r="974" spans="1:24" ht="15.75" customHeight="1">
      <c r="A974" s="214"/>
      <c r="B974" s="214"/>
      <c r="C974" s="214"/>
      <c r="D974" s="214"/>
      <c r="E974" s="214"/>
      <c r="F974" s="214"/>
      <c r="G974" s="214"/>
      <c r="H974" s="214"/>
      <c r="I974" s="214"/>
      <c r="J974" s="214"/>
      <c r="K974" s="214"/>
      <c r="L974" s="214"/>
      <c r="M974" s="214"/>
      <c r="N974" s="214"/>
      <c r="O974" s="214"/>
      <c r="P974" s="214"/>
      <c r="Q974" s="214"/>
      <c r="R974" s="214"/>
      <c r="S974" s="214"/>
      <c r="T974" s="214"/>
      <c r="U974" s="214"/>
      <c r="V974" s="214"/>
      <c r="W974" s="214"/>
      <c r="X974" s="214"/>
    </row>
    <row r="975" spans="1:24" ht="15.75" customHeight="1">
      <c r="A975" s="214"/>
      <c r="B975" s="214"/>
      <c r="C975" s="214"/>
      <c r="D975" s="214"/>
      <c r="E975" s="214"/>
      <c r="F975" s="214"/>
      <c r="G975" s="214"/>
      <c r="H975" s="214"/>
      <c r="I975" s="214"/>
      <c r="J975" s="214"/>
      <c r="K975" s="214"/>
      <c r="L975" s="214"/>
      <c r="M975" s="214"/>
      <c r="N975" s="214"/>
      <c r="O975" s="214"/>
      <c r="P975" s="214"/>
      <c r="Q975" s="214"/>
      <c r="R975" s="214"/>
      <c r="S975" s="214"/>
      <c r="T975" s="214"/>
      <c r="U975" s="214"/>
      <c r="V975" s="214"/>
      <c r="W975" s="214"/>
      <c r="X975" s="214"/>
    </row>
    <row r="976" spans="1:24" ht="15.75" customHeight="1">
      <c r="A976" s="214"/>
      <c r="B976" s="214"/>
      <c r="C976" s="214"/>
      <c r="D976" s="214"/>
      <c r="E976" s="214"/>
      <c r="F976" s="214"/>
      <c r="G976" s="214"/>
      <c r="H976" s="214"/>
      <c r="I976" s="214"/>
      <c r="J976" s="214"/>
      <c r="K976" s="214"/>
      <c r="L976" s="214"/>
      <c r="M976" s="214"/>
      <c r="N976" s="214"/>
      <c r="O976" s="214"/>
      <c r="P976" s="214"/>
      <c r="Q976" s="214"/>
      <c r="R976" s="214"/>
      <c r="S976" s="214"/>
      <c r="T976" s="214"/>
      <c r="U976" s="214"/>
      <c r="V976" s="214"/>
      <c r="W976" s="214"/>
      <c r="X976" s="214"/>
    </row>
    <row r="977" spans="1:24" ht="15.75" customHeight="1">
      <c r="A977" s="214"/>
      <c r="B977" s="214"/>
      <c r="C977" s="214"/>
      <c r="D977" s="214"/>
      <c r="E977" s="214"/>
      <c r="F977" s="214"/>
      <c r="G977" s="214"/>
      <c r="H977" s="214"/>
      <c r="I977" s="214"/>
      <c r="J977" s="214"/>
      <c r="K977" s="214"/>
      <c r="L977" s="214"/>
      <c r="M977" s="214"/>
      <c r="N977" s="214"/>
      <c r="O977" s="214"/>
      <c r="P977" s="214"/>
      <c r="Q977" s="214"/>
      <c r="R977" s="214"/>
      <c r="S977" s="214"/>
      <c r="T977" s="214"/>
      <c r="U977" s="214"/>
      <c r="V977" s="214"/>
      <c r="W977" s="214"/>
      <c r="X977" s="214"/>
    </row>
    <row r="978" spans="1:24" ht="15.75" customHeight="1">
      <c r="A978" s="214"/>
      <c r="B978" s="214"/>
      <c r="C978" s="214"/>
      <c r="D978" s="214"/>
      <c r="E978" s="214"/>
      <c r="F978" s="214"/>
      <c r="G978" s="214"/>
      <c r="H978" s="214"/>
      <c r="I978" s="214"/>
      <c r="J978" s="214"/>
      <c r="K978" s="214"/>
      <c r="L978" s="214"/>
      <c r="M978" s="214"/>
      <c r="N978" s="214"/>
      <c r="O978" s="214"/>
      <c r="P978" s="214"/>
      <c r="Q978" s="214"/>
      <c r="R978" s="214"/>
      <c r="S978" s="214"/>
      <c r="T978" s="214"/>
      <c r="U978" s="214"/>
      <c r="V978" s="214"/>
      <c r="W978" s="214"/>
      <c r="X978" s="214"/>
    </row>
    <row r="979" spans="1:24" ht="15.75" customHeight="1">
      <c r="A979" s="214"/>
      <c r="B979" s="214"/>
      <c r="C979" s="214"/>
      <c r="D979" s="214"/>
      <c r="E979" s="214"/>
      <c r="F979" s="214"/>
      <c r="G979" s="214"/>
      <c r="H979" s="214"/>
      <c r="I979" s="214"/>
      <c r="J979" s="214"/>
      <c r="K979" s="214"/>
      <c r="L979" s="214"/>
      <c r="M979" s="214"/>
      <c r="N979" s="214"/>
      <c r="O979" s="214"/>
      <c r="P979" s="214"/>
      <c r="Q979" s="214"/>
      <c r="R979" s="214"/>
      <c r="S979" s="214"/>
      <c r="T979" s="214"/>
      <c r="U979" s="214"/>
      <c r="V979" s="214"/>
      <c r="W979" s="214"/>
      <c r="X979" s="214"/>
    </row>
    <row r="980" spans="1:24" ht="15.75" customHeight="1">
      <c r="A980" s="214"/>
      <c r="B980" s="214"/>
      <c r="C980" s="214"/>
      <c r="D980" s="214"/>
      <c r="E980" s="214"/>
      <c r="F980" s="214"/>
      <c r="G980" s="214"/>
      <c r="H980" s="214"/>
      <c r="I980" s="214"/>
      <c r="J980" s="214"/>
      <c r="K980" s="214"/>
      <c r="L980" s="214"/>
      <c r="M980" s="214"/>
      <c r="N980" s="214"/>
      <c r="O980" s="214"/>
      <c r="P980" s="214"/>
      <c r="Q980" s="214"/>
      <c r="R980" s="214"/>
      <c r="S980" s="214"/>
      <c r="T980" s="214"/>
      <c r="U980" s="214"/>
      <c r="V980" s="214"/>
      <c r="W980" s="214"/>
      <c r="X980" s="214"/>
    </row>
    <row r="981" spans="1:24" ht="15.75" customHeight="1">
      <c r="A981" s="214"/>
      <c r="B981" s="214"/>
      <c r="C981" s="214"/>
      <c r="D981" s="214"/>
      <c r="E981" s="214"/>
      <c r="F981" s="214"/>
      <c r="G981" s="214"/>
      <c r="H981" s="214"/>
      <c r="I981" s="214"/>
      <c r="J981" s="214"/>
      <c r="K981" s="214"/>
      <c r="L981" s="214"/>
      <c r="M981" s="214"/>
      <c r="N981" s="214"/>
      <c r="O981" s="214"/>
      <c r="P981" s="214"/>
      <c r="Q981" s="214"/>
      <c r="R981" s="214"/>
      <c r="S981" s="214"/>
      <c r="T981" s="214"/>
      <c r="U981" s="214"/>
      <c r="V981" s="214"/>
      <c r="W981" s="214"/>
      <c r="X981" s="214"/>
    </row>
    <row r="982" spans="1:24" ht="15.75" customHeight="1">
      <c r="A982" s="214"/>
      <c r="B982" s="214"/>
      <c r="C982" s="214"/>
      <c r="D982" s="214"/>
      <c r="E982" s="214"/>
      <c r="F982" s="214"/>
      <c r="G982" s="214"/>
      <c r="H982" s="214"/>
      <c r="I982" s="214"/>
      <c r="J982" s="214"/>
      <c r="K982" s="214"/>
      <c r="L982" s="214"/>
      <c r="M982" s="214"/>
      <c r="N982" s="214"/>
      <c r="O982" s="214"/>
      <c r="P982" s="214"/>
      <c r="Q982" s="214"/>
      <c r="R982" s="214"/>
      <c r="S982" s="214"/>
      <c r="T982" s="214"/>
      <c r="U982" s="214"/>
      <c r="V982" s="214"/>
      <c r="W982" s="214"/>
      <c r="X982" s="214"/>
    </row>
    <row r="983" spans="1:24" ht="15.75" customHeight="1">
      <c r="A983" s="214"/>
      <c r="B983" s="214"/>
      <c r="C983" s="214"/>
      <c r="D983" s="214"/>
      <c r="E983" s="214"/>
      <c r="F983" s="214"/>
      <c r="G983" s="214"/>
      <c r="H983" s="214"/>
      <c r="I983" s="214"/>
      <c r="J983" s="214"/>
      <c r="K983" s="214"/>
      <c r="L983" s="214"/>
      <c r="M983" s="214"/>
      <c r="N983" s="214"/>
      <c r="O983" s="214"/>
      <c r="P983" s="214"/>
      <c r="Q983" s="214"/>
      <c r="R983" s="214"/>
      <c r="S983" s="214"/>
      <c r="T983" s="214"/>
      <c r="U983" s="214"/>
      <c r="V983" s="214"/>
      <c r="W983" s="214"/>
      <c r="X983" s="214"/>
    </row>
    <row r="984" spans="1:24" ht="15.75" customHeight="1">
      <c r="A984" s="214"/>
      <c r="B984" s="214"/>
      <c r="C984" s="214"/>
      <c r="D984" s="214"/>
      <c r="E984" s="214"/>
      <c r="F984" s="214"/>
      <c r="G984" s="214"/>
      <c r="H984" s="214"/>
      <c r="I984" s="214"/>
      <c r="J984" s="214"/>
      <c r="K984" s="214"/>
      <c r="L984" s="214"/>
      <c r="M984" s="214"/>
      <c r="N984" s="214"/>
      <c r="O984" s="214"/>
      <c r="P984" s="214"/>
      <c r="Q984" s="214"/>
      <c r="R984" s="214"/>
      <c r="S984" s="214"/>
      <c r="T984" s="214"/>
      <c r="U984" s="214"/>
      <c r="V984" s="214"/>
      <c r="W984" s="214"/>
      <c r="X984" s="214"/>
    </row>
    <row r="985" spans="1:24" ht="15.75" customHeight="1">
      <c r="A985" s="214"/>
      <c r="B985" s="214"/>
      <c r="C985" s="214"/>
      <c r="D985" s="214"/>
      <c r="E985" s="214"/>
      <c r="F985" s="214"/>
      <c r="G985" s="214"/>
      <c r="H985" s="214"/>
      <c r="I985" s="214"/>
      <c r="J985" s="214"/>
      <c r="K985" s="214"/>
      <c r="L985" s="214"/>
      <c r="M985" s="214"/>
      <c r="N985" s="214"/>
      <c r="O985" s="214"/>
      <c r="P985" s="214"/>
      <c r="Q985" s="214"/>
      <c r="R985" s="214"/>
      <c r="S985" s="214"/>
      <c r="T985" s="214"/>
      <c r="U985" s="214"/>
      <c r="V985" s="214"/>
      <c r="W985" s="214"/>
      <c r="X985" s="214"/>
    </row>
    <row r="986" spans="1:24" ht="15.75" customHeight="1">
      <c r="A986" s="214"/>
      <c r="B986" s="214"/>
      <c r="C986" s="214"/>
      <c r="D986" s="214"/>
      <c r="E986" s="214"/>
      <c r="F986" s="214"/>
      <c r="G986" s="214"/>
      <c r="H986" s="214"/>
      <c r="I986" s="214"/>
      <c r="J986" s="214"/>
      <c r="K986" s="214"/>
      <c r="L986" s="214"/>
      <c r="M986" s="214"/>
      <c r="N986" s="214"/>
      <c r="O986" s="214"/>
      <c r="P986" s="214"/>
      <c r="Q986" s="214"/>
      <c r="R986" s="214"/>
      <c r="S986" s="214"/>
      <c r="T986" s="214"/>
      <c r="U986" s="214"/>
      <c r="V986" s="214"/>
      <c r="W986" s="214"/>
      <c r="X986" s="214"/>
    </row>
    <row r="987" spans="1:24" ht="15.75" customHeight="1">
      <c r="A987" s="214"/>
      <c r="B987" s="214"/>
      <c r="C987" s="214"/>
      <c r="D987" s="214"/>
      <c r="E987" s="214"/>
      <c r="F987" s="214"/>
      <c r="G987" s="214"/>
      <c r="H987" s="214"/>
      <c r="I987" s="214"/>
      <c r="J987" s="214"/>
      <c r="K987" s="214"/>
      <c r="L987" s="214"/>
      <c r="M987" s="214"/>
      <c r="N987" s="214"/>
      <c r="O987" s="214"/>
      <c r="P987" s="214"/>
      <c r="Q987" s="214"/>
      <c r="R987" s="214"/>
      <c r="S987" s="214"/>
      <c r="T987" s="214"/>
      <c r="U987" s="214"/>
      <c r="V987" s="214"/>
      <c r="W987" s="214"/>
      <c r="X987" s="214"/>
    </row>
    <row r="988" spans="1:24" ht="15.75" customHeight="1">
      <c r="A988" s="214"/>
      <c r="B988" s="214"/>
      <c r="C988" s="214"/>
      <c r="D988" s="214"/>
      <c r="E988" s="214"/>
      <c r="F988" s="214"/>
      <c r="G988" s="214"/>
      <c r="H988" s="214"/>
      <c r="I988" s="214"/>
      <c r="J988" s="214"/>
      <c r="K988" s="214"/>
      <c r="L988" s="214"/>
      <c r="M988" s="214"/>
      <c r="N988" s="214"/>
      <c r="O988" s="214"/>
      <c r="P988" s="214"/>
      <c r="Q988" s="214"/>
      <c r="R988" s="214"/>
      <c r="S988" s="214"/>
      <c r="T988" s="214"/>
      <c r="U988" s="214"/>
      <c r="V988" s="214"/>
      <c r="W988" s="214"/>
      <c r="X988" s="214"/>
    </row>
    <row r="989" spans="1:24" ht="15.75" customHeight="1">
      <c r="A989" s="214"/>
      <c r="B989" s="214"/>
      <c r="C989" s="214"/>
      <c r="D989" s="214"/>
      <c r="E989" s="214"/>
      <c r="F989" s="214"/>
      <c r="G989" s="214"/>
      <c r="H989" s="214"/>
      <c r="I989" s="214"/>
      <c r="J989" s="214"/>
      <c r="K989" s="214"/>
      <c r="L989" s="214"/>
      <c r="M989" s="214"/>
      <c r="N989" s="214"/>
      <c r="O989" s="214"/>
      <c r="P989" s="214"/>
      <c r="Q989" s="214"/>
      <c r="R989" s="214"/>
      <c r="S989" s="214"/>
      <c r="T989" s="214"/>
      <c r="U989" s="214"/>
      <c r="V989" s="214"/>
      <c r="W989" s="214"/>
      <c r="X989" s="214"/>
    </row>
    <row r="990" spans="1:24" ht="15.75" customHeight="1">
      <c r="A990" s="214"/>
      <c r="B990" s="214"/>
      <c r="C990" s="214"/>
      <c r="D990" s="214"/>
      <c r="E990" s="214"/>
      <c r="F990" s="214"/>
      <c r="G990" s="214"/>
      <c r="H990" s="214"/>
      <c r="I990" s="214"/>
      <c r="J990" s="214"/>
      <c r="K990" s="214"/>
      <c r="L990" s="214"/>
      <c r="M990" s="214"/>
      <c r="N990" s="214"/>
      <c r="O990" s="214"/>
      <c r="P990" s="214"/>
      <c r="Q990" s="214"/>
      <c r="R990" s="214"/>
      <c r="S990" s="214"/>
      <c r="T990" s="214"/>
      <c r="U990" s="214"/>
      <c r="V990" s="214"/>
      <c r="W990" s="214"/>
      <c r="X990" s="214"/>
    </row>
    <row r="991" spans="1:24" ht="15.75" customHeight="1">
      <c r="A991" s="214"/>
      <c r="B991" s="214"/>
      <c r="C991" s="214"/>
      <c r="D991" s="214"/>
      <c r="E991" s="214"/>
      <c r="F991" s="214"/>
      <c r="G991" s="214"/>
      <c r="H991" s="214"/>
      <c r="I991" s="214"/>
      <c r="J991" s="214"/>
      <c r="K991" s="214"/>
      <c r="L991" s="214"/>
      <c r="M991" s="214"/>
      <c r="N991" s="214"/>
      <c r="O991" s="214"/>
      <c r="P991" s="214"/>
      <c r="Q991" s="214"/>
      <c r="R991" s="214"/>
      <c r="S991" s="214"/>
      <c r="T991" s="214"/>
      <c r="U991" s="214"/>
      <c r="V991" s="214"/>
      <c r="W991" s="214"/>
      <c r="X991" s="214"/>
    </row>
    <row r="992" spans="1:24" ht="15.75" customHeight="1">
      <c r="A992" s="214"/>
      <c r="B992" s="214"/>
      <c r="C992" s="214"/>
      <c r="D992" s="214"/>
      <c r="E992" s="214"/>
      <c r="F992" s="214"/>
      <c r="G992" s="214"/>
      <c r="H992" s="214"/>
      <c r="I992" s="214"/>
      <c r="J992" s="214"/>
      <c r="K992" s="214"/>
      <c r="L992" s="214"/>
      <c r="M992" s="214"/>
      <c r="N992" s="214"/>
      <c r="O992" s="214"/>
      <c r="P992" s="214"/>
      <c r="Q992" s="214"/>
      <c r="R992" s="214"/>
      <c r="S992" s="214"/>
      <c r="T992" s="214"/>
      <c r="U992" s="214"/>
      <c r="V992" s="214"/>
      <c r="W992" s="214"/>
      <c r="X992" s="214"/>
    </row>
    <row r="993" spans="1:24" ht="15.75" customHeight="1">
      <c r="A993" s="214"/>
      <c r="B993" s="214"/>
      <c r="C993" s="214"/>
      <c r="D993" s="214"/>
      <c r="E993" s="214"/>
      <c r="F993" s="214"/>
      <c r="G993" s="214"/>
      <c r="H993" s="214"/>
      <c r="I993" s="214"/>
      <c r="J993" s="214"/>
      <c r="K993" s="214"/>
      <c r="L993" s="214"/>
      <c r="M993" s="214"/>
      <c r="N993" s="214"/>
      <c r="O993" s="214"/>
      <c r="P993" s="214"/>
      <c r="Q993" s="214"/>
      <c r="R993" s="214"/>
      <c r="S993" s="214"/>
      <c r="T993" s="214"/>
      <c r="U993" s="214"/>
      <c r="V993" s="214"/>
      <c r="W993" s="214"/>
      <c r="X993" s="214"/>
    </row>
    <row r="994" spans="1:24" ht="15.75" customHeight="1">
      <c r="A994" s="214"/>
      <c r="B994" s="214"/>
      <c r="C994" s="214"/>
      <c r="D994" s="214"/>
      <c r="E994" s="214"/>
      <c r="F994" s="214"/>
      <c r="G994" s="214"/>
      <c r="H994" s="214"/>
      <c r="I994" s="214"/>
      <c r="J994" s="214"/>
      <c r="K994" s="214"/>
      <c r="L994" s="214"/>
      <c r="M994" s="214"/>
      <c r="N994" s="214"/>
      <c r="O994" s="214"/>
      <c r="P994" s="214"/>
      <c r="Q994" s="214"/>
      <c r="R994" s="214"/>
      <c r="S994" s="214"/>
      <c r="T994" s="214"/>
      <c r="U994" s="214"/>
      <c r="V994" s="214"/>
      <c r="W994" s="214"/>
      <c r="X994" s="214"/>
    </row>
    <row r="995" spans="1:24" ht="15.75" customHeight="1">
      <c r="A995" s="214"/>
      <c r="B995" s="214"/>
      <c r="C995" s="214"/>
      <c r="D995" s="214"/>
      <c r="E995" s="214"/>
      <c r="F995" s="214"/>
      <c r="G995" s="214"/>
      <c r="H995" s="214"/>
      <c r="I995" s="214"/>
      <c r="J995" s="214"/>
      <c r="K995" s="214"/>
      <c r="L995" s="214"/>
      <c r="M995" s="214"/>
      <c r="N995" s="214"/>
      <c r="O995" s="214"/>
      <c r="P995" s="214"/>
      <c r="Q995" s="214"/>
      <c r="R995" s="214"/>
      <c r="S995" s="214"/>
      <c r="T995" s="214"/>
      <c r="U995" s="214"/>
      <c r="V995" s="214"/>
      <c r="W995" s="214"/>
      <c r="X995" s="214"/>
    </row>
    <row r="996" spans="1:24" ht="15.75" customHeight="1">
      <c r="A996" s="214"/>
      <c r="B996" s="214"/>
      <c r="C996" s="214"/>
      <c r="D996" s="214"/>
      <c r="E996" s="214"/>
      <c r="F996" s="214"/>
      <c r="G996" s="214"/>
      <c r="H996" s="214"/>
      <c r="I996" s="214"/>
      <c r="J996" s="214"/>
      <c r="K996" s="214"/>
      <c r="L996" s="214"/>
      <c r="M996" s="214"/>
      <c r="N996" s="214"/>
      <c r="O996" s="214"/>
      <c r="P996" s="214"/>
      <c r="Q996" s="214"/>
      <c r="R996" s="214"/>
      <c r="S996" s="214"/>
      <c r="T996" s="214"/>
      <c r="U996" s="214"/>
      <c r="V996" s="214"/>
      <c r="W996" s="214"/>
      <c r="X996" s="214"/>
    </row>
    <row r="997" spans="1:24" ht="15.75" customHeight="1">
      <c r="A997" s="214"/>
      <c r="B997" s="214"/>
      <c r="C997" s="214"/>
      <c r="D997" s="214"/>
      <c r="E997" s="214"/>
      <c r="F997" s="214"/>
      <c r="G997" s="214"/>
      <c r="H997" s="214"/>
      <c r="I997" s="214"/>
      <c r="J997" s="214"/>
      <c r="K997" s="214"/>
      <c r="L997" s="214"/>
      <c r="M997" s="214"/>
      <c r="N997" s="214"/>
      <c r="O997" s="214"/>
      <c r="P997" s="214"/>
      <c r="Q997" s="214"/>
      <c r="R997" s="214"/>
      <c r="S997" s="214"/>
      <c r="T997" s="214"/>
      <c r="U997" s="214"/>
      <c r="V997" s="214"/>
      <c r="W997" s="214"/>
      <c r="X997" s="214"/>
    </row>
    <row r="998" spans="1:24" ht="15.75" customHeight="1">
      <c r="A998" s="214"/>
      <c r="B998" s="214"/>
      <c r="C998" s="214"/>
      <c r="D998" s="214"/>
      <c r="E998" s="214"/>
      <c r="F998" s="214"/>
      <c r="G998" s="214"/>
      <c r="H998" s="214"/>
      <c r="I998" s="214"/>
      <c r="J998" s="214"/>
      <c r="K998" s="214"/>
      <c r="L998" s="214"/>
      <c r="M998" s="214"/>
      <c r="N998" s="214"/>
      <c r="O998" s="214"/>
      <c r="P998" s="214"/>
      <c r="Q998" s="214"/>
      <c r="R998" s="214"/>
      <c r="S998" s="214"/>
      <c r="T998" s="214"/>
      <c r="U998" s="214"/>
      <c r="V998" s="214"/>
      <c r="W998" s="214"/>
      <c r="X998" s="214"/>
    </row>
    <row r="999" spans="1:24" ht="15.75" customHeight="1">
      <c r="A999" s="214"/>
      <c r="B999" s="214"/>
      <c r="C999" s="214"/>
      <c r="D999" s="214"/>
      <c r="E999" s="214"/>
      <c r="F999" s="214"/>
      <c r="G999" s="214"/>
      <c r="H999" s="214"/>
      <c r="I999" s="214"/>
      <c r="J999" s="214"/>
      <c r="K999" s="214"/>
      <c r="L999" s="214"/>
      <c r="M999" s="214"/>
      <c r="N999" s="214"/>
      <c r="O999" s="214"/>
      <c r="P999" s="214"/>
      <c r="Q999" s="214"/>
      <c r="R999" s="214"/>
      <c r="S999" s="214"/>
      <c r="T999" s="214"/>
      <c r="U999" s="214"/>
      <c r="V999" s="214"/>
      <c r="W999" s="214"/>
      <c r="X999" s="214"/>
    </row>
    <row r="1000" spans="1:24" ht="15.75" customHeight="1">
      <c r="A1000" s="214"/>
      <c r="B1000" s="214"/>
      <c r="C1000" s="214"/>
      <c r="D1000" s="214"/>
      <c r="E1000" s="214"/>
      <c r="F1000" s="214"/>
      <c r="G1000" s="214"/>
      <c r="H1000" s="214"/>
      <c r="I1000" s="214"/>
      <c r="J1000" s="214"/>
      <c r="K1000" s="214"/>
      <c r="L1000" s="214"/>
      <c r="M1000" s="214"/>
      <c r="N1000" s="214"/>
      <c r="O1000" s="214"/>
      <c r="P1000" s="214"/>
      <c r="Q1000" s="214"/>
      <c r="R1000" s="214"/>
      <c r="S1000" s="214"/>
      <c r="T1000" s="214"/>
      <c r="U1000" s="214"/>
      <c r="V1000" s="214"/>
      <c r="W1000" s="214"/>
      <c r="X1000" s="214"/>
    </row>
    <row r="1001" spans="1:24" ht="15.75" customHeight="1">
      <c r="A1001" s="214"/>
      <c r="B1001" s="214"/>
      <c r="C1001" s="214"/>
      <c r="D1001" s="214"/>
      <c r="E1001" s="214"/>
      <c r="F1001" s="214"/>
      <c r="G1001" s="214"/>
      <c r="H1001" s="214"/>
      <c r="I1001" s="214"/>
      <c r="J1001" s="214"/>
      <c r="K1001" s="214"/>
      <c r="L1001" s="214"/>
      <c r="M1001" s="214"/>
      <c r="N1001" s="214"/>
      <c r="O1001" s="214"/>
      <c r="P1001" s="214"/>
      <c r="Q1001" s="214"/>
      <c r="R1001" s="214"/>
      <c r="S1001" s="214"/>
      <c r="T1001" s="214"/>
      <c r="U1001" s="214"/>
      <c r="V1001" s="214"/>
      <c r="W1001" s="214"/>
      <c r="X1001" s="214"/>
    </row>
    <row r="1002" spans="1:24" ht="15.75" customHeight="1">
      <c r="A1002" s="214"/>
      <c r="B1002" s="214"/>
      <c r="C1002" s="214"/>
      <c r="D1002" s="214"/>
      <c r="E1002" s="214"/>
      <c r="F1002" s="214"/>
      <c r="G1002" s="214"/>
      <c r="H1002" s="214"/>
      <c r="I1002" s="214"/>
      <c r="J1002" s="214"/>
      <c r="K1002" s="214"/>
      <c r="L1002" s="214"/>
      <c r="M1002" s="214"/>
      <c r="N1002" s="214"/>
      <c r="O1002" s="214"/>
      <c r="P1002" s="214"/>
      <c r="Q1002" s="214"/>
      <c r="R1002" s="214"/>
      <c r="S1002" s="214"/>
      <c r="T1002" s="214"/>
      <c r="U1002" s="214"/>
      <c r="V1002" s="214"/>
      <c r="W1002" s="214"/>
      <c r="X1002" s="214"/>
    </row>
  </sheetData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W98"/>
  <sheetViews>
    <sheetView topLeftCell="A49" workbookViewId="0">
      <selection activeCell="G87" sqref="G87"/>
    </sheetView>
  </sheetViews>
  <sheetFormatPr defaultRowHeight="15"/>
  <cols>
    <col min="2" max="2" width="27.42578125" bestFit="1" customWidth="1"/>
    <col min="3" max="3" width="8.5703125" bestFit="1" customWidth="1"/>
    <col min="4" max="4" width="10.85546875" bestFit="1" customWidth="1"/>
    <col min="5" max="5" width="12.5703125" bestFit="1" customWidth="1"/>
    <col min="7" max="7" width="27.42578125" bestFit="1" customWidth="1"/>
    <col min="8" max="8" width="8.5703125" bestFit="1" customWidth="1"/>
    <col min="10" max="10" width="12.5703125" bestFit="1" customWidth="1"/>
    <col min="14" max="14" width="9.140625" style="237"/>
    <col min="15" max="15" width="9.140625" style="238"/>
    <col min="19" max="19" width="9.140625" style="238"/>
  </cols>
  <sheetData>
    <row r="1" spans="2:10" ht="15.75" thickBot="1"/>
    <row r="2" spans="2:10" ht="15.75" thickBot="1">
      <c r="B2" s="219" t="s">
        <v>307</v>
      </c>
      <c r="C2" s="571" t="s">
        <v>305</v>
      </c>
      <c r="D2" s="572"/>
      <c r="E2" s="573"/>
      <c r="G2" s="219" t="s">
        <v>279</v>
      </c>
      <c r="H2" s="571" t="s">
        <v>306</v>
      </c>
      <c r="I2" s="572"/>
      <c r="J2" s="573"/>
    </row>
    <row r="3" spans="2:10" ht="15.75" thickBot="1">
      <c r="B3" s="220" t="s">
        <v>280</v>
      </c>
      <c r="C3" s="221" t="s">
        <v>281</v>
      </c>
      <c r="D3" s="222" t="s">
        <v>282</v>
      </c>
      <c r="E3" s="223" t="s">
        <v>304</v>
      </c>
      <c r="G3" s="220" t="s">
        <v>280</v>
      </c>
      <c r="H3" s="221" t="s">
        <v>281</v>
      </c>
      <c r="I3" s="222" t="s">
        <v>282</v>
      </c>
      <c r="J3" s="223" t="s">
        <v>304</v>
      </c>
    </row>
    <row r="4" spans="2:10">
      <c r="B4" s="224" t="s">
        <v>283</v>
      </c>
      <c r="C4" s="225" t="s">
        <v>284</v>
      </c>
      <c r="D4" s="226">
        <v>330</v>
      </c>
      <c r="E4" s="227">
        <v>186</v>
      </c>
      <c r="G4" s="224" t="s">
        <v>283</v>
      </c>
      <c r="H4" s="225" t="s">
        <v>284</v>
      </c>
      <c r="I4" s="226">
        <v>330</v>
      </c>
      <c r="J4" s="227">
        <v>186</v>
      </c>
    </row>
    <row r="5" spans="2:10">
      <c r="B5" s="228" t="s">
        <v>285</v>
      </c>
      <c r="C5" s="229" t="s">
        <v>286</v>
      </c>
      <c r="D5" s="230">
        <v>261</v>
      </c>
      <c r="E5" s="227">
        <v>232</v>
      </c>
      <c r="G5" s="228" t="s">
        <v>285</v>
      </c>
      <c r="H5" s="229" t="s">
        <v>286</v>
      </c>
      <c r="I5" s="230">
        <v>262</v>
      </c>
      <c r="J5" s="227">
        <v>236</v>
      </c>
    </row>
    <row r="6" spans="2:10">
      <c r="B6" s="228" t="s">
        <v>287</v>
      </c>
      <c r="C6" s="229" t="s">
        <v>21</v>
      </c>
      <c r="D6" s="230">
        <v>10</v>
      </c>
      <c r="E6" s="227">
        <v>-7.17</v>
      </c>
      <c r="G6" s="228" t="s">
        <v>287</v>
      </c>
      <c r="H6" s="229" t="s">
        <v>21</v>
      </c>
      <c r="I6" s="230">
        <v>10</v>
      </c>
      <c r="J6" s="227">
        <v>-7.18</v>
      </c>
    </row>
    <row r="7" spans="2:10">
      <c r="B7" s="228" t="s">
        <v>288</v>
      </c>
      <c r="C7" s="229" t="s">
        <v>21</v>
      </c>
      <c r="D7" s="230">
        <v>5</v>
      </c>
      <c r="E7" s="227">
        <v>-10</v>
      </c>
      <c r="G7" s="228" t="s">
        <v>288</v>
      </c>
      <c r="H7" s="229" t="s">
        <v>21</v>
      </c>
      <c r="I7" s="230">
        <v>5</v>
      </c>
      <c r="J7" s="227">
        <v>-10</v>
      </c>
    </row>
    <row r="8" spans="2:10">
      <c r="B8" s="228" t="s">
        <v>162</v>
      </c>
      <c r="C8" s="229" t="s">
        <v>289</v>
      </c>
      <c r="D8" s="230">
        <v>3707</v>
      </c>
      <c r="E8" s="227">
        <v>3707</v>
      </c>
      <c r="G8" s="228" t="s">
        <v>162</v>
      </c>
      <c r="H8" s="229" t="s">
        <v>289</v>
      </c>
      <c r="I8" s="230">
        <v>3707</v>
      </c>
      <c r="J8" s="227">
        <v>3707</v>
      </c>
    </row>
    <row r="9" spans="2:10">
      <c r="B9" s="228" t="s">
        <v>290</v>
      </c>
      <c r="C9" s="229" t="s">
        <v>291</v>
      </c>
      <c r="D9" s="230">
        <v>30</v>
      </c>
      <c r="E9" s="227">
        <v>30</v>
      </c>
      <c r="G9" s="228" t="s">
        <v>290</v>
      </c>
      <c r="H9" s="229" t="s">
        <v>291</v>
      </c>
      <c r="I9" s="230">
        <v>30</v>
      </c>
      <c r="J9" s="227">
        <v>30</v>
      </c>
    </row>
    <row r="10" spans="2:10">
      <c r="B10" s="228" t="s">
        <v>292</v>
      </c>
      <c r="C10" s="229" t="s">
        <v>293</v>
      </c>
      <c r="D10" s="230"/>
      <c r="E10" s="227"/>
      <c r="G10" s="228" t="s">
        <v>292</v>
      </c>
      <c r="H10" s="229" t="s">
        <v>293</v>
      </c>
      <c r="I10" s="230"/>
      <c r="J10" s="227"/>
    </row>
    <row r="11" spans="2:10">
      <c r="B11" s="228" t="s">
        <v>294</v>
      </c>
      <c r="C11" s="229" t="s">
        <v>295</v>
      </c>
      <c r="D11" s="230">
        <v>3</v>
      </c>
      <c r="E11" s="227">
        <v>3</v>
      </c>
      <c r="G11" s="228" t="s">
        <v>294</v>
      </c>
      <c r="H11" s="229" t="s">
        <v>295</v>
      </c>
      <c r="I11" s="230">
        <v>3</v>
      </c>
      <c r="J11" s="227">
        <v>3</v>
      </c>
    </row>
    <row r="12" spans="2:10">
      <c r="B12" s="228" t="s">
        <v>296</v>
      </c>
      <c r="C12" s="229" t="s">
        <v>297</v>
      </c>
      <c r="D12" s="230">
        <v>8.7999999999999995E-2</v>
      </c>
      <c r="E12" s="227">
        <v>8.7999999999999995E-2</v>
      </c>
      <c r="G12" s="228" t="s">
        <v>296</v>
      </c>
      <c r="H12" s="229" t="s">
        <v>297</v>
      </c>
      <c r="I12" s="230">
        <v>8.7999999999999995E-2</v>
      </c>
      <c r="J12" s="227">
        <v>8.7999999999999995E-2</v>
      </c>
    </row>
    <row r="13" spans="2:10">
      <c r="B13" s="228" t="s">
        <v>298</v>
      </c>
      <c r="C13" s="229" t="s">
        <v>21</v>
      </c>
      <c r="D13" s="230">
        <v>32</v>
      </c>
      <c r="E13" s="227">
        <v>32</v>
      </c>
      <c r="G13" s="228" t="s">
        <v>298</v>
      </c>
      <c r="H13" s="229" t="s">
        <v>21</v>
      </c>
      <c r="I13" s="230">
        <v>32</v>
      </c>
      <c r="J13" s="227">
        <v>32</v>
      </c>
    </row>
    <row r="14" spans="2:10">
      <c r="B14" s="228" t="s">
        <v>299</v>
      </c>
      <c r="C14" s="229" t="s">
        <v>21</v>
      </c>
      <c r="D14" s="230">
        <v>36</v>
      </c>
      <c r="E14" s="227">
        <v>34.520000000000003</v>
      </c>
      <c r="G14" s="228" t="s">
        <v>299</v>
      </c>
      <c r="H14" s="229" t="s">
        <v>21</v>
      </c>
      <c r="I14" s="230">
        <v>36</v>
      </c>
      <c r="J14" s="227">
        <v>34.5</v>
      </c>
    </row>
    <row r="15" spans="2:10">
      <c r="B15" s="228" t="s">
        <v>162</v>
      </c>
      <c r="C15" s="229" t="s">
        <v>289</v>
      </c>
      <c r="D15" s="230">
        <v>5058</v>
      </c>
      <c r="E15" s="227">
        <v>5058</v>
      </c>
      <c r="G15" s="228" t="s">
        <v>162</v>
      </c>
      <c r="H15" s="229" t="s">
        <v>289</v>
      </c>
      <c r="I15" s="230">
        <v>5080</v>
      </c>
      <c r="J15" s="227">
        <v>5080</v>
      </c>
    </row>
    <row r="16" spans="2:10">
      <c r="B16" s="228" t="s">
        <v>300</v>
      </c>
      <c r="C16" s="229" t="s">
        <v>301</v>
      </c>
      <c r="D16" s="230"/>
      <c r="E16" s="227"/>
      <c r="G16" s="228" t="s">
        <v>292</v>
      </c>
      <c r="H16" s="229" t="s">
        <v>308</v>
      </c>
      <c r="I16" s="230"/>
      <c r="J16" s="227"/>
    </row>
    <row r="17" spans="2:10">
      <c r="B17" s="228" t="s">
        <v>302</v>
      </c>
      <c r="C17" s="229" t="s">
        <v>295</v>
      </c>
      <c r="D17" s="230">
        <v>2</v>
      </c>
      <c r="E17" s="227">
        <v>2</v>
      </c>
      <c r="G17" s="228" t="s">
        <v>302</v>
      </c>
      <c r="H17" s="229" t="s">
        <v>295</v>
      </c>
      <c r="I17" s="230">
        <v>2</v>
      </c>
      <c r="J17" s="227">
        <v>2</v>
      </c>
    </row>
    <row r="18" spans="2:10" ht="15.75" thickBot="1">
      <c r="B18" s="231" t="s">
        <v>303</v>
      </c>
      <c r="C18" s="232" t="s">
        <v>297</v>
      </c>
      <c r="D18" s="233">
        <v>0.17599999999999999</v>
      </c>
      <c r="E18" s="234">
        <v>0.17599999999999999</v>
      </c>
      <c r="G18" s="231" t="s">
        <v>303</v>
      </c>
      <c r="H18" s="232" t="s">
        <v>297</v>
      </c>
      <c r="I18" s="233">
        <v>4.3999999999999997E-2</v>
      </c>
      <c r="J18" s="234">
        <v>4.3999999999999997E-2</v>
      </c>
    </row>
    <row r="21" spans="2:10">
      <c r="D21" s="235">
        <v>708</v>
      </c>
      <c r="E21" s="235">
        <v>708</v>
      </c>
      <c r="I21" s="235">
        <v>708</v>
      </c>
    </row>
    <row r="22" spans="2:10">
      <c r="D22" s="235">
        <v>476</v>
      </c>
      <c r="E22" s="235">
        <v>476</v>
      </c>
      <c r="I22" s="235">
        <v>670</v>
      </c>
    </row>
    <row r="25" spans="2:10" ht="15.75" thickBot="1"/>
    <row r="26" spans="2:10" ht="15.75" thickBot="1">
      <c r="B26" s="219" t="s">
        <v>312</v>
      </c>
      <c r="C26" s="571" t="s">
        <v>309</v>
      </c>
      <c r="D26" s="572"/>
      <c r="E26" s="573"/>
    </row>
    <row r="27" spans="2:10" ht="15.75" thickBot="1">
      <c r="B27" s="220" t="s">
        <v>280</v>
      </c>
      <c r="C27" s="221" t="s">
        <v>281</v>
      </c>
      <c r="D27" s="222" t="s">
        <v>282</v>
      </c>
      <c r="E27" s="223" t="s">
        <v>304</v>
      </c>
    </row>
    <row r="28" spans="2:10">
      <c r="B28" s="224" t="s">
        <v>283</v>
      </c>
      <c r="C28" s="225" t="s">
        <v>284</v>
      </c>
      <c r="D28" s="226">
        <v>165</v>
      </c>
      <c r="E28" s="227">
        <v>160</v>
      </c>
    </row>
    <row r="29" spans="2:10">
      <c r="B29" s="228" t="s">
        <v>285</v>
      </c>
      <c r="C29" s="229" t="s">
        <v>286</v>
      </c>
      <c r="D29" s="230">
        <v>110</v>
      </c>
      <c r="E29" s="227">
        <v>232</v>
      </c>
    </row>
    <row r="30" spans="2:10">
      <c r="B30" s="228" t="s">
        <v>287</v>
      </c>
      <c r="C30" s="229" t="s">
        <v>21</v>
      </c>
      <c r="D30" s="230">
        <v>10.06</v>
      </c>
      <c r="E30" s="227">
        <v>-5</v>
      </c>
    </row>
    <row r="31" spans="2:10">
      <c r="B31" s="228" t="s">
        <v>288</v>
      </c>
      <c r="C31" s="229" t="s">
        <v>21</v>
      </c>
      <c r="D31" s="230">
        <v>5</v>
      </c>
      <c r="E31" s="227">
        <v>-10</v>
      </c>
    </row>
    <row r="32" spans="2:10">
      <c r="B32" s="228" t="s">
        <v>162</v>
      </c>
      <c r="C32" s="229" t="s">
        <v>289</v>
      </c>
      <c r="D32" s="230">
        <v>1831</v>
      </c>
      <c r="E32" s="227">
        <v>1831</v>
      </c>
    </row>
    <row r="33" spans="2:5">
      <c r="B33" s="228" t="s">
        <v>290</v>
      </c>
      <c r="C33" s="229" t="s">
        <v>291</v>
      </c>
      <c r="D33" s="230">
        <v>30</v>
      </c>
      <c r="E33" s="227">
        <v>30</v>
      </c>
    </row>
    <row r="34" spans="2:5">
      <c r="B34" s="228" t="s">
        <v>292</v>
      </c>
      <c r="C34" s="229" t="s">
        <v>310</v>
      </c>
      <c r="D34" s="230"/>
      <c r="E34" s="227"/>
    </row>
    <row r="35" spans="2:5">
      <c r="B35" s="228" t="s">
        <v>294</v>
      </c>
      <c r="C35" s="229" t="s">
        <v>295</v>
      </c>
      <c r="D35" s="230">
        <v>3</v>
      </c>
      <c r="E35" s="227">
        <v>3</v>
      </c>
    </row>
    <row r="36" spans="2:5">
      <c r="B36" s="228" t="s">
        <v>296</v>
      </c>
      <c r="C36" s="229" t="s">
        <v>297</v>
      </c>
      <c r="D36" s="230">
        <v>1.7600000000000001E-2</v>
      </c>
      <c r="E36" s="227">
        <v>1.7600000000000001E-2</v>
      </c>
    </row>
    <row r="37" spans="2:5">
      <c r="B37" s="228" t="s">
        <v>298</v>
      </c>
      <c r="C37" s="229" t="s">
        <v>21</v>
      </c>
      <c r="D37" s="230">
        <v>33</v>
      </c>
      <c r="E37" s="227">
        <v>33</v>
      </c>
    </row>
    <row r="38" spans="2:5">
      <c r="B38" s="228" t="s">
        <v>299</v>
      </c>
      <c r="C38" s="229" t="s">
        <v>21</v>
      </c>
      <c r="D38" s="230">
        <v>36.43</v>
      </c>
      <c r="E38" s="227">
        <v>37</v>
      </c>
    </row>
    <row r="39" spans="2:5">
      <c r="B39" s="228" t="s">
        <v>162</v>
      </c>
      <c r="C39" s="229" t="s">
        <v>289</v>
      </c>
      <c r="D39" s="230">
        <v>2888</v>
      </c>
      <c r="E39" s="227">
        <v>2888</v>
      </c>
    </row>
    <row r="40" spans="2:5">
      <c r="B40" s="228" t="s">
        <v>292</v>
      </c>
      <c r="C40" s="229" t="s">
        <v>311</v>
      </c>
      <c r="D40" s="230"/>
      <c r="E40" s="227"/>
    </row>
    <row r="41" spans="2:5">
      <c r="B41" s="228" t="s">
        <v>302</v>
      </c>
      <c r="C41" s="229" t="s">
        <v>295</v>
      </c>
      <c r="D41" s="230">
        <v>2</v>
      </c>
      <c r="E41" s="227">
        <v>2</v>
      </c>
    </row>
    <row r="42" spans="2:5" ht="15.75" thickBot="1">
      <c r="B42" s="231" t="s">
        <v>303</v>
      </c>
      <c r="C42" s="232" t="s">
        <v>297</v>
      </c>
      <c r="D42" s="233">
        <v>4.3999999999999997E-2</v>
      </c>
      <c r="E42" s="234">
        <v>4.3999999999999997E-2</v>
      </c>
    </row>
    <row r="53" spans="8:23">
      <c r="H53" s="236" t="s">
        <v>313</v>
      </c>
      <c r="I53">
        <v>21.15</v>
      </c>
      <c r="J53">
        <v>25.8</v>
      </c>
      <c r="K53">
        <v>20.16</v>
      </c>
      <c r="L53">
        <v>18.22</v>
      </c>
      <c r="M53">
        <v>15.23</v>
      </c>
      <c r="N53" s="237">
        <v>18.64</v>
      </c>
      <c r="O53" s="238">
        <v>19</v>
      </c>
      <c r="P53">
        <v>21</v>
      </c>
      <c r="Q53">
        <v>28.33</v>
      </c>
      <c r="R53">
        <v>18.29</v>
      </c>
      <c r="S53" s="238">
        <v>16.54</v>
      </c>
      <c r="T53">
        <v>16.89</v>
      </c>
    </row>
    <row r="54" spans="8:23">
      <c r="H54" s="236" t="s">
        <v>314</v>
      </c>
      <c r="I54">
        <v>21.55</v>
      </c>
      <c r="J54">
        <v>16.13</v>
      </c>
      <c r="K54">
        <v>27.17</v>
      </c>
      <c r="L54">
        <v>30.19</v>
      </c>
      <c r="M54">
        <v>13.71</v>
      </c>
      <c r="N54" s="237">
        <v>58.57</v>
      </c>
      <c r="O54" s="238">
        <v>54</v>
      </c>
      <c r="P54">
        <v>20</v>
      </c>
      <c r="Q54">
        <v>15.31</v>
      </c>
      <c r="R54">
        <v>28.88</v>
      </c>
      <c r="S54" s="238">
        <v>9.8699999999999992</v>
      </c>
      <c r="T54">
        <v>66.27</v>
      </c>
    </row>
    <row r="55" spans="8:23">
      <c r="H55" s="236" t="s">
        <v>315</v>
      </c>
      <c r="I55">
        <v>49.93</v>
      </c>
      <c r="J55">
        <v>49.24</v>
      </c>
      <c r="K55">
        <v>45.32</v>
      </c>
      <c r="L55">
        <v>43.85</v>
      </c>
      <c r="M55">
        <v>65.209999999999994</v>
      </c>
      <c r="N55" s="237">
        <v>6.26</v>
      </c>
      <c r="O55" s="238">
        <v>19</v>
      </c>
      <c r="P55">
        <v>51</v>
      </c>
      <c r="Q55">
        <v>47.37</v>
      </c>
      <c r="R55">
        <v>42.16</v>
      </c>
      <c r="S55" s="238">
        <v>8.92</v>
      </c>
      <c r="T55">
        <v>6.9</v>
      </c>
    </row>
    <row r="56" spans="8:23">
      <c r="U56" s="236" t="s">
        <v>317</v>
      </c>
      <c r="V56" s="236" t="s">
        <v>318</v>
      </c>
    </row>
    <row r="57" spans="8:23">
      <c r="I57">
        <v>0.5</v>
      </c>
      <c r="J57">
        <v>5</v>
      </c>
      <c r="K57">
        <v>0.5</v>
      </c>
      <c r="L57">
        <v>0.5</v>
      </c>
      <c r="M57">
        <v>0.5</v>
      </c>
      <c r="N57" s="237">
        <v>5</v>
      </c>
      <c r="O57" s="238">
        <v>0.5</v>
      </c>
      <c r="P57">
        <v>0.5</v>
      </c>
      <c r="Q57">
        <v>0.5</v>
      </c>
      <c r="R57">
        <v>0.5</v>
      </c>
      <c r="S57" s="238">
        <v>5</v>
      </c>
      <c r="T57">
        <v>2</v>
      </c>
      <c r="U57">
        <f>SUM(I57:S57)</f>
        <v>19</v>
      </c>
      <c r="V57">
        <f>U57*100</f>
        <v>1900</v>
      </c>
    </row>
    <row r="58" spans="8:23">
      <c r="V58" s="236" t="s">
        <v>316</v>
      </c>
    </row>
    <row r="59" spans="8:23">
      <c r="I59">
        <f>I57*I53</f>
        <v>10.574999999999999</v>
      </c>
      <c r="J59">
        <f t="shared" ref="J59:T59" si="0">J57*J53</f>
        <v>129</v>
      </c>
      <c r="K59">
        <f t="shared" si="0"/>
        <v>10.08</v>
      </c>
      <c r="L59">
        <f t="shared" si="0"/>
        <v>9.11</v>
      </c>
      <c r="M59">
        <f t="shared" si="0"/>
        <v>7.6150000000000002</v>
      </c>
      <c r="N59" s="237">
        <f t="shared" si="0"/>
        <v>93.2</v>
      </c>
      <c r="O59" s="238">
        <f t="shared" si="0"/>
        <v>9.5</v>
      </c>
      <c r="P59">
        <f t="shared" si="0"/>
        <v>10.5</v>
      </c>
      <c r="Q59">
        <f t="shared" si="0"/>
        <v>14.164999999999999</v>
      </c>
      <c r="R59">
        <f t="shared" si="0"/>
        <v>9.1449999999999996</v>
      </c>
      <c r="S59" s="238">
        <f t="shared" si="0"/>
        <v>82.699999999999989</v>
      </c>
      <c r="T59">
        <f t="shared" si="0"/>
        <v>33.78</v>
      </c>
      <c r="V59">
        <f>SUM(I59:T59)</f>
        <v>419.37</v>
      </c>
      <c r="W59">
        <f>V59/60</f>
        <v>6.9895000000000005</v>
      </c>
    </row>
    <row r="60" spans="8:23">
      <c r="I60">
        <f>I57*I54</f>
        <v>10.775</v>
      </c>
      <c r="J60">
        <f t="shared" ref="J60:T60" si="1">J57*J54</f>
        <v>80.649999999999991</v>
      </c>
      <c r="K60">
        <f t="shared" si="1"/>
        <v>13.585000000000001</v>
      </c>
      <c r="L60">
        <f t="shared" si="1"/>
        <v>15.095000000000001</v>
      </c>
      <c r="M60">
        <f t="shared" si="1"/>
        <v>6.8550000000000004</v>
      </c>
      <c r="N60" s="237">
        <f t="shared" si="1"/>
        <v>292.85000000000002</v>
      </c>
      <c r="O60" s="238">
        <f t="shared" si="1"/>
        <v>27</v>
      </c>
      <c r="P60">
        <f t="shared" si="1"/>
        <v>10</v>
      </c>
      <c r="Q60">
        <f t="shared" si="1"/>
        <v>7.6550000000000002</v>
      </c>
      <c r="R60">
        <f t="shared" si="1"/>
        <v>14.44</v>
      </c>
      <c r="S60" s="238">
        <f t="shared" si="1"/>
        <v>49.349999999999994</v>
      </c>
      <c r="T60">
        <f t="shared" si="1"/>
        <v>132.54</v>
      </c>
      <c r="V60">
        <f t="shared" ref="V60:V61" si="2">SUM(I60:T60)</f>
        <v>660.79499999999996</v>
      </c>
      <c r="W60">
        <f t="shared" ref="W60:W61" si="3">V60/60</f>
        <v>11.013249999999999</v>
      </c>
    </row>
    <row r="61" spans="8:23">
      <c r="I61">
        <f>I57*I55</f>
        <v>24.965</v>
      </c>
      <c r="J61">
        <f t="shared" ref="J61:T61" si="4">J57*J55</f>
        <v>246.20000000000002</v>
      </c>
      <c r="K61">
        <f t="shared" si="4"/>
        <v>22.66</v>
      </c>
      <c r="L61">
        <f t="shared" si="4"/>
        <v>21.925000000000001</v>
      </c>
      <c r="M61">
        <f t="shared" si="4"/>
        <v>32.604999999999997</v>
      </c>
      <c r="N61" s="237">
        <f t="shared" si="4"/>
        <v>31.299999999999997</v>
      </c>
      <c r="O61" s="238">
        <f t="shared" si="4"/>
        <v>9.5</v>
      </c>
      <c r="P61">
        <f t="shared" si="4"/>
        <v>25.5</v>
      </c>
      <c r="Q61">
        <f t="shared" si="4"/>
        <v>23.684999999999999</v>
      </c>
      <c r="R61">
        <f t="shared" si="4"/>
        <v>21.08</v>
      </c>
      <c r="S61" s="238">
        <f t="shared" si="4"/>
        <v>44.6</v>
      </c>
      <c r="T61">
        <f t="shared" si="4"/>
        <v>13.8</v>
      </c>
      <c r="V61">
        <f t="shared" si="2"/>
        <v>517.82000000000005</v>
      </c>
      <c r="W61">
        <f t="shared" si="3"/>
        <v>8.6303333333333345</v>
      </c>
    </row>
    <row r="65" spans="8:23">
      <c r="H65" s="236" t="s">
        <v>313</v>
      </c>
      <c r="I65">
        <v>21.15</v>
      </c>
      <c r="J65">
        <v>25.8</v>
      </c>
      <c r="K65">
        <v>20.16</v>
      </c>
      <c r="L65">
        <v>18.22</v>
      </c>
      <c r="M65">
        <v>15.23</v>
      </c>
      <c r="N65" s="237">
        <v>18.64</v>
      </c>
      <c r="O65" s="238">
        <v>19</v>
      </c>
      <c r="P65">
        <v>21</v>
      </c>
      <c r="Q65">
        <v>28.33</v>
      </c>
      <c r="R65">
        <v>18.29</v>
      </c>
      <c r="S65" s="238">
        <v>16.54</v>
      </c>
      <c r="T65">
        <v>16.89</v>
      </c>
    </row>
    <row r="66" spans="8:23">
      <c r="H66" s="236" t="s">
        <v>314</v>
      </c>
      <c r="I66">
        <v>21.55</v>
      </c>
      <c r="J66">
        <v>16.13</v>
      </c>
      <c r="K66">
        <v>27.17</v>
      </c>
      <c r="L66">
        <v>30.19</v>
      </c>
      <c r="M66">
        <v>13.71</v>
      </c>
      <c r="N66" s="237">
        <v>58.57</v>
      </c>
      <c r="O66" s="238">
        <v>54</v>
      </c>
      <c r="P66">
        <v>20</v>
      </c>
      <c r="Q66">
        <v>15.31</v>
      </c>
      <c r="R66">
        <v>28.88</v>
      </c>
      <c r="S66" s="238">
        <v>9.8699999999999992</v>
      </c>
      <c r="T66">
        <v>66.27</v>
      </c>
    </row>
    <row r="67" spans="8:23">
      <c r="H67" s="236" t="s">
        <v>315</v>
      </c>
      <c r="I67">
        <v>49.93</v>
      </c>
      <c r="J67">
        <v>49.24</v>
      </c>
      <c r="K67">
        <v>45.32</v>
      </c>
      <c r="L67">
        <v>43.85</v>
      </c>
      <c r="M67">
        <v>65.209999999999994</v>
      </c>
      <c r="N67" s="237">
        <v>6.26</v>
      </c>
      <c r="O67" s="238">
        <v>19</v>
      </c>
      <c r="P67">
        <v>51</v>
      </c>
      <c r="Q67">
        <v>47.37</v>
      </c>
      <c r="R67">
        <v>42.16</v>
      </c>
      <c r="S67" s="238">
        <v>8.92</v>
      </c>
      <c r="T67">
        <v>6.9</v>
      </c>
    </row>
    <row r="68" spans="8:23">
      <c r="U68" s="236" t="s">
        <v>317</v>
      </c>
      <c r="V68" s="236" t="s">
        <v>318</v>
      </c>
    </row>
    <row r="69" spans="8:23">
      <c r="I69">
        <v>0.5</v>
      </c>
      <c r="J69">
        <v>2</v>
      </c>
      <c r="K69">
        <v>0.5</v>
      </c>
      <c r="L69">
        <v>0.5</v>
      </c>
      <c r="M69">
        <v>0.5</v>
      </c>
      <c r="N69" s="237">
        <v>10</v>
      </c>
      <c r="O69" s="238">
        <v>10</v>
      </c>
      <c r="P69">
        <v>0.5</v>
      </c>
      <c r="Q69">
        <v>0.5</v>
      </c>
      <c r="R69">
        <v>0.5</v>
      </c>
      <c r="S69" s="238">
        <v>5</v>
      </c>
      <c r="T69">
        <v>2</v>
      </c>
      <c r="U69">
        <f>SUM(I69:S69)</f>
        <v>30.5</v>
      </c>
      <c r="V69">
        <f>U69*100</f>
        <v>3050</v>
      </c>
    </row>
    <row r="70" spans="8:23">
      <c r="V70" s="236" t="s">
        <v>316</v>
      </c>
    </row>
    <row r="71" spans="8:23">
      <c r="I71">
        <f>I69*I65</f>
        <v>10.574999999999999</v>
      </c>
      <c r="J71">
        <f t="shared" ref="J71:T71" si="5">J69*J65</f>
        <v>51.6</v>
      </c>
      <c r="K71">
        <f t="shared" si="5"/>
        <v>10.08</v>
      </c>
      <c r="L71">
        <f t="shared" si="5"/>
        <v>9.11</v>
      </c>
      <c r="M71">
        <f t="shared" si="5"/>
        <v>7.6150000000000002</v>
      </c>
      <c r="N71" s="237">
        <f t="shared" si="5"/>
        <v>186.4</v>
      </c>
      <c r="O71" s="238">
        <f t="shared" si="5"/>
        <v>190</v>
      </c>
      <c r="P71">
        <f t="shared" si="5"/>
        <v>10.5</v>
      </c>
      <c r="Q71">
        <f t="shared" si="5"/>
        <v>14.164999999999999</v>
      </c>
      <c r="R71">
        <f t="shared" si="5"/>
        <v>9.1449999999999996</v>
      </c>
      <c r="S71" s="238">
        <f t="shared" si="5"/>
        <v>82.699999999999989</v>
      </c>
      <c r="T71">
        <f t="shared" si="5"/>
        <v>33.78</v>
      </c>
      <c r="V71">
        <f>SUM(I71:T71)</f>
        <v>615.66999999999996</v>
      </c>
      <c r="W71">
        <f>V71/90</f>
        <v>6.8407777777777774</v>
      </c>
    </row>
    <row r="72" spans="8:23">
      <c r="I72">
        <f>I69*I66</f>
        <v>10.775</v>
      </c>
      <c r="J72">
        <f t="shared" ref="J72:T72" si="6">J69*J66</f>
        <v>32.26</v>
      </c>
      <c r="K72">
        <f t="shared" si="6"/>
        <v>13.585000000000001</v>
      </c>
      <c r="L72">
        <f t="shared" si="6"/>
        <v>15.095000000000001</v>
      </c>
      <c r="M72">
        <f t="shared" si="6"/>
        <v>6.8550000000000004</v>
      </c>
      <c r="N72" s="237">
        <f t="shared" si="6"/>
        <v>585.70000000000005</v>
      </c>
      <c r="O72" s="238">
        <f t="shared" si="6"/>
        <v>540</v>
      </c>
      <c r="P72">
        <f t="shared" si="6"/>
        <v>10</v>
      </c>
      <c r="Q72">
        <f t="shared" si="6"/>
        <v>7.6550000000000002</v>
      </c>
      <c r="R72">
        <f t="shared" si="6"/>
        <v>14.44</v>
      </c>
      <c r="S72" s="238">
        <f t="shared" si="6"/>
        <v>49.349999999999994</v>
      </c>
      <c r="T72">
        <f t="shared" si="6"/>
        <v>132.54</v>
      </c>
      <c r="V72">
        <f t="shared" ref="V72:V73" si="7">SUM(I72:T72)</f>
        <v>1418.2549999999999</v>
      </c>
      <c r="W72">
        <f>V72/90</f>
        <v>15.758388888888888</v>
      </c>
    </row>
    <row r="73" spans="8:23">
      <c r="I73">
        <f>I69*I67</f>
        <v>24.965</v>
      </c>
      <c r="J73">
        <f t="shared" ref="J73:T73" si="8">J69*J67</f>
        <v>98.48</v>
      </c>
      <c r="K73">
        <f t="shared" si="8"/>
        <v>22.66</v>
      </c>
      <c r="L73">
        <f t="shared" si="8"/>
        <v>21.925000000000001</v>
      </c>
      <c r="M73">
        <f t="shared" si="8"/>
        <v>32.604999999999997</v>
      </c>
      <c r="N73" s="237">
        <f t="shared" si="8"/>
        <v>62.599999999999994</v>
      </c>
      <c r="O73" s="238">
        <f t="shared" si="8"/>
        <v>190</v>
      </c>
      <c r="P73">
        <f t="shared" si="8"/>
        <v>25.5</v>
      </c>
      <c r="Q73">
        <f t="shared" si="8"/>
        <v>23.684999999999999</v>
      </c>
      <c r="R73">
        <f t="shared" si="8"/>
        <v>21.08</v>
      </c>
      <c r="S73" s="238">
        <f t="shared" si="8"/>
        <v>44.6</v>
      </c>
      <c r="T73">
        <f t="shared" si="8"/>
        <v>13.8</v>
      </c>
      <c r="V73">
        <f t="shared" si="7"/>
        <v>581.9</v>
      </c>
      <c r="W73">
        <f>V73/90</f>
        <v>6.4655555555555555</v>
      </c>
    </row>
    <row r="77" spans="8:23">
      <c r="H77" s="236" t="s">
        <v>313</v>
      </c>
      <c r="I77">
        <v>21.15</v>
      </c>
      <c r="J77">
        <v>25.8</v>
      </c>
      <c r="K77">
        <v>20.16</v>
      </c>
      <c r="L77">
        <v>18.22</v>
      </c>
      <c r="M77">
        <v>15.23</v>
      </c>
      <c r="N77" s="237">
        <v>18.64</v>
      </c>
      <c r="O77" s="238">
        <v>19</v>
      </c>
      <c r="P77">
        <v>21</v>
      </c>
      <c r="Q77">
        <v>28.33</v>
      </c>
      <c r="R77">
        <v>18.29</v>
      </c>
      <c r="S77" s="238">
        <v>16.54</v>
      </c>
      <c r="T77">
        <v>16.89</v>
      </c>
    </row>
    <row r="78" spans="8:23">
      <c r="H78" s="236" t="s">
        <v>314</v>
      </c>
      <c r="I78">
        <v>21.55</v>
      </c>
      <c r="J78">
        <v>16.13</v>
      </c>
      <c r="K78">
        <v>27.17</v>
      </c>
      <c r="L78">
        <v>30.19</v>
      </c>
      <c r="M78">
        <v>13.71</v>
      </c>
      <c r="N78" s="237">
        <v>58.57</v>
      </c>
      <c r="O78" s="238">
        <v>54</v>
      </c>
      <c r="P78">
        <v>20</v>
      </c>
      <c r="Q78">
        <v>15.31</v>
      </c>
      <c r="R78">
        <v>28.88</v>
      </c>
      <c r="S78" s="238">
        <v>9.8699999999999992</v>
      </c>
      <c r="T78">
        <v>66.27</v>
      </c>
    </row>
    <row r="79" spans="8:23">
      <c r="H79" s="236" t="s">
        <v>315</v>
      </c>
      <c r="I79">
        <v>49.93</v>
      </c>
      <c r="J79">
        <v>49.24</v>
      </c>
      <c r="K79">
        <v>45.32</v>
      </c>
      <c r="L79">
        <v>43.85</v>
      </c>
      <c r="M79">
        <v>65.209999999999994</v>
      </c>
      <c r="N79" s="237">
        <v>6.26</v>
      </c>
      <c r="O79" s="238">
        <v>19</v>
      </c>
      <c r="P79">
        <v>51</v>
      </c>
      <c r="Q79">
        <v>47.37</v>
      </c>
      <c r="R79">
        <v>42.16</v>
      </c>
      <c r="S79" s="238">
        <v>8.92</v>
      </c>
      <c r="T79">
        <v>6.9</v>
      </c>
    </row>
    <row r="80" spans="8:23">
      <c r="U80" s="236" t="s">
        <v>317</v>
      </c>
      <c r="V80" s="236" t="s">
        <v>318</v>
      </c>
    </row>
    <row r="81" spans="8:23">
      <c r="I81">
        <v>0.25</v>
      </c>
      <c r="J81">
        <v>1</v>
      </c>
      <c r="K81">
        <v>0.25</v>
      </c>
      <c r="L81">
        <v>0.25</v>
      </c>
      <c r="M81">
        <v>0.25</v>
      </c>
      <c r="N81" s="237">
        <v>10</v>
      </c>
      <c r="O81" s="238">
        <v>1</v>
      </c>
      <c r="P81">
        <v>0.25</v>
      </c>
      <c r="Q81">
        <v>0.25</v>
      </c>
      <c r="R81">
        <v>0.25</v>
      </c>
      <c r="S81" s="238">
        <v>5</v>
      </c>
      <c r="T81">
        <v>2</v>
      </c>
      <c r="U81">
        <f>SUM(I81:S81)</f>
        <v>18.75</v>
      </c>
      <c r="V81">
        <f>U81*100</f>
        <v>1875</v>
      </c>
    </row>
    <row r="82" spans="8:23">
      <c r="V82" s="236" t="s">
        <v>316</v>
      </c>
    </row>
    <row r="83" spans="8:23">
      <c r="I83">
        <f>I81*I77</f>
        <v>5.2874999999999996</v>
      </c>
      <c r="J83">
        <f t="shared" ref="J83:T83" si="9">J81*J77</f>
        <v>25.8</v>
      </c>
      <c r="K83">
        <f t="shared" si="9"/>
        <v>5.04</v>
      </c>
      <c r="L83">
        <f t="shared" si="9"/>
        <v>4.5549999999999997</v>
      </c>
      <c r="M83">
        <f t="shared" si="9"/>
        <v>3.8075000000000001</v>
      </c>
      <c r="N83" s="237">
        <f t="shared" si="9"/>
        <v>186.4</v>
      </c>
      <c r="O83" s="238">
        <f t="shared" si="9"/>
        <v>19</v>
      </c>
      <c r="P83">
        <f t="shared" si="9"/>
        <v>5.25</v>
      </c>
      <c r="Q83">
        <f t="shared" si="9"/>
        <v>7.0824999999999996</v>
      </c>
      <c r="R83">
        <f t="shared" si="9"/>
        <v>4.5724999999999998</v>
      </c>
      <c r="S83" s="238">
        <f t="shared" si="9"/>
        <v>82.699999999999989</v>
      </c>
      <c r="T83">
        <f t="shared" si="9"/>
        <v>33.78</v>
      </c>
      <c r="V83">
        <f>SUM(I83:T83)</f>
        <v>383.27499999999998</v>
      </c>
      <c r="W83">
        <f>V83/30</f>
        <v>12.775833333333333</v>
      </c>
    </row>
    <row r="84" spans="8:23">
      <c r="I84">
        <f>I81*I78</f>
        <v>5.3875000000000002</v>
      </c>
      <c r="J84">
        <f t="shared" ref="J84:T84" si="10">J81*J78</f>
        <v>16.13</v>
      </c>
      <c r="K84">
        <f t="shared" si="10"/>
        <v>6.7925000000000004</v>
      </c>
      <c r="L84">
        <f t="shared" si="10"/>
        <v>7.5475000000000003</v>
      </c>
      <c r="M84">
        <f t="shared" si="10"/>
        <v>3.4275000000000002</v>
      </c>
      <c r="N84" s="237">
        <f t="shared" si="10"/>
        <v>585.70000000000005</v>
      </c>
      <c r="O84" s="238">
        <f t="shared" si="10"/>
        <v>54</v>
      </c>
      <c r="P84">
        <f t="shared" si="10"/>
        <v>5</v>
      </c>
      <c r="Q84">
        <f t="shared" si="10"/>
        <v>3.8275000000000001</v>
      </c>
      <c r="R84">
        <f t="shared" si="10"/>
        <v>7.22</v>
      </c>
      <c r="S84" s="238">
        <f t="shared" si="10"/>
        <v>49.349999999999994</v>
      </c>
      <c r="T84">
        <f t="shared" si="10"/>
        <v>132.54</v>
      </c>
      <c r="V84">
        <f t="shared" ref="V84:V85" si="11">SUM(I84:T84)</f>
        <v>876.92250000000001</v>
      </c>
      <c r="W84">
        <f>V84/30</f>
        <v>29.23075</v>
      </c>
    </row>
    <row r="85" spans="8:23">
      <c r="I85">
        <f>I81*I79</f>
        <v>12.4825</v>
      </c>
      <c r="J85">
        <f t="shared" ref="J85:T85" si="12">J81*J79</f>
        <v>49.24</v>
      </c>
      <c r="K85">
        <f t="shared" si="12"/>
        <v>11.33</v>
      </c>
      <c r="L85">
        <f t="shared" si="12"/>
        <v>10.9625</v>
      </c>
      <c r="M85">
        <f t="shared" si="12"/>
        <v>16.302499999999998</v>
      </c>
      <c r="N85" s="237">
        <f t="shared" si="12"/>
        <v>62.599999999999994</v>
      </c>
      <c r="O85" s="238">
        <f t="shared" si="12"/>
        <v>19</v>
      </c>
      <c r="P85">
        <f t="shared" si="12"/>
        <v>12.75</v>
      </c>
      <c r="Q85">
        <f t="shared" si="12"/>
        <v>11.842499999999999</v>
      </c>
      <c r="R85">
        <f t="shared" si="12"/>
        <v>10.54</v>
      </c>
      <c r="S85" s="238">
        <f t="shared" si="12"/>
        <v>44.6</v>
      </c>
      <c r="T85">
        <f t="shared" si="12"/>
        <v>13.8</v>
      </c>
      <c r="V85">
        <f t="shared" si="11"/>
        <v>275.45000000000005</v>
      </c>
      <c r="W85">
        <f>V85/30</f>
        <v>9.1816666666666684</v>
      </c>
    </row>
    <row r="90" spans="8:23">
      <c r="H90" s="236" t="s">
        <v>313</v>
      </c>
      <c r="I90">
        <v>21.15</v>
      </c>
      <c r="J90">
        <v>25.8</v>
      </c>
      <c r="K90">
        <v>20.16</v>
      </c>
      <c r="L90">
        <v>18.22</v>
      </c>
      <c r="M90">
        <v>15.23</v>
      </c>
      <c r="N90" s="237">
        <v>18.64</v>
      </c>
      <c r="O90" s="238">
        <v>19</v>
      </c>
      <c r="P90">
        <v>21</v>
      </c>
      <c r="Q90">
        <v>28.33</v>
      </c>
      <c r="R90">
        <v>18.29</v>
      </c>
      <c r="S90" s="239">
        <v>52</v>
      </c>
      <c r="T90">
        <v>16.89</v>
      </c>
    </row>
    <row r="91" spans="8:23">
      <c r="H91" s="236" t="s">
        <v>314</v>
      </c>
      <c r="I91">
        <v>21.55</v>
      </c>
      <c r="J91">
        <v>16.13</v>
      </c>
      <c r="K91">
        <v>27.17</v>
      </c>
      <c r="L91">
        <v>30.19</v>
      </c>
      <c r="M91">
        <v>13.71</v>
      </c>
      <c r="N91" s="237">
        <v>58.57</v>
      </c>
      <c r="O91" s="238">
        <v>54</v>
      </c>
      <c r="P91">
        <v>20</v>
      </c>
      <c r="Q91">
        <v>15.31</v>
      </c>
      <c r="R91">
        <v>28.88</v>
      </c>
      <c r="S91" s="239">
        <v>33</v>
      </c>
      <c r="T91">
        <v>66.27</v>
      </c>
    </row>
    <row r="92" spans="8:23">
      <c r="H92" s="236" t="s">
        <v>315</v>
      </c>
      <c r="I92">
        <v>49.93</v>
      </c>
      <c r="J92">
        <v>49.24</v>
      </c>
      <c r="K92">
        <v>45.32</v>
      </c>
      <c r="L92">
        <v>43.85</v>
      </c>
      <c r="M92">
        <v>65.209999999999994</v>
      </c>
      <c r="N92" s="237">
        <v>6.26</v>
      </c>
      <c r="O92" s="238">
        <v>19</v>
      </c>
      <c r="P92">
        <v>51</v>
      </c>
      <c r="Q92">
        <v>47.37</v>
      </c>
      <c r="R92">
        <v>42.16</v>
      </c>
      <c r="S92" s="239">
        <v>0.5</v>
      </c>
      <c r="T92">
        <v>6.9</v>
      </c>
    </row>
    <row r="93" spans="8:23">
      <c r="U93" s="236" t="s">
        <v>317</v>
      </c>
      <c r="V93" s="236" t="s">
        <v>318</v>
      </c>
    </row>
    <row r="94" spans="8:23">
      <c r="I94">
        <v>0.5</v>
      </c>
      <c r="J94">
        <v>2.5</v>
      </c>
      <c r="K94">
        <v>0.5</v>
      </c>
      <c r="L94">
        <v>0.2</v>
      </c>
      <c r="M94">
        <v>0.5</v>
      </c>
      <c r="N94" s="237">
        <v>5</v>
      </c>
      <c r="O94" s="238">
        <v>2</v>
      </c>
      <c r="P94">
        <v>0.5</v>
      </c>
      <c r="Q94">
        <v>0.5</v>
      </c>
      <c r="R94">
        <v>0.25</v>
      </c>
      <c r="S94" s="238">
        <v>5</v>
      </c>
      <c r="T94">
        <v>2.5</v>
      </c>
      <c r="U94">
        <f>SUM(I94:S94)</f>
        <v>17.45</v>
      </c>
      <c r="V94">
        <f>U94*100</f>
        <v>1745</v>
      </c>
    </row>
    <row r="95" spans="8:23">
      <c r="V95" s="236" t="s">
        <v>316</v>
      </c>
    </row>
    <row r="96" spans="8:23">
      <c r="I96">
        <f>I94*I90</f>
        <v>10.574999999999999</v>
      </c>
      <c r="J96">
        <f t="shared" ref="J96:T96" si="13">J94*J90</f>
        <v>64.5</v>
      </c>
      <c r="K96">
        <f t="shared" si="13"/>
        <v>10.08</v>
      </c>
      <c r="L96">
        <f t="shared" si="13"/>
        <v>3.6440000000000001</v>
      </c>
      <c r="M96">
        <f t="shared" si="13"/>
        <v>7.6150000000000002</v>
      </c>
      <c r="N96" s="237">
        <f t="shared" si="13"/>
        <v>93.2</v>
      </c>
      <c r="O96" s="238">
        <f t="shared" si="13"/>
        <v>38</v>
      </c>
      <c r="P96">
        <f t="shared" si="13"/>
        <v>10.5</v>
      </c>
      <c r="Q96">
        <f t="shared" si="13"/>
        <v>14.164999999999999</v>
      </c>
      <c r="R96">
        <f t="shared" si="13"/>
        <v>4.5724999999999998</v>
      </c>
      <c r="S96" s="238">
        <f t="shared" si="13"/>
        <v>260</v>
      </c>
      <c r="T96">
        <f t="shared" si="13"/>
        <v>42.225000000000001</v>
      </c>
      <c r="V96">
        <f>SUM(I96:T96)</f>
        <v>559.07650000000001</v>
      </c>
      <c r="W96">
        <f>V96/30</f>
        <v>18.635883333333332</v>
      </c>
    </row>
    <row r="97" spans="9:23">
      <c r="I97">
        <f>I94*I91</f>
        <v>10.775</v>
      </c>
      <c r="J97">
        <f t="shared" ref="J97:T97" si="14">J94*J91</f>
        <v>40.324999999999996</v>
      </c>
      <c r="K97">
        <f t="shared" si="14"/>
        <v>13.585000000000001</v>
      </c>
      <c r="L97">
        <f t="shared" si="14"/>
        <v>6.0380000000000003</v>
      </c>
      <c r="M97">
        <f t="shared" si="14"/>
        <v>6.8550000000000004</v>
      </c>
      <c r="N97" s="237">
        <f t="shared" si="14"/>
        <v>292.85000000000002</v>
      </c>
      <c r="O97" s="238">
        <f t="shared" si="14"/>
        <v>108</v>
      </c>
      <c r="P97">
        <f t="shared" si="14"/>
        <v>10</v>
      </c>
      <c r="Q97">
        <f t="shared" si="14"/>
        <v>7.6550000000000002</v>
      </c>
      <c r="R97">
        <f t="shared" si="14"/>
        <v>7.22</v>
      </c>
      <c r="S97" s="238">
        <f t="shared" si="14"/>
        <v>165</v>
      </c>
      <c r="T97">
        <f t="shared" si="14"/>
        <v>165.67499999999998</v>
      </c>
      <c r="V97">
        <f t="shared" ref="V97:V98" si="15">SUM(I97:T97)</f>
        <v>833.97799999999995</v>
      </c>
      <c r="W97">
        <f>V97/30</f>
        <v>27.799266666666664</v>
      </c>
    </row>
    <row r="98" spans="9:23">
      <c r="I98">
        <f>I94*I92</f>
        <v>24.965</v>
      </c>
      <c r="J98">
        <f t="shared" ref="J98:T98" si="16">J94*J92</f>
        <v>123.10000000000001</v>
      </c>
      <c r="K98">
        <f t="shared" si="16"/>
        <v>22.66</v>
      </c>
      <c r="L98">
        <f t="shared" si="16"/>
        <v>8.7700000000000014</v>
      </c>
      <c r="M98">
        <f t="shared" si="16"/>
        <v>32.604999999999997</v>
      </c>
      <c r="N98" s="237">
        <f t="shared" si="16"/>
        <v>31.299999999999997</v>
      </c>
      <c r="O98" s="238">
        <f t="shared" si="16"/>
        <v>38</v>
      </c>
      <c r="P98">
        <f t="shared" si="16"/>
        <v>25.5</v>
      </c>
      <c r="Q98">
        <f t="shared" si="16"/>
        <v>23.684999999999999</v>
      </c>
      <c r="R98">
        <f t="shared" si="16"/>
        <v>10.54</v>
      </c>
      <c r="S98" s="238">
        <f t="shared" si="16"/>
        <v>2.5</v>
      </c>
      <c r="T98">
        <f t="shared" si="16"/>
        <v>17.25</v>
      </c>
      <c r="V98">
        <f t="shared" si="15"/>
        <v>360.875</v>
      </c>
      <c r="W98">
        <f>V98/30</f>
        <v>12.029166666666667</v>
      </c>
    </row>
  </sheetData>
  <mergeCells count="3">
    <mergeCell ref="C2:E2"/>
    <mergeCell ref="H2:J2"/>
    <mergeCell ref="C26:E26"/>
  </mergeCells>
  <pageMargins left="0.7" right="0.7" top="0.75" bottom="0.75" header="0.3" footer="0.3"/>
  <pageSetup paperSize="8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F3709"/>
  <sheetViews>
    <sheetView tabSelected="1" topLeftCell="A109" zoomScale="115" zoomScaleNormal="115" workbookViewId="0">
      <selection activeCell="C121" sqref="C121"/>
    </sheetView>
  </sheetViews>
  <sheetFormatPr defaultColWidth="14.42578125" defaultRowHeight="15"/>
  <cols>
    <col min="1" max="1" width="11.5703125" customWidth="1"/>
    <col min="2" max="2" width="24" customWidth="1"/>
    <col min="3" max="3" width="13.85546875" customWidth="1"/>
    <col min="4" max="4" width="10" customWidth="1"/>
    <col min="5" max="5" width="11.5703125" customWidth="1"/>
    <col min="6" max="6" width="10.140625" customWidth="1"/>
    <col min="7" max="7" width="12.42578125" customWidth="1"/>
    <col min="8" max="8" width="9.140625" customWidth="1"/>
    <col min="9" max="11" width="8.7109375" customWidth="1"/>
    <col min="12" max="12" width="13.140625" style="253" customWidth="1"/>
    <col min="13" max="13" width="8.7109375" customWidth="1"/>
    <col min="14" max="14" width="10.5703125" customWidth="1"/>
    <col min="15" max="15" width="10.42578125" customWidth="1"/>
    <col min="16" max="16" width="24.7109375" customWidth="1"/>
    <col min="17" max="18" width="8.7109375" customWidth="1"/>
    <col min="19" max="19" width="11.42578125" customWidth="1"/>
    <col min="20" max="21" width="8.7109375" customWidth="1"/>
    <col min="22" max="22" width="16.28515625" customWidth="1"/>
    <col min="23" max="23" width="15.140625" style="254" customWidth="1"/>
    <col min="24" max="24" width="13.140625" style="242" customWidth="1"/>
    <col min="25" max="25" width="20.28515625" customWidth="1"/>
    <col min="26" max="26" width="23.140625" customWidth="1"/>
    <col min="27" max="27" width="16.85546875" customWidth="1"/>
    <col min="28" max="28" width="19.28515625" customWidth="1"/>
    <col min="29" max="29" width="16.28515625" customWidth="1"/>
    <col min="30" max="30" width="16.85546875" customWidth="1"/>
    <col min="34" max="34" width="21.28515625" style="240" customWidth="1"/>
    <col min="45" max="45" width="14.42578125" style="240"/>
    <col min="56" max="56" width="14.42578125" style="240"/>
  </cols>
  <sheetData>
    <row r="1" spans="1:48" ht="15" customHeight="1">
      <c r="L1" s="240"/>
      <c r="W1" s="241"/>
    </row>
    <row r="2" spans="1:48" ht="15" customHeight="1">
      <c r="L2" s="240"/>
      <c r="W2" s="241"/>
    </row>
    <row r="3" spans="1:48">
      <c r="C3" s="243" t="s">
        <v>319</v>
      </c>
      <c r="L3" s="240"/>
      <c r="W3" s="241"/>
      <c r="AK3" s="248"/>
      <c r="AL3" s="248"/>
      <c r="AM3" s="248"/>
      <c r="AN3" s="248"/>
      <c r="AO3" s="248"/>
      <c r="AP3" s="248"/>
      <c r="AQ3" s="248"/>
      <c r="AR3" s="248"/>
      <c r="AS3" s="248"/>
      <c r="AT3" s="248"/>
      <c r="AU3" s="248"/>
      <c r="AV3" s="248"/>
    </row>
    <row r="4" spans="1:48">
      <c r="L4" s="240"/>
      <c r="W4" s="241"/>
      <c r="AK4" s="248"/>
      <c r="AL4" s="248"/>
      <c r="AM4" s="248"/>
      <c r="AN4" s="248"/>
      <c r="AO4" s="248"/>
      <c r="AP4" s="248"/>
      <c r="AQ4" s="248"/>
      <c r="AR4" s="248"/>
      <c r="AS4" s="248"/>
      <c r="AT4" s="248"/>
      <c r="AU4" s="248"/>
      <c r="AV4" s="248"/>
    </row>
    <row r="5" spans="1:48">
      <c r="E5" s="244"/>
      <c r="F5" s="244"/>
      <c r="G5" s="577" t="s">
        <v>320</v>
      </c>
      <c r="H5" s="577"/>
      <c r="I5" s="244"/>
      <c r="J5" s="244"/>
      <c r="K5" s="244"/>
      <c r="L5" s="240"/>
      <c r="M5" s="244"/>
      <c r="W5" s="241"/>
      <c r="AK5" s="248"/>
      <c r="AL5" s="248"/>
      <c r="AM5" s="248"/>
      <c r="AN5" s="248"/>
      <c r="AO5" s="248"/>
      <c r="AP5" s="248"/>
      <c r="AQ5" s="248"/>
      <c r="AR5" s="248"/>
      <c r="AS5" s="248"/>
      <c r="AT5" s="248"/>
      <c r="AU5" s="248"/>
      <c r="AV5" s="248"/>
    </row>
    <row r="6" spans="1:48" s="87" customFormat="1">
      <c r="A6" s="242" t="s">
        <v>321</v>
      </c>
      <c r="B6" s="245" t="s">
        <v>322</v>
      </c>
      <c r="C6" s="246" t="s">
        <v>323</v>
      </c>
      <c r="D6" s="246" t="s">
        <v>324</v>
      </c>
      <c r="E6" s="246" t="s">
        <v>325</v>
      </c>
      <c r="F6" s="246" t="s">
        <v>326</v>
      </c>
      <c r="G6" s="246" t="s">
        <v>327</v>
      </c>
      <c r="H6" s="246" t="s">
        <v>328</v>
      </c>
      <c r="I6" s="246" t="s">
        <v>329</v>
      </c>
      <c r="J6" s="246" t="s">
        <v>330</v>
      </c>
      <c r="K6" s="246" t="s">
        <v>331</v>
      </c>
      <c r="L6" s="246" t="s">
        <v>332</v>
      </c>
      <c r="N6"/>
      <c r="O6" t="s">
        <v>333</v>
      </c>
      <c r="P6" s="245" t="s">
        <v>322</v>
      </c>
      <c r="Q6" s="246" t="s">
        <v>323</v>
      </c>
      <c r="R6" s="246" t="s">
        <v>324</v>
      </c>
      <c r="S6" s="246" t="s">
        <v>325</v>
      </c>
      <c r="T6" s="246" t="s">
        <v>326</v>
      </c>
      <c r="U6" s="246" t="s">
        <v>327</v>
      </c>
      <c r="V6" s="246" t="s">
        <v>328</v>
      </c>
      <c r="W6" s="246" t="s">
        <v>329</v>
      </c>
      <c r="X6" s="246" t="s">
        <v>330</v>
      </c>
      <c r="Y6" s="246" t="s">
        <v>331</v>
      </c>
      <c r="Z6" s="246" t="s">
        <v>332</v>
      </c>
      <c r="AK6" s="248"/>
      <c r="AL6" s="248"/>
      <c r="AM6" s="248"/>
      <c r="AN6" s="248"/>
      <c r="AO6" s="248"/>
      <c r="AP6" s="248"/>
      <c r="AQ6" s="248"/>
      <c r="AR6" s="248"/>
      <c r="AS6" s="248"/>
      <c r="AT6" s="248"/>
      <c r="AU6" s="248"/>
      <c r="AV6" s="248"/>
    </row>
    <row r="7" spans="1:48">
      <c r="A7" s="247">
        <f t="shared" ref="A7:A21" si="0">C7+(D7*$AG$9)+(E7*$AG$10)+(F7*$AG$9*$AG$9)+(G7*$AG$9*$AG$10)+(H7*$AG$10*$AG$10)+(I7*$AG$9*$AG$9*$AG$9)+(J7*$AG$10*$AG$9*$AG$9)+(K7*$AG$9*$AG$10*$AG$10)+(L7*$AG$10*$AG$10*$AG$10)</f>
        <v>60.747989835976426</v>
      </c>
      <c r="B7" s="255" t="s">
        <v>995</v>
      </c>
      <c r="C7" s="248">
        <v>69.197879999999998</v>
      </c>
      <c r="D7" s="248">
        <v>1.3902289999999999</v>
      </c>
      <c r="E7" s="248">
        <v>-0.30032690000000001</v>
      </c>
      <c r="F7" s="248">
        <v>2.1215370000000001E-2</v>
      </c>
      <c r="G7" s="248">
        <v>-9.3232679999999991E-3</v>
      </c>
      <c r="H7" s="248">
        <v>-8.3550919999999997E-4</v>
      </c>
      <c r="I7" s="248">
        <v>1.2382070000000001E-4</v>
      </c>
      <c r="J7" s="248">
        <v>-1.2944850000000001E-4</v>
      </c>
      <c r="K7" s="248">
        <v>-1.0263159999999999E-5</v>
      </c>
      <c r="L7" s="248">
        <v>6.2188630000000003E-6</v>
      </c>
      <c r="M7" s="433"/>
      <c r="N7" s="433"/>
      <c r="O7" s="247">
        <f t="shared" ref="O7:O21" si="1">Q7+(R7*$AG$9)+(S7*$AG$10)+(T7*$AG$9*$AG$9)+(U7*$AG$9*$AG$10)+(V7*$AG$10*$AG$10)+(W7*$AG$9*$AG$9*$AG$9)+(X7*$AG$10*$AG$9*$AG$9)+(Y7*$AG$9*$AG$10*$AG$10)+(Z7*$AG$10*$AG$10*$AG$10)</f>
        <v>41.340298990191428</v>
      </c>
      <c r="P7" s="255" t="s">
        <v>995</v>
      </c>
      <c r="Q7" s="248">
        <v>41.205579999999998</v>
      </c>
      <c r="R7" s="248">
        <v>1.238998</v>
      </c>
      <c r="S7" s="248">
        <v>-1.581923</v>
      </c>
      <c r="T7" s="248">
        <v>2.9887980000000001E-2</v>
      </c>
      <c r="U7" s="248">
        <v>-5.6580140000000001E-2</v>
      </c>
      <c r="V7" s="248">
        <v>5.6758099999999999E-2</v>
      </c>
      <c r="W7" s="248">
        <v>3.6019019999999999E-4</v>
      </c>
      <c r="X7" s="248">
        <v>-7.194031E-4</v>
      </c>
      <c r="Y7" s="248">
        <v>7.0511360000000004E-4</v>
      </c>
      <c r="Z7" s="248">
        <v>-4.1144409999999999E-4</v>
      </c>
      <c r="AK7" s="248"/>
      <c r="AL7" s="248"/>
      <c r="AM7" s="248"/>
      <c r="AN7" s="248"/>
      <c r="AO7" s="248"/>
      <c r="AP7" s="248"/>
      <c r="AQ7" s="248"/>
      <c r="AR7" s="248"/>
      <c r="AS7" s="248"/>
      <c r="AT7" s="248"/>
      <c r="AU7" s="248"/>
      <c r="AV7" s="248"/>
    </row>
    <row r="8" spans="1:48">
      <c r="A8" s="247">
        <f t="shared" si="0"/>
        <v>60.344839771528001</v>
      </c>
      <c r="B8" s="255" t="s">
        <v>368</v>
      </c>
      <c r="C8" s="248">
        <v>79.427130000000005</v>
      </c>
      <c r="D8" s="248">
        <v>3.1400890000000001</v>
      </c>
      <c r="E8" s="248">
        <v>-0.67796979999999996</v>
      </c>
      <c r="F8" s="248">
        <v>4.792507E-2</v>
      </c>
      <c r="G8" s="248">
        <v>-2.1043409999999999E-2</v>
      </c>
      <c r="H8" s="248">
        <v>-1.899464E-3</v>
      </c>
      <c r="I8" s="248">
        <v>2.798271E-4</v>
      </c>
      <c r="J8" s="248">
        <v>-2.9246349999999998E-4</v>
      </c>
      <c r="K8" s="248">
        <v>-2.3440170000000001E-5</v>
      </c>
      <c r="L8" s="248">
        <v>1.415932E-5</v>
      </c>
      <c r="M8" s="433"/>
      <c r="N8" s="433"/>
      <c r="O8" s="247">
        <f t="shared" si="1"/>
        <v>47.451493611608342</v>
      </c>
      <c r="P8" s="255" t="s">
        <v>368</v>
      </c>
      <c r="Q8" s="248">
        <v>47.296840000000003</v>
      </c>
      <c r="R8" s="248">
        <v>1.4221539999999999</v>
      </c>
      <c r="S8" s="248">
        <v>-1.8157719999999999</v>
      </c>
      <c r="T8" s="248">
        <v>3.4306200000000002E-2</v>
      </c>
      <c r="U8" s="248">
        <v>-6.4944160000000001E-2</v>
      </c>
      <c r="V8" s="248">
        <v>6.5148429999999993E-2</v>
      </c>
      <c r="W8" s="248">
        <v>4.1343579999999998E-4</v>
      </c>
      <c r="X8" s="248">
        <v>-8.2574959999999996E-4</v>
      </c>
      <c r="Y8" s="248">
        <v>8.0934780000000003E-4</v>
      </c>
      <c r="Z8" s="248">
        <v>-4.7226629999999999E-4</v>
      </c>
      <c r="AI8">
        <f>0.0001</f>
        <v>1E-4</v>
      </c>
      <c r="AK8" s="248"/>
      <c r="AL8" s="248"/>
      <c r="AM8" s="248"/>
      <c r="AN8" s="248"/>
      <c r="AO8" s="248"/>
      <c r="AP8" s="248"/>
      <c r="AQ8" s="248"/>
      <c r="AR8" s="248"/>
      <c r="AS8" s="248"/>
      <c r="AT8" s="248"/>
      <c r="AU8" s="248"/>
      <c r="AV8" s="248"/>
    </row>
    <row r="9" spans="1:48">
      <c r="A9" s="247">
        <f t="shared" si="0"/>
        <v>71.121078661047719</v>
      </c>
      <c r="B9" s="255" t="s">
        <v>996</v>
      </c>
      <c r="C9" s="248">
        <v>93.611040000000003</v>
      </c>
      <c r="D9" s="248">
        <v>3.7008390000000002</v>
      </c>
      <c r="E9" s="248">
        <v>-0.79904010000000003</v>
      </c>
      <c r="F9" s="248">
        <v>5.6483409999999998E-2</v>
      </c>
      <c r="G9" s="248">
        <v>-2.480129E-2</v>
      </c>
      <c r="H9" s="248">
        <v>-2.2386659999999998E-3</v>
      </c>
      <c r="I9" s="248">
        <v>3.2979800000000002E-4</v>
      </c>
      <c r="J9" s="248">
        <v>-3.4469090000000002E-4</v>
      </c>
      <c r="K9" s="248">
        <v>-2.762606E-5</v>
      </c>
      <c r="L9" s="248">
        <v>1.6687860000000001E-5</v>
      </c>
      <c r="M9" s="433"/>
      <c r="N9" s="433"/>
      <c r="O9" s="247">
        <f t="shared" si="1"/>
        <v>55.39735483408154</v>
      </c>
      <c r="P9" s="255" t="s">
        <v>996</v>
      </c>
      <c r="Q9" s="248">
        <v>55.216819999999998</v>
      </c>
      <c r="R9" s="248">
        <v>1.6602969999999999</v>
      </c>
      <c r="S9" s="248">
        <v>-2.119828</v>
      </c>
      <c r="T9" s="248">
        <v>4.0050860000000001E-2</v>
      </c>
      <c r="U9" s="248">
        <v>-7.5819220000000007E-2</v>
      </c>
      <c r="V9" s="248">
        <v>7.6057700000000006E-2</v>
      </c>
      <c r="W9" s="248">
        <v>4.8266660000000002E-4</v>
      </c>
      <c r="X9" s="248">
        <v>-9.6402339999999997E-4</v>
      </c>
      <c r="Y9" s="248">
        <v>9.4487499999999997E-4</v>
      </c>
      <c r="Z9" s="248">
        <v>-5.5134849999999996E-4</v>
      </c>
      <c r="AF9" s="259" t="s">
        <v>334</v>
      </c>
      <c r="AG9" s="251">
        <v>3.6898822608138011</v>
      </c>
      <c r="AH9"/>
      <c r="AK9" s="248"/>
      <c r="AL9" s="248"/>
      <c r="AM9" s="248"/>
      <c r="AN9" s="248"/>
      <c r="AO9" s="248"/>
      <c r="AP9" s="248"/>
      <c r="AQ9" s="248"/>
      <c r="AR9" s="248"/>
      <c r="AS9" s="248"/>
      <c r="AT9" s="248"/>
      <c r="AU9" s="248"/>
      <c r="AV9" s="248"/>
    </row>
    <row r="10" spans="1:48" ht="15.75" thickBot="1">
      <c r="A10" s="247">
        <f t="shared" si="0"/>
        <v>79.242191843920764</v>
      </c>
      <c r="B10" s="255" t="s">
        <v>997</v>
      </c>
      <c r="C10" s="248">
        <v>104.3002</v>
      </c>
      <c r="D10" s="248">
        <v>4.1234250000000001</v>
      </c>
      <c r="E10" s="248">
        <v>-0.89027959999999995</v>
      </c>
      <c r="F10" s="248">
        <v>6.2933050000000004E-2</v>
      </c>
      <c r="G10" s="248">
        <v>-2.7633270000000001E-2</v>
      </c>
      <c r="H10" s="248">
        <v>-2.494291E-3</v>
      </c>
      <c r="I10" s="248">
        <v>3.6745650000000001E-4</v>
      </c>
      <c r="J10" s="248">
        <v>-3.8404999999999998E-4</v>
      </c>
      <c r="K10" s="248">
        <v>-3.078058E-5</v>
      </c>
      <c r="L10" s="248">
        <v>1.8593379999999999E-5</v>
      </c>
      <c r="M10" s="433"/>
      <c r="N10" s="433"/>
      <c r="O10" s="247">
        <f t="shared" si="1"/>
        <v>62.99241445344569</v>
      </c>
      <c r="P10" s="255" t="s">
        <v>997</v>
      </c>
      <c r="Q10" s="248">
        <v>62.787100000000002</v>
      </c>
      <c r="R10" s="248">
        <v>1.887926</v>
      </c>
      <c r="S10" s="248">
        <v>-2.4104580000000002</v>
      </c>
      <c r="T10" s="248">
        <v>4.554188E-2</v>
      </c>
      <c r="U10" s="248">
        <v>-8.6214109999999997E-2</v>
      </c>
      <c r="V10" s="248">
        <v>8.6485290000000006E-2</v>
      </c>
      <c r="W10" s="248">
        <v>5.4884070000000001E-4</v>
      </c>
      <c r="X10" s="248">
        <v>-1.096192E-3</v>
      </c>
      <c r="Y10" s="248">
        <v>1.0744179999999999E-3</v>
      </c>
      <c r="Z10" s="248">
        <v>-6.2693890000000004E-4</v>
      </c>
      <c r="AF10" s="250" t="s">
        <v>335</v>
      </c>
      <c r="AG10" s="252">
        <v>38.447242674462807</v>
      </c>
      <c r="AH10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8"/>
      <c r="AV10" s="248"/>
    </row>
    <row r="11" spans="1:48" ht="30.75" thickBot="1">
      <c r="A11" s="247">
        <f t="shared" si="0"/>
        <v>87.430404718152587</v>
      </c>
      <c r="B11" s="255" t="s">
        <v>998</v>
      </c>
      <c r="C11" s="248">
        <v>115.07769999999999</v>
      </c>
      <c r="D11" s="248">
        <v>4.5495039999999998</v>
      </c>
      <c r="E11" s="248">
        <v>-0.98227359999999997</v>
      </c>
      <c r="F11" s="248">
        <v>6.9436020000000001E-2</v>
      </c>
      <c r="G11" s="248">
        <v>-3.0488660000000001E-2</v>
      </c>
      <c r="H11" s="248">
        <v>-2.7520299999999999E-3</v>
      </c>
      <c r="I11" s="248">
        <v>4.0542639999999999E-4</v>
      </c>
      <c r="J11" s="248">
        <v>-4.237345E-4</v>
      </c>
      <c r="K11" s="248">
        <v>-3.3961190000000002E-5</v>
      </c>
      <c r="L11" s="248">
        <v>2.051467E-5</v>
      </c>
      <c r="M11" s="433"/>
      <c r="N11" s="433"/>
      <c r="O11" s="247">
        <f t="shared" si="1"/>
        <v>68.783185448685344</v>
      </c>
      <c r="P11" s="255" t="s">
        <v>998</v>
      </c>
      <c r="Q11" s="248">
        <v>68.558999999999997</v>
      </c>
      <c r="R11" s="248">
        <v>2.0614789999999998</v>
      </c>
      <c r="S11" s="248">
        <v>-2.632047</v>
      </c>
      <c r="T11" s="248">
        <v>4.9728460000000002E-2</v>
      </c>
      <c r="U11" s="248">
        <v>-9.4139619999999993E-2</v>
      </c>
      <c r="V11" s="248">
        <v>9.4435720000000001E-2</v>
      </c>
      <c r="W11" s="248">
        <v>5.9929459999999999E-4</v>
      </c>
      <c r="X11" s="248">
        <v>-1.1969630000000001E-3</v>
      </c>
      <c r="Y11" s="248">
        <v>1.1731879999999999E-3</v>
      </c>
      <c r="Z11" s="248">
        <v>-6.845722E-4</v>
      </c>
      <c r="AJ11" s="262" t="s">
        <v>397</v>
      </c>
      <c r="AK11" s="263" t="s">
        <v>398</v>
      </c>
      <c r="AL11" s="264" t="s">
        <v>158</v>
      </c>
      <c r="AM11" s="264" t="s">
        <v>399</v>
      </c>
      <c r="AN11" s="264" t="s">
        <v>400</v>
      </c>
      <c r="AO11" s="263" t="s">
        <v>401</v>
      </c>
      <c r="AP11" s="248"/>
      <c r="AQ11" s="248"/>
      <c r="AR11" s="248"/>
      <c r="AS11" s="248"/>
      <c r="AT11" s="248"/>
      <c r="AU11" s="248"/>
      <c r="AV11" s="248"/>
    </row>
    <row r="12" spans="1:48" ht="16.5" thickTop="1" thickBot="1">
      <c r="A12" s="247">
        <f t="shared" si="0"/>
        <v>103.18874160291669</v>
      </c>
      <c r="B12" s="255" t="s">
        <v>999</v>
      </c>
      <c r="C12" s="248">
        <v>127.9648</v>
      </c>
      <c r="D12" s="248">
        <v>4.9245299999999999</v>
      </c>
      <c r="E12" s="248">
        <v>-0.76689339999999995</v>
      </c>
      <c r="F12" s="248">
        <v>7.6592999999999994E-2</v>
      </c>
      <c r="G12" s="248">
        <v>-2.6003809999999999E-2</v>
      </c>
      <c r="H12" s="248">
        <v>-7.7148249999999998E-3</v>
      </c>
      <c r="I12" s="248">
        <v>4.6390569999999999E-4</v>
      </c>
      <c r="J12" s="248">
        <v>-4.1943059999999998E-4</v>
      </c>
      <c r="K12" s="248">
        <v>-9.1418149999999995E-5</v>
      </c>
      <c r="L12" s="248">
        <v>2.2575559999999998E-5</v>
      </c>
      <c r="M12" s="433"/>
      <c r="N12" s="433"/>
      <c r="O12" s="247">
        <f t="shared" si="1"/>
        <v>79.023301880600641</v>
      </c>
      <c r="P12" s="255" t="s">
        <v>999</v>
      </c>
      <c r="Q12" s="248">
        <v>38.343539999999997</v>
      </c>
      <c r="R12" s="248">
        <v>1.031121</v>
      </c>
      <c r="S12" s="248">
        <v>0.4994963</v>
      </c>
      <c r="T12" s="248">
        <v>2.8289169999999999E-2</v>
      </c>
      <c r="U12" s="248">
        <v>-5.5085750000000003E-2</v>
      </c>
      <c r="V12" s="248">
        <v>1.0935759999999999E-2</v>
      </c>
      <c r="W12" s="248">
        <v>2.579309E-4</v>
      </c>
      <c r="X12" s="248">
        <v>-6.9171330000000004E-4</v>
      </c>
      <c r="Y12" s="248">
        <v>7.9239499999999999E-4</v>
      </c>
      <c r="Z12" s="248">
        <v>8.7316620000000005E-5</v>
      </c>
      <c r="AJ12" s="574" t="s">
        <v>408</v>
      </c>
      <c r="AK12" s="266">
        <v>100</v>
      </c>
      <c r="AL12" s="267" t="s">
        <v>606</v>
      </c>
      <c r="AM12" s="267">
        <v>2</v>
      </c>
      <c r="AN12" s="267">
        <v>122</v>
      </c>
      <c r="AO12" s="268" t="s">
        <v>125</v>
      </c>
      <c r="AP12">
        <v>9</v>
      </c>
      <c r="AQ12" s="248"/>
      <c r="AR12" s="248"/>
      <c r="AS12" s="248"/>
      <c r="AT12" s="248"/>
      <c r="AU12" s="248"/>
      <c r="AV12" s="248"/>
    </row>
    <row r="13" spans="1:48" ht="15.75" thickBot="1">
      <c r="A13" s="247">
        <f t="shared" si="0"/>
        <v>112.47052608943847</v>
      </c>
      <c r="B13" s="255" t="s">
        <v>1000</v>
      </c>
      <c r="C13" s="248">
        <v>139.4752</v>
      </c>
      <c r="D13" s="248">
        <v>5.3674929999999996</v>
      </c>
      <c r="E13" s="248">
        <v>-0.8358757</v>
      </c>
      <c r="F13" s="248">
        <v>8.3482570000000006E-2</v>
      </c>
      <c r="G13" s="248">
        <v>-2.8342869999999999E-2</v>
      </c>
      <c r="H13" s="248">
        <v>-8.4087759999999998E-3</v>
      </c>
      <c r="I13" s="248">
        <v>5.0563409999999996E-4</v>
      </c>
      <c r="J13" s="248">
        <v>-4.571585E-4</v>
      </c>
      <c r="K13" s="248">
        <v>-9.9641249999999994E-5</v>
      </c>
      <c r="L13" s="248">
        <v>2.4606240000000001E-5</v>
      </c>
      <c r="M13" s="433"/>
      <c r="N13" s="433"/>
      <c r="O13" s="247">
        <f t="shared" si="1"/>
        <v>86.508919769387973</v>
      </c>
      <c r="P13" s="255" t="s">
        <v>1000</v>
      </c>
      <c r="Q13" s="248">
        <v>41.975700000000003</v>
      </c>
      <c r="R13" s="248">
        <v>1.1287959999999999</v>
      </c>
      <c r="S13" s="248">
        <v>0.54681179999999996</v>
      </c>
      <c r="T13" s="248">
        <v>3.0968909999999999E-2</v>
      </c>
      <c r="U13" s="248">
        <v>-6.0303839999999997E-2</v>
      </c>
      <c r="V13" s="248">
        <v>1.197167E-2</v>
      </c>
      <c r="W13" s="248">
        <v>2.823638E-4</v>
      </c>
      <c r="X13" s="248">
        <v>-7.5723700000000001E-4</v>
      </c>
      <c r="Y13" s="248">
        <v>8.6745599999999996E-4</v>
      </c>
      <c r="Z13" s="248">
        <v>9.5587829999999995E-5</v>
      </c>
      <c r="AH13"/>
      <c r="AJ13" s="575"/>
      <c r="AK13" s="266">
        <v>130</v>
      </c>
      <c r="AL13" s="267" t="s">
        <v>612</v>
      </c>
      <c r="AM13" s="267">
        <v>2</v>
      </c>
      <c r="AN13" s="267">
        <v>156</v>
      </c>
      <c r="AO13" s="268" t="s">
        <v>124</v>
      </c>
      <c r="AP13">
        <v>9</v>
      </c>
      <c r="AQ13" s="248"/>
      <c r="AR13" s="248"/>
      <c r="AS13" s="248"/>
      <c r="AT13" s="248"/>
      <c r="AU13" s="248"/>
      <c r="AV13" s="248"/>
    </row>
    <row r="14" spans="1:48" ht="15.75" thickBot="1">
      <c r="A14" s="247">
        <f t="shared" si="0"/>
        <v>128.70373968622576</v>
      </c>
      <c r="B14" s="255" t="s">
        <v>1001</v>
      </c>
      <c r="C14" s="248">
        <v>153.3117</v>
      </c>
      <c r="D14" s="248">
        <v>5.8751620000000004</v>
      </c>
      <c r="E14" s="248">
        <v>-0.72204000000000002</v>
      </c>
      <c r="F14" s="248">
        <v>9.2789430000000006E-2</v>
      </c>
      <c r="G14" s="248">
        <v>-2.379628E-2</v>
      </c>
      <c r="H14" s="248">
        <v>-1.1318170000000001E-2</v>
      </c>
      <c r="I14" s="248">
        <v>5.81198E-4</v>
      </c>
      <c r="J14" s="248">
        <v>-4.5229949999999998E-4</v>
      </c>
      <c r="K14" s="248">
        <v>-1.5997670000000001E-4</v>
      </c>
      <c r="L14" s="248">
        <v>2.4579400000000001E-5</v>
      </c>
      <c r="M14" s="433"/>
      <c r="N14" s="433"/>
      <c r="O14" s="247">
        <f t="shared" si="1"/>
        <v>95.543805552156613</v>
      </c>
      <c r="P14" s="255" t="s">
        <v>1001</v>
      </c>
      <c r="Q14" s="248">
        <v>7.5928190000000004</v>
      </c>
      <c r="R14" s="248">
        <v>-0.38574120000000001</v>
      </c>
      <c r="S14" s="248">
        <v>5.6918009999999999</v>
      </c>
      <c r="T14" s="248">
        <v>-2.3361E-2</v>
      </c>
      <c r="U14" s="248">
        <v>2.374743E-2</v>
      </c>
      <c r="V14" s="248">
        <v>-0.16213920000000001</v>
      </c>
      <c r="W14" s="248">
        <v>-2.349854E-4</v>
      </c>
      <c r="X14" s="248">
        <v>6.6587229999999996E-4</v>
      </c>
      <c r="Y14" s="248">
        <v>-1.042923E-4</v>
      </c>
      <c r="Z14" s="248">
        <v>1.889665E-3</v>
      </c>
      <c r="AE14" s="379" t="s">
        <v>321</v>
      </c>
      <c r="AF14" s="249">
        <v>170.607</v>
      </c>
      <c r="AG14" s="380">
        <f>VLOOKUP(AF14,A6:L20,1,TRUE)</f>
        <v>169.32023925700798</v>
      </c>
      <c r="AH14" s="382" t="str">
        <f>VLOOKUP(AG14,A6:P20,2,FALSE)</f>
        <v>KXI91-160-702Y</v>
      </c>
      <c r="AJ14" s="575"/>
      <c r="AK14" s="266">
        <v>140</v>
      </c>
      <c r="AL14" s="267" t="s">
        <v>632</v>
      </c>
      <c r="AM14" s="267">
        <v>2</v>
      </c>
      <c r="AN14" s="267">
        <v>170</v>
      </c>
      <c r="AO14" s="268" t="s">
        <v>411</v>
      </c>
      <c r="AP14">
        <v>9</v>
      </c>
      <c r="AQ14" s="248"/>
      <c r="AR14" s="248"/>
      <c r="AS14" s="248"/>
      <c r="AT14" s="248"/>
      <c r="AU14" s="248"/>
      <c r="AV14" s="248"/>
    </row>
    <row r="15" spans="1:48" ht="15.75" thickBot="1">
      <c r="A15" s="247">
        <f t="shared" si="0"/>
        <v>149.54210099802313</v>
      </c>
      <c r="B15" s="255" t="s">
        <v>1002</v>
      </c>
      <c r="C15" s="248">
        <v>189.1885</v>
      </c>
      <c r="D15" s="248">
        <v>7.318981</v>
      </c>
      <c r="E15" s="248">
        <v>-1.4298550000000001</v>
      </c>
      <c r="F15" s="248">
        <v>0.112234</v>
      </c>
      <c r="G15" s="248">
        <v>-4.6671400000000002E-2</v>
      </c>
      <c r="H15" s="248">
        <v>-4.6996E-3</v>
      </c>
      <c r="I15" s="248">
        <v>6.6690719999999996E-4</v>
      </c>
      <c r="J15" s="248">
        <v>-6.681015E-4</v>
      </c>
      <c r="K15" s="248">
        <v>-6.6640759999999998E-5</v>
      </c>
      <c r="L15" s="248">
        <v>1.831703E-5</v>
      </c>
      <c r="M15" s="433"/>
      <c r="N15" s="433"/>
      <c r="O15" s="247">
        <f t="shared" si="1"/>
        <v>112.08566913471616</v>
      </c>
      <c r="P15" s="255" t="s">
        <v>1002</v>
      </c>
      <c r="Q15" s="248">
        <v>46.497660000000003</v>
      </c>
      <c r="R15" s="248">
        <v>0.58786769999999999</v>
      </c>
      <c r="S15" s="248">
        <v>1.248321</v>
      </c>
      <c r="T15" s="248">
        <v>4.6248870000000003E-3</v>
      </c>
      <c r="U15" s="248">
        <v>-1.570158E-2</v>
      </c>
      <c r="V15" s="248">
        <v>7.2234700000000001E-3</v>
      </c>
      <c r="W15" s="248">
        <v>-2.1870240000000001E-4</v>
      </c>
      <c r="X15" s="248">
        <v>-1.432145E-4</v>
      </c>
      <c r="Y15" s="248">
        <v>3.8272510000000003E-4</v>
      </c>
      <c r="Z15" s="248">
        <v>8.6388640000000004E-5</v>
      </c>
      <c r="AE15" s="379" t="s">
        <v>13</v>
      </c>
      <c r="AF15" s="242"/>
      <c r="AG15" s="381">
        <f>VLOOKUP(AG14,A6:O20,15,FALSE)</f>
        <v>126.90988219885328</v>
      </c>
      <c r="AH15" s="257"/>
      <c r="AJ15" s="575"/>
      <c r="AK15" s="266">
        <v>155</v>
      </c>
      <c r="AL15" s="267" t="s">
        <v>635</v>
      </c>
      <c r="AM15" s="267">
        <v>2</v>
      </c>
      <c r="AN15" s="267">
        <v>190</v>
      </c>
      <c r="AO15" s="268" t="s">
        <v>124</v>
      </c>
      <c r="AP15">
        <v>9</v>
      </c>
      <c r="AQ15" s="248"/>
      <c r="AR15" s="248"/>
      <c r="AS15" s="248"/>
      <c r="AT15" s="248"/>
      <c r="AU15" s="248"/>
      <c r="AV15" s="248"/>
    </row>
    <row r="16" spans="1:48" ht="15.75" thickBot="1">
      <c r="A16" s="247">
        <f t="shared" si="0"/>
        <v>169.32023925700798</v>
      </c>
      <c r="B16" s="255" t="s">
        <v>1003</v>
      </c>
      <c r="C16" s="248">
        <v>214.21019999999999</v>
      </c>
      <c r="D16" s="248">
        <v>8.286975</v>
      </c>
      <c r="E16" s="248">
        <v>-1.618965</v>
      </c>
      <c r="F16" s="248">
        <v>0.12707789999999999</v>
      </c>
      <c r="G16" s="248">
        <v>-5.284407E-2</v>
      </c>
      <c r="H16" s="248">
        <v>-5.3211600000000001E-3</v>
      </c>
      <c r="I16" s="248">
        <v>7.5511100000000004E-4</v>
      </c>
      <c r="J16" s="248">
        <v>-7.5646329999999996E-4</v>
      </c>
      <c r="K16" s="248">
        <v>-7.5454539999999997E-5</v>
      </c>
      <c r="L16" s="248">
        <v>2.0739610000000001E-5</v>
      </c>
      <c r="M16" s="433"/>
      <c r="N16" s="433"/>
      <c r="O16" s="247">
        <f t="shared" si="1"/>
        <v>126.90988219885328</v>
      </c>
      <c r="P16" s="255" t="s">
        <v>1003</v>
      </c>
      <c r="Q16" s="248">
        <v>52.647350000000003</v>
      </c>
      <c r="R16" s="248">
        <v>0.66561800000000004</v>
      </c>
      <c r="S16" s="248">
        <v>1.413421</v>
      </c>
      <c r="T16" s="248">
        <v>5.2365650000000003E-3</v>
      </c>
      <c r="U16" s="248">
        <v>-1.7778240000000001E-2</v>
      </c>
      <c r="V16" s="248">
        <v>8.1788320000000005E-3</v>
      </c>
      <c r="W16" s="248">
        <v>-2.476275E-4</v>
      </c>
      <c r="X16" s="248">
        <v>-1.6215580000000001E-4</v>
      </c>
      <c r="Y16" s="248">
        <v>4.3334359999999998E-4</v>
      </c>
      <c r="Z16" s="248">
        <v>9.7814229999999998E-5</v>
      </c>
      <c r="AF16" s="478"/>
      <c r="AJ16" s="575"/>
      <c r="AK16" s="266">
        <v>130</v>
      </c>
      <c r="AL16" s="267" t="s">
        <v>615</v>
      </c>
      <c r="AM16" s="267">
        <v>2</v>
      </c>
      <c r="AN16" s="267">
        <v>102</v>
      </c>
      <c r="AO16" s="268" t="s">
        <v>25</v>
      </c>
      <c r="AP16">
        <v>12</v>
      </c>
      <c r="AQ16" s="248"/>
      <c r="AR16" s="248"/>
      <c r="AS16" s="248"/>
      <c r="AT16" s="248"/>
      <c r="AU16" s="248"/>
      <c r="AV16" s="248"/>
    </row>
    <row r="17" spans="1:48" ht="15.75" thickBot="1">
      <c r="A17" s="247">
        <f t="shared" si="0"/>
        <v>198.41116016384441</v>
      </c>
      <c r="B17" s="255" t="s">
        <v>1004</v>
      </c>
      <c r="C17" s="248">
        <v>213.91480000000001</v>
      </c>
      <c r="D17" s="248">
        <v>6.3726469999999997</v>
      </c>
      <c r="E17" s="248">
        <v>0.6576727</v>
      </c>
      <c r="F17" s="248">
        <v>5.6871419999999999E-2</v>
      </c>
      <c r="G17" s="248">
        <v>9.3149300000000004E-2</v>
      </c>
      <c r="H17" s="248">
        <v>-6.3812969999999997E-2</v>
      </c>
      <c r="I17" s="248">
        <v>-6.7881479999999997E-4</v>
      </c>
      <c r="J17" s="248">
        <v>8.9977380000000004E-4</v>
      </c>
      <c r="K17" s="248">
        <v>-1.8017059999999999E-3</v>
      </c>
      <c r="L17" s="248">
        <v>4.4737340000000002E-4</v>
      </c>
      <c r="M17" s="433"/>
      <c r="N17" s="433"/>
      <c r="O17" s="247">
        <f t="shared" si="1"/>
        <v>148.09021623833965</v>
      </c>
      <c r="P17" s="255" t="s">
        <v>1004</v>
      </c>
      <c r="Q17" s="248">
        <v>88.376170000000002</v>
      </c>
      <c r="R17" s="248">
        <v>2.448401</v>
      </c>
      <c r="S17" s="248">
        <v>-0.17684569999999999</v>
      </c>
      <c r="T17" s="248">
        <v>5.9262700000000001E-2</v>
      </c>
      <c r="U17" s="248">
        <v>-0.1025065</v>
      </c>
      <c r="V17" s="248">
        <v>4.9043089999999998E-2</v>
      </c>
      <c r="W17" s="248">
        <v>7.4874079999999997E-4</v>
      </c>
      <c r="X17" s="248">
        <v>-1.416713E-3</v>
      </c>
      <c r="Y17" s="248">
        <v>1.382676E-3</v>
      </c>
      <c r="Z17" s="248">
        <v>-1.4284789999999999E-4</v>
      </c>
      <c r="AF17" s="478"/>
      <c r="AJ17" s="575"/>
      <c r="AK17" s="266">
        <v>160</v>
      </c>
      <c r="AL17" s="267" t="s">
        <v>618</v>
      </c>
      <c r="AM17" s="267">
        <v>2</v>
      </c>
      <c r="AN17" s="267">
        <v>122</v>
      </c>
      <c r="AO17" s="268" t="s">
        <v>125</v>
      </c>
      <c r="AP17">
        <v>12</v>
      </c>
      <c r="AQ17" s="248"/>
      <c r="AR17" s="248"/>
      <c r="AS17" s="248"/>
      <c r="AT17" s="248"/>
      <c r="AU17" s="248"/>
      <c r="AV17" s="248"/>
    </row>
    <row r="18" spans="1:48" ht="15.75" thickBot="1">
      <c r="A18" s="247">
        <f t="shared" si="0"/>
        <v>213.37244561799369</v>
      </c>
      <c r="B18" s="255" t="s">
        <v>1005</v>
      </c>
      <c r="C18" s="248">
        <v>269.94150000000002</v>
      </c>
      <c r="D18" s="248">
        <v>10.443</v>
      </c>
      <c r="E18" s="248">
        <v>-2.0401729999999998</v>
      </c>
      <c r="F18" s="248">
        <v>0.1601399</v>
      </c>
      <c r="G18" s="248">
        <v>-6.659255E-2</v>
      </c>
      <c r="H18" s="248">
        <v>-6.7055709999999996E-3</v>
      </c>
      <c r="I18" s="248">
        <v>9.5156899999999998E-4</v>
      </c>
      <c r="J18" s="248">
        <v>-9.5327319999999999E-4</v>
      </c>
      <c r="K18" s="248">
        <v>-9.5085610000000004E-5</v>
      </c>
      <c r="L18" s="248">
        <v>2.6135450000000001E-5</v>
      </c>
      <c r="M18" s="433"/>
      <c r="N18" s="433"/>
      <c r="O18" s="247">
        <f t="shared" si="1"/>
        <v>163.79910481203359</v>
      </c>
      <c r="P18" s="255" t="s">
        <v>1005</v>
      </c>
      <c r="Q18" s="248">
        <v>67.950490000000002</v>
      </c>
      <c r="R18" s="248">
        <v>0.85909469999999999</v>
      </c>
      <c r="S18" s="248">
        <v>1.8242640000000001</v>
      </c>
      <c r="T18" s="248">
        <v>6.7586900000000004E-3</v>
      </c>
      <c r="U18" s="248">
        <v>-2.2945879999999998E-2</v>
      </c>
      <c r="V18" s="248">
        <v>1.055619E-2</v>
      </c>
      <c r="W18" s="248">
        <v>-3.19606E-4</v>
      </c>
      <c r="X18" s="248">
        <v>-2.092901E-4</v>
      </c>
      <c r="Y18" s="248">
        <v>5.593045E-4</v>
      </c>
      <c r="Z18" s="248">
        <v>1.262461E-4</v>
      </c>
      <c r="AF18" s="257"/>
      <c r="AG18" s="383" t="str">
        <f>VLOOKUP(AF14,AK11:AO37,2,TRUE)</f>
        <v>E2212-C</v>
      </c>
      <c r="AH18" s="384">
        <f>VLOOKUP(AF14,AK11:AO37,4,TRUE)</f>
        <v>122</v>
      </c>
      <c r="AI18" s="384">
        <f>VLOOKUP(AF14,AK11:AP37,6,TRUE)</f>
        <v>12</v>
      </c>
      <c r="AJ18" s="575"/>
      <c r="AK18" s="266">
        <v>175</v>
      </c>
      <c r="AL18" s="267" t="s">
        <v>115</v>
      </c>
      <c r="AM18" s="267">
        <v>2</v>
      </c>
      <c r="AN18" s="267">
        <v>138</v>
      </c>
      <c r="AO18" s="268" t="s">
        <v>411</v>
      </c>
      <c r="AP18">
        <v>12</v>
      </c>
      <c r="AQ18" s="248"/>
      <c r="AR18" s="248"/>
      <c r="AS18" s="248"/>
      <c r="AT18" s="248"/>
      <c r="AU18" s="248"/>
      <c r="AV18" s="248"/>
    </row>
    <row r="19" spans="1:48" ht="15.75" thickBot="1">
      <c r="A19" s="247">
        <f t="shared" si="0"/>
        <v>227.03272916260332</v>
      </c>
      <c r="B19" s="255" t="s">
        <v>1006</v>
      </c>
      <c r="C19" s="248">
        <v>231.97550000000001</v>
      </c>
      <c r="D19" s="248">
        <v>8.186102</v>
      </c>
      <c r="E19" s="248">
        <v>1.174105</v>
      </c>
      <c r="F19" s="248">
        <v>0.111246</v>
      </c>
      <c r="G19" s="248">
        <v>4.3003260000000001E-2</v>
      </c>
      <c r="H19" s="248">
        <v>-7.1536020000000006E-2</v>
      </c>
      <c r="I19" s="248">
        <v>7.7388200000000004E-4</v>
      </c>
      <c r="J19" s="248">
        <v>4.6472979999999999E-5</v>
      </c>
      <c r="K19" s="248">
        <v>-1.2294999999999999E-3</v>
      </c>
      <c r="L19" s="248">
        <v>4.3077270000000002E-4</v>
      </c>
      <c r="M19" s="433"/>
      <c r="N19" s="433"/>
      <c r="O19" s="247">
        <f t="shared" si="1"/>
        <v>176.45587123913035</v>
      </c>
      <c r="P19" s="255" t="s">
        <v>1006</v>
      </c>
      <c r="Q19" s="248">
        <v>105.304</v>
      </c>
      <c r="R19" s="248">
        <v>2.9173749999999998</v>
      </c>
      <c r="S19" s="248">
        <v>-0.2107192</v>
      </c>
      <c r="T19" s="248">
        <v>7.0614070000000001E-2</v>
      </c>
      <c r="U19" s="248">
        <v>-0.1221409</v>
      </c>
      <c r="V19" s="248">
        <v>5.8436960000000003E-2</v>
      </c>
      <c r="W19" s="248">
        <v>8.9215699999999998E-4</v>
      </c>
      <c r="X19" s="248">
        <v>-1.688075E-3</v>
      </c>
      <c r="Y19" s="248">
        <v>1.6475179999999999E-3</v>
      </c>
      <c r="Z19" s="248">
        <v>-1.702094E-4</v>
      </c>
      <c r="AF19" s="478"/>
      <c r="AG19" s="383" t="str">
        <f>VLOOKUP(AF14,AJ40:AP66,2,TRUE)</f>
        <v>C1812-C</v>
      </c>
      <c r="AH19" s="384">
        <f>VLOOKUP(AF14,AJ40:AP67,4,TRUE)</f>
        <v>150</v>
      </c>
      <c r="AI19" s="384">
        <f>VLOOKUP(AF14,AJ40:AP66,7,TRUE)</f>
        <v>12</v>
      </c>
      <c r="AJ19" s="575"/>
      <c r="AK19" s="266">
        <v>200</v>
      </c>
      <c r="AL19" s="267" t="s">
        <v>623</v>
      </c>
      <c r="AM19" s="267">
        <v>2</v>
      </c>
      <c r="AN19" s="267">
        <v>156</v>
      </c>
      <c r="AO19" s="268" t="s">
        <v>124</v>
      </c>
      <c r="AP19">
        <v>12</v>
      </c>
      <c r="AQ19" s="248"/>
      <c r="AR19" s="248"/>
      <c r="AS19" s="248"/>
      <c r="AT19" s="248"/>
      <c r="AU19" s="248"/>
      <c r="AV19" s="248"/>
    </row>
    <row r="20" spans="1:48" ht="15.75" thickBot="1">
      <c r="A20" s="247">
        <f t="shared" si="0"/>
        <v>241.90341283629567</v>
      </c>
      <c r="B20" s="255" t="s">
        <v>1007</v>
      </c>
      <c r="C20" s="248">
        <v>286.08569999999997</v>
      </c>
      <c r="D20" s="248">
        <v>9.4495719999999999</v>
      </c>
      <c r="E20" s="248">
        <v>-1.31795</v>
      </c>
      <c r="F20" s="248">
        <v>0.1166701</v>
      </c>
      <c r="G20" s="248">
        <v>6.0726740000000001E-3</v>
      </c>
      <c r="H20" s="248">
        <v>-2.122249E-2</v>
      </c>
      <c r="I20" s="248">
        <v>5.4198720000000003E-4</v>
      </c>
      <c r="J20" s="248">
        <v>-5.396244E-5</v>
      </c>
      <c r="K20" s="248">
        <v>-8.3413479999999999E-4</v>
      </c>
      <c r="L20" s="248">
        <v>8.9614749999999998E-5</v>
      </c>
      <c r="M20" s="433"/>
      <c r="N20" s="433"/>
      <c r="O20" s="247">
        <f t="shared" si="1"/>
        <v>186.62440136869699</v>
      </c>
      <c r="P20" s="255" t="s">
        <v>1007</v>
      </c>
      <c r="Q20" s="248">
        <v>111.3723</v>
      </c>
      <c r="R20" s="248">
        <v>3.085493</v>
      </c>
      <c r="S20" s="248">
        <v>-0.22286220000000001</v>
      </c>
      <c r="T20" s="248">
        <v>7.4683289999999999E-2</v>
      </c>
      <c r="U20" s="248">
        <v>-0.1291794</v>
      </c>
      <c r="V20" s="248">
        <v>6.180447E-2</v>
      </c>
      <c r="W20" s="248">
        <v>9.4356870000000001E-4</v>
      </c>
      <c r="X20" s="248">
        <v>-1.785352E-3</v>
      </c>
      <c r="Y20" s="248">
        <v>1.7424579999999999E-3</v>
      </c>
      <c r="Z20" s="248">
        <v>-1.8001789999999999E-4</v>
      </c>
      <c r="AF20" s="478"/>
      <c r="AJ20" s="575"/>
      <c r="AK20" s="266">
        <v>210</v>
      </c>
      <c r="AL20" s="267" t="s">
        <v>638</v>
      </c>
      <c r="AM20" s="267">
        <v>2</v>
      </c>
      <c r="AN20" s="267">
        <v>160</v>
      </c>
      <c r="AO20" s="268" t="s">
        <v>25</v>
      </c>
      <c r="AP20">
        <v>12</v>
      </c>
      <c r="AQ20" s="248"/>
      <c r="AR20" s="248"/>
      <c r="AS20" s="248"/>
      <c r="AT20" s="248"/>
      <c r="AU20" s="248"/>
      <c r="AV20" s="248"/>
    </row>
    <row r="21" spans="1:48" ht="15.75" customHeight="1" thickBot="1">
      <c r="A21" s="247">
        <f t="shared" si="0"/>
        <v>45.48699415793017</v>
      </c>
      <c r="B21" s="255" t="s">
        <v>1008</v>
      </c>
      <c r="C21" s="248">
        <v>59.878160000000001</v>
      </c>
      <c r="D21" s="248">
        <v>2.367499</v>
      </c>
      <c r="E21" s="248">
        <v>-0.51162629999999998</v>
      </c>
      <c r="F21" s="248">
        <v>3.6133360000000003E-2</v>
      </c>
      <c r="G21" s="248">
        <v>-1.5893069999999999E-2</v>
      </c>
      <c r="H21" s="248">
        <v>-1.4163929999999999E-3</v>
      </c>
      <c r="I21" s="248">
        <v>2.111258E-4</v>
      </c>
      <c r="J21" s="248">
        <v>-2.2054980000000001E-4</v>
      </c>
      <c r="K21" s="248">
        <v>-1.724028E-5</v>
      </c>
      <c r="L21" s="248">
        <v>1.053904E-5</v>
      </c>
      <c r="M21" s="433"/>
      <c r="N21" s="433"/>
      <c r="O21" s="247">
        <f t="shared" si="1"/>
        <v>35.768366616763487</v>
      </c>
      <c r="P21" s="255" t="s">
        <v>1008</v>
      </c>
      <c r="Q21" s="248">
        <v>35.651789999999998</v>
      </c>
      <c r="R21" s="248">
        <v>1.0720019999999999</v>
      </c>
      <c r="S21" s="248">
        <v>-1.3687069999999999</v>
      </c>
      <c r="T21" s="248">
        <v>2.58596E-2</v>
      </c>
      <c r="U21" s="248">
        <v>-4.8954119999999997E-2</v>
      </c>
      <c r="V21" s="248">
        <v>4.9108100000000002E-2</v>
      </c>
      <c r="W21" s="248">
        <v>3.1164289999999998E-4</v>
      </c>
      <c r="X21" s="248">
        <v>-6.2244000000000004E-4</v>
      </c>
      <c r="Y21" s="248">
        <v>6.1007650000000004E-4</v>
      </c>
      <c r="Z21" s="248">
        <v>-3.559886E-4</v>
      </c>
      <c r="AF21" s="478"/>
      <c r="AJ21" s="575"/>
      <c r="AK21" s="266">
        <v>215</v>
      </c>
      <c r="AL21" s="160" t="s">
        <v>641</v>
      </c>
      <c r="AM21" s="267">
        <v>2</v>
      </c>
      <c r="AN21" s="267">
        <v>170</v>
      </c>
      <c r="AO21" s="266" t="s">
        <v>125</v>
      </c>
      <c r="AP21">
        <v>12</v>
      </c>
      <c r="AQ21" s="248"/>
      <c r="AR21" s="248"/>
      <c r="AS21" s="248"/>
      <c r="AT21" s="248"/>
      <c r="AU21" s="248"/>
      <c r="AV21" s="248"/>
    </row>
    <row r="22" spans="1:48" ht="15.75" customHeight="1" thickBot="1">
      <c r="A22" s="248"/>
      <c r="B22" s="248"/>
      <c r="C22" s="248"/>
      <c r="D22" s="248"/>
      <c r="E22" s="248"/>
      <c r="F22" s="248"/>
      <c r="G22" s="248"/>
      <c r="H22" s="248"/>
      <c r="I22" s="248"/>
      <c r="J22" s="248"/>
      <c r="K22" s="248"/>
      <c r="L22" s="248"/>
      <c r="M22" s="248"/>
      <c r="N22" s="248"/>
      <c r="O22" s="248"/>
      <c r="P22" s="248"/>
      <c r="Q22" s="248"/>
      <c r="R22" s="248"/>
      <c r="S22" s="248"/>
      <c r="T22" s="248"/>
      <c r="U22" s="248"/>
      <c r="V22" s="248"/>
      <c r="W22" s="248"/>
      <c r="X22" s="248"/>
      <c r="Y22" s="248"/>
      <c r="Z22" s="248"/>
      <c r="AF22" s="478"/>
      <c r="AJ22" s="575"/>
      <c r="AK22" s="266">
        <v>250</v>
      </c>
      <c r="AL22" s="160" t="s">
        <v>644</v>
      </c>
      <c r="AM22" s="267">
        <v>2</v>
      </c>
      <c r="AN22" s="267">
        <v>190</v>
      </c>
      <c r="AO22" s="266" t="s">
        <v>411</v>
      </c>
      <c r="AP22">
        <v>12</v>
      </c>
      <c r="AQ22" s="248"/>
      <c r="AR22" s="248"/>
      <c r="AS22" s="248"/>
      <c r="AT22" s="248"/>
      <c r="AU22" s="248"/>
      <c r="AV22" s="248"/>
    </row>
    <row r="23" spans="1:48" ht="15.75" customHeight="1" thickBot="1">
      <c r="A23" s="248"/>
      <c r="B23" s="248"/>
      <c r="C23" s="248"/>
      <c r="D23" s="248"/>
      <c r="E23" s="248"/>
      <c r="F23" s="248"/>
      <c r="G23" s="248"/>
      <c r="H23" s="248"/>
      <c r="I23" s="248"/>
      <c r="J23" s="248"/>
      <c r="K23" s="248"/>
      <c r="L23" s="248"/>
      <c r="M23" s="248"/>
      <c r="N23" s="248"/>
      <c r="O23" s="248"/>
      <c r="P23" s="248"/>
      <c r="Q23" s="248"/>
      <c r="R23" s="248"/>
      <c r="S23" s="248"/>
      <c r="T23" s="248"/>
      <c r="U23" s="248"/>
      <c r="V23" s="248"/>
      <c r="W23" s="248"/>
      <c r="X23" s="248"/>
      <c r="Y23" s="248"/>
      <c r="Z23" s="248"/>
      <c r="AF23" s="478"/>
      <c r="AJ23" s="575"/>
      <c r="AK23" s="266">
        <v>260</v>
      </c>
      <c r="AL23" s="160" t="s">
        <v>647</v>
      </c>
      <c r="AM23" s="267">
        <v>2</v>
      </c>
      <c r="AN23" s="267">
        <v>200</v>
      </c>
      <c r="AO23" s="266" t="s">
        <v>124</v>
      </c>
      <c r="AP23">
        <v>12</v>
      </c>
      <c r="AQ23" s="248"/>
      <c r="AR23" s="248"/>
      <c r="AS23" s="248"/>
      <c r="AT23" s="248"/>
      <c r="AU23" s="248"/>
      <c r="AV23" s="248"/>
    </row>
    <row r="24" spans="1:48" ht="15.75" customHeight="1" thickBot="1">
      <c r="A24" s="248"/>
      <c r="B24" s="248"/>
      <c r="C24" s="248"/>
      <c r="D24" s="248"/>
      <c r="E24" s="248"/>
      <c r="F24" s="248"/>
      <c r="G24" s="248"/>
      <c r="H24" s="248"/>
      <c r="I24" s="248"/>
      <c r="J24" s="248"/>
      <c r="K24" s="248"/>
      <c r="L24" s="248"/>
      <c r="M24" s="248"/>
      <c r="N24" s="248"/>
      <c r="O24" s="248"/>
      <c r="P24" s="248"/>
      <c r="Q24" s="248"/>
      <c r="R24" s="248"/>
      <c r="S24" s="248"/>
      <c r="T24" s="248"/>
      <c r="U24" s="248"/>
      <c r="V24" s="248"/>
      <c r="W24" s="248"/>
      <c r="X24" s="248"/>
      <c r="Y24" s="248"/>
      <c r="Z24" s="248"/>
      <c r="AF24" s="478"/>
      <c r="AJ24" s="575"/>
      <c r="AK24" s="266">
        <v>280</v>
      </c>
      <c r="AL24" s="160" t="s">
        <v>665</v>
      </c>
      <c r="AM24" s="267">
        <v>2</v>
      </c>
      <c r="AN24" s="267">
        <v>216</v>
      </c>
      <c r="AO24" s="266" t="s">
        <v>125</v>
      </c>
      <c r="AP24">
        <v>12</v>
      </c>
      <c r="AQ24" s="248"/>
      <c r="AR24" s="248"/>
      <c r="AS24" s="248"/>
      <c r="AT24" s="248"/>
      <c r="AU24" s="248"/>
      <c r="AV24" s="248"/>
    </row>
    <row r="25" spans="1:48" ht="15.75" customHeight="1" thickBot="1">
      <c r="A25" s="248"/>
      <c r="B25" s="248"/>
      <c r="C25" s="248"/>
      <c r="D25" s="248"/>
      <c r="E25" s="248"/>
      <c r="F25" s="248"/>
      <c r="G25" s="248"/>
      <c r="H25" s="248"/>
      <c r="I25" s="248"/>
      <c r="J25" s="248"/>
      <c r="K25" s="248"/>
      <c r="L25" s="248"/>
      <c r="M25" s="248"/>
      <c r="N25" s="248"/>
      <c r="O25" s="248"/>
      <c r="P25" s="248"/>
      <c r="Q25" s="248"/>
      <c r="R25" s="248"/>
      <c r="S25" s="248"/>
      <c r="T25" s="248"/>
      <c r="U25" s="248"/>
      <c r="V25" s="248"/>
      <c r="W25" s="248"/>
      <c r="X25" s="248"/>
      <c r="Y25" s="248"/>
      <c r="Z25" s="248"/>
      <c r="AF25" s="478"/>
      <c r="AJ25" s="575"/>
      <c r="AK25" s="266">
        <v>300</v>
      </c>
      <c r="AL25" s="160" t="s">
        <v>668</v>
      </c>
      <c r="AM25" s="267">
        <v>2</v>
      </c>
      <c r="AN25" s="267">
        <v>230</v>
      </c>
      <c r="AO25" s="266" t="s">
        <v>411</v>
      </c>
      <c r="AP25">
        <v>12</v>
      </c>
      <c r="AQ25" s="248"/>
      <c r="AR25" s="248"/>
      <c r="AS25" s="248"/>
      <c r="AT25" s="248"/>
      <c r="AU25" s="248"/>
      <c r="AV25" s="248"/>
    </row>
    <row r="26" spans="1:48" ht="15.75" customHeight="1" thickBot="1">
      <c r="A26" s="248"/>
      <c r="B26" s="248"/>
      <c r="C26" s="248"/>
      <c r="D26" s="248"/>
      <c r="E26" s="248"/>
      <c r="F26" s="248"/>
      <c r="G26" s="248"/>
      <c r="H26" s="248"/>
      <c r="I26" s="248"/>
      <c r="J26" s="248"/>
      <c r="K26" s="248"/>
      <c r="L26" s="248"/>
      <c r="M26" s="248"/>
      <c r="N26" s="248"/>
      <c r="O26" s="248"/>
      <c r="P26" s="248"/>
      <c r="Q26" s="248"/>
      <c r="R26" s="248"/>
      <c r="S26" s="248"/>
      <c r="T26" s="248"/>
      <c r="U26" s="248"/>
      <c r="V26" s="248"/>
      <c r="W26" s="248"/>
      <c r="X26" s="248"/>
      <c r="Y26" s="248"/>
      <c r="Z26" s="248"/>
      <c r="AF26" s="478"/>
      <c r="AJ26" s="575"/>
      <c r="AK26" s="266">
        <v>310</v>
      </c>
      <c r="AL26" s="160" t="s">
        <v>672</v>
      </c>
      <c r="AM26" s="267">
        <v>2</v>
      </c>
      <c r="AN26" s="267">
        <v>240</v>
      </c>
      <c r="AO26" s="266" t="s">
        <v>124</v>
      </c>
      <c r="AP26">
        <v>12</v>
      </c>
      <c r="AQ26" s="248"/>
      <c r="AR26" s="248"/>
      <c r="AS26" s="248"/>
      <c r="AT26" s="248"/>
      <c r="AU26" s="248"/>
      <c r="AV26" s="248"/>
    </row>
    <row r="27" spans="1:48" ht="15.75" customHeight="1" thickBot="1">
      <c r="A27" s="248"/>
      <c r="B27" s="248"/>
      <c r="C27" s="248"/>
      <c r="D27" s="248"/>
      <c r="E27" s="248"/>
      <c r="F27" s="248"/>
      <c r="G27" s="248"/>
      <c r="H27" s="248"/>
      <c r="I27" s="248"/>
      <c r="J27" s="248"/>
      <c r="K27" s="248"/>
      <c r="L27" s="248"/>
      <c r="M27" s="248"/>
      <c r="N27" s="248"/>
      <c r="O27" s="248"/>
      <c r="P27" s="248"/>
      <c r="Q27" s="248"/>
      <c r="R27" s="248"/>
      <c r="S27" s="248"/>
      <c r="T27" s="248"/>
      <c r="U27" s="248"/>
      <c r="V27" s="248"/>
      <c r="W27" s="248"/>
      <c r="X27" s="248"/>
      <c r="Y27" s="248"/>
      <c r="Z27" s="248"/>
      <c r="AF27" s="478"/>
      <c r="AJ27" s="575"/>
      <c r="AK27" s="266">
        <v>335</v>
      </c>
      <c r="AL27" s="160" t="s">
        <v>675</v>
      </c>
      <c r="AM27" s="267">
        <v>2</v>
      </c>
      <c r="AN27" s="267">
        <v>262</v>
      </c>
      <c r="AO27" s="266" t="s">
        <v>420</v>
      </c>
      <c r="AP27">
        <v>12</v>
      </c>
      <c r="AQ27" s="248"/>
      <c r="AR27" s="248"/>
      <c r="AS27" s="248"/>
      <c r="AT27" s="248"/>
      <c r="AU27" s="248"/>
      <c r="AV27" s="248"/>
    </row>
    <row r="28" spans="1:48" ht="15.75" customHeight="1" thickBot="1">
      <c r="A28" s="248"/>
      <c r="B28" s="248"/>
      <c r="C28" s="248"/>
      <c r="D28" s="248"/>
      <c r="E28" s="248"/>
      <c r="F28" s="248"/>
      <c r="G28" s="248"/>
      <c r="H28" s="248"/>
      <c r="I28" s="248"/>
      <c r="J28" s="248"/>
      <c r="K28" s="248"/>
      <c r="L28" s="248"/>
      <c r="M28" s="248"/>
      <c r="N28" s="248"/>
      <c r="O28" s="248"/>
      <c r="P28" s="248"/>
      <c r="Q28" s="248"/>
      <c r="R28" s="248"/>
      <c r="S28" s="248"/>
      <c r="T28" s="248"/>
      <c r="U28" s="248"/>
      <c r="V28" s="248"/>
      <c r="W28" s="248"/>
      <c r="X28" s="248"/>
      <c r="Y28" s="248"/>
      <c r="Z28" s="248"/>
      <c r="AF28" s="478"/>
      <c r="AJ28" s="575"/>
      <c r="AK28" s="266">
        <v>380</v>
      </c>
      <c r="AL28" s="160" t="s">
        <v>680</v>
      </c>
      <c r="AM28" s="267">
        <v>2</v>
      </c>
      <c r="AN28" s="267">
        <v>300</v>
      </c>
      <c r="AO28" s="266" t="s">
        <v>25</v>
      </c>
      <c r="AP28">
        <v>12</v>
      </c>
      <c r="AQ28" s="248"/>
      <c r="AR28" s="248"/>
      <c r="AS28" s="248"/>
      <c r="AT28" s="248"/>
      <c r="AU28" s="248"/>
      <c r="AV28" s="248"/>
    </row>
    <row r="29" spans="1:48" ht="15.75" customHeight="1" thickBot="1">
      <c r="A29" s="248"/>
      <c r="B29" s="248"/>
      <c r="C29" s="248"/>
      <c r="D29" s="248"/>
      <c r="E29" s="248"/>
      <c r="F29" s="248"/>
      <c r="G29" s="248"/>
      <c r="H29" s="248"/>
      <c r="I29" s="248"/>
      <c r="J29" s="248"/>
      <c r="K29" s="248"/>
      <c r="L29" s="248"/>
      <c r="M29" s="248"/>
      <c r="N29" s="248"/>
      <c r="O29" s="248"/>
      <c r="P29" s="248"/>
      <c r="Q29" s="248"/>
      <c r="R29" s="248"/>
      <c r="S29" s="248"/>
      <c r="T29" s="248"/>
      <c r="U29" s="248"/>
      <c r="V29" s="248"/>
      <c r="W29" s="248"/>
      <c r="X29" s="248"/>
      <c r="Y29" s="248"/>
      <c r="Z29" s="248"/>
      <c r="AF29" s="478"/>
      <c r="AJ29" s="575"/>
      <c r="AK29" s="266">
        <v>420</v>
      </c>
      <c r="AL29" s="160" t="s">
        <v>685</v>
      </c>
      <c r="AM29" s="267">
        <v>2</v>
      </c>
      <c r="AN29" s="267">
        <v>330</v>
      </c>
      <c r="AO29" s="266" t="s">
        <v>125</v>
      </c>
      <c r="AP29">
        <v>12</v>
      </c>
      <c r="AQ29" s="248"/>
      <c r="AR29" s="248"/>
      <c r="AS29" s="248"/>
      <c r="AT29" s="248"/>
      <c r="AU29" s="248"/>
      <c r="AV29" s="248"/>
    </row>
    <row r="30" spans="1:48" ht="15.75" customHeight="1" thickBot="1">
      <c r="A30" s="248"/>
      <c r="B30" s="248"/>
      <c r="C30" s="248"/>
      <c r="D30" s="248"/>
      <c r="E30" s="248"/>
      <c r="F30" s="248"/>
      <c r="G30" s="248"/>
      <c r="H30" s="248"/>
      <c r="I30" s="248"/>
      <c r="J30" s="248"/>
      <c r="K30" s="248"/>
      <c r="L30" s="248"/>
      <c r="M30" s="248"/>
      <c r="N30" s="248"/>
      <c r="O30" s="248"/>
      <c r="P30" s="248"/>
      <c r="Q30" s="248"/>
      <c r="R30" s="248"/>
      <c r="S30" s="248"/>
      <c r="T30" s="248"/>
      <c r="U30" s="248"/>
      <c r="V30" s="248"/>
      <c r="W30" s="248"/>
      <c r="X30" s="248"/>
      <c r="Y30" s="248"/>
      <c r="Z30" s="248"/>
      <c r="AF30" s="478"/>
      <c r="AJ30" s="575"/>
      <c r="AK30" s="266">
        <v>450</v>
      </c>
      <c r="AL30" s="160" t="s">
        <v>690</v>
      </c>
      <c r="AM30" s="267">
        <v>2</v>
      </c>
      <c r="AN30" s="267">
        <v>350</v>
      </c>
      <c r="AO30" s="266" t="s">
        <v>411</v>
      </c>
      <c r="AP30">
        <v>12</v>
      </c>
      <c r="AQ30" s="248"/>
      <c r="AR30" s="248"/>
      <c r="AS30" s="248"/>
      <c r="AT30" s="248"/>
      <c r="AU30" s="248"/>
      <c r="AV30" s="248"/>
    </row>
    <row r="31" spans="1:48" ht="15.75" customHeight="1" thickBot="1">
      <c r="A31" s="248"/>
      <c r="B31" s="248"/>
      <c r="C31" s="248"/>
      <c r="D31" s="248"/>
      <c r="E31" s="248"/>
      <c r="F31" s="248"/>
      <c r="G31" s="248"/>
      <c r="H31" s="248"/>
      <c r="I31" s="248"/>
      <c r="J31" s="248"/>
      <c r="K31" s="248"/>
      <c r="L31" s="248"/>
      <c r="M31" s="248"/>
      <c r="N31" s="248"/>
      <c r="O31" s="248"/>
      <c r="P31" s="248"/>
      <c r="Q31" s="248"/>
      <c r="R31" s="248"/>
      <c r="S31" s="248"/>
      <c r="T31" s="248"/>
      <c r="U31" s="248"/>
      <c r="V31" s="248"/>
      <c r="W31" s="248"/>
      <c r="X31" s="248"/>
      <c r="Y31" s="248"/>
      <c r="Z31" s="248"/>
      <c r="AF31" s="478"/>
      <c r="AJ31" s="575"/>
      <c r="AK31" s="266">
        <v>475</v>
      </c>
      <c r="AL31" s="160" t="s">
        <v>695</v>
      </c>
      <c r="AM31" s="267">
        <v>2</v>
      </c>
      <c r="AN31" s="267">
        <v>390</v>
      </c>
      <c r="AO31" s="266" t="s">
        <v>124</v>
      </c>
      <c r="AP31">
        <v>12</v>
      </c>
      <c r="AQ31" s="248"/>
      <c r="AR31" s="248"/>
      <c r="AS31" s="248"/>
      <c r="AT31" s="248"/>
      <c r="AU31" s="248"/>
      <c r="AV31" s="248"/>
    </row>
    <row r="32" spans="1:48" ht="15.75" customHeight="1" thickBot="1">
      <c r="A32" s="248"/>
      <c r="B32" s="248"/>
      <c r="C32" s="248"/>
      <c r="D32" s="248"/>
      <c r="E32" s="248"/>
      <c r="F32" s="248"/>
      <c r="G32" s="248"/>
      <c r="H32" s="248"/>
      <c r="I32" s="248"/>
      <c r="J32" s="248"/>
      <c r="K32" s="248"/>
      <c r="L32" s="248"/>
      <c r="M32" s="248"/>
      <c r="N32" s="248"/>
      <c r="O32" s="248"/>
      <c r="P32" s="248"/>
      <c r="Q32" s="248"/>
      <c r="R32" s="248"/>
      <c r="S32" s="248"/>
      <c r="T32" s="248"/>
      <c r="U32" s="248"/>
      <c r="V32" s="248"/>
      <c r="W32" s="248"/>
      <c r="X32" s="248"/>
      <c r="Y32" s="248"/>
      <c r="Z32" s="248"/>
      <c r="AF32" s="478"/>
      <c r="AJ32" s="575"/>
      <c r="AK32" s="266">
        <v>500</v>
      </c>
      <c r="AL32" s="160" t="s">
        <v>705</v>
      </c>
      <c r="AM32" s="267">
        <v>2</v>
      </c>
      <c r="AN32" s="267">
        <v>414</v>
      </c>
      <c r="AO32" s="266" t="s">
        <v>25</v>
      </c>
      <c r="AP32">
        <v>12</v>
      </c>
      <c r="AQ32" s="248"/>
      <c r="AR32" s="248"/>
      <c r="AS32" s="248"/>
      <c r="AT32" s="248"/>
      <c r="AU32" s="248"/>
      <c r="AV32" s="248"/>
    </row>
    <row r="33" spans="1:56" ht="15.75" customHeight="1" thickBot="1">
      <c r="A33" s="248"/>
      <c r="B33" s="248"/>
      <c r="C33" s="248"/>
      <c r="D33" s="248"/>
      <c r="E33" s="248"/>
      <c r="F33" s="248"/>
      <c r="G33" s="248"/>
      <c r="H33" s="248"/>
      <c r="I33" s="248"/>
      <c r="J33" s="248"/>
      <c r="K33" s="248"/>
      <c r="L33" s="248"/>
      <c r="M33" s="248"/>
      <c r="N33" s="248"/>
      <c r="O33" s="248"/>
      <c r="P33" s="248"/>
      <c r="Q33" s="248"/>
      <c r="R33" s="248"/>
      <c r="S33" s="248"/>
      <c r="T33" s="248"/>
      <c r="U33" s="248"/>
      <c r="V33" s="248"/>
      <c r="W33" s="248"/>
      <c r="X33" s="248"/>
      <c r="Y33" s="248"/>
      <c r="Z33" s="248"/>
      <c r="AF33" s="478"/>
      <c r="AJ33" s="575"/>
      <c r="AK33" s="266">
        <v>525</v>
      </c>
      <c r="AL33" s="160" t="s">
        <v>710</v>
      </c>
      <c r="AM33" s="267">
        <v>2</v>
      </c>
      <c r="AN33" s="267">
        <v>430</v>
      </c>
      <c r="AO33" s="266" t="s">
        <v>125</v>
      </c>
      <c r="AP33">
        <v>12</v>
      </c>
      <c r="AQ33" s="248"/>
      <c r="AR33" s="248"/>
      <c r="AS33" s="248"/>
      <c r="AT33" s="248"/>
      <c r="AU33" s="248"/>
      <c r="AV33" s="248"/>
    </row>
    <row r="34" spans="1:56" ht="15.75" customHeight="1" thickBot="1">
      <c r="A34" s="248"/>
      <c r="B34" s="248"/>
      <c r="C34" s="248"/>
      <c r="D34" s="248"/>
      <c r="E34" s="248"/>
      <c r="F34" s="248"/>
      <c r="G34" s="248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  <c r="T34" s="248"/>
      <c r="U34" s="248"/>
      <c r="V34" s="248"/>
      <c r="W34" s="248"/>
      <c r="X34" s="248"/>
      <c r="Y34" s="248"/>
      <c r="Z34" s="248"/>
      <c r="AF34" s="478"/>
      <c r="AJ34" s="575"/>
      <c r="AK34" s="266">
        <v>570</v>
      </c>
      <c r="AL34" s="160" t="s">
        <v>715</v>
      </c>
      <c r="AM34" s="267">
        <v>2</v>
      </c>
      <c r="AN34" s="267">
        <v>468</v>
      </c>
      <c r="AO34" s="266" t="s">
        <v>411</v>
      </c>
      <c r="AP34">
        <v>12</v>
      </c>
      <c r="AQ34" s="248"/>
      <c r="AR34" s="248"/>
      <c r="AS34" s="248"/>
      <c r="AT34" s="248"/>
      <c r="AU34" s="248"/>
      <c r="AV34" s="248"/>
    </row>
    <row r="35" spans="1:56" ht="15.75" customHeight="1" thickBot="1">
      <c r="A35" s="248"/>
      <c r="B35" s="248"/>
      <c r="C35" s="248"/>
      <c r="D35" s="248"/>
      <c r="E35" s="248"/>
      <c r="F35" s="248"/>
      <c r="G35" s="248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8"/>
      <c r="S35" s="248"/>
      <c r="T35" s="248"/>
      <c r="U35" s="248"/>
      <c r="V35" s="248"/>
      <c r="W35" s="248"/>
      <c r="X35" s="248"/>
      <c r="Y35" s="248"/>
      <c r="Z35" s="248"/>
      <c r="AF35" s="478"/>
      <c r="AJ35" s="575"/>
      <c r="AK35" s="266">
        <v>600</v>
      </c>
      <c r="AL35" s="160" t="s">
        <v>720</v>
      </c>
      <c r="AM35" s="267">
        <v>2</v>
      </c>
      <c r="AN35" s="267">
        <v>488</v>
      </c>
      <c r="AO35" s="266" t="s">
        <v>124</v>
      </c>
      <c r="AP35">
        <v>12</v>
      </c>
      <c r="AQ35" s="248"/>
      <c r="AR35" s="248"/>
      <c r="AS35" s="248"/>
      <c r="AT35" s="248"/>
      <c r="AU35" s="248"/>
      <c r="AV35" s="248"/>
    </row>
    <row r="36" spans="1:56" ht="15.75" customHeight="1" thickBot="1">
      <c r="A36" s="248"/>
      <c r="B36" s="248"/>
      <c r="C36" s="248"/>
      <c r="D36" s="248"/>
      <c r="E36" s="248"/>
      <c r="F36" s="248"/>
      <c r="G36" s="248"/>
      <c r="H36" s="248"/>
      <c r="I36" s="248"/>
      <c r="J36" s="248"/>
      <c r="K36" s="248"/>
      <c r="L36" s="248"/>
      <c r="M36" s="248"/>
      <c r="N36" s="248"/>
      <c r="O36" s="248"/>
      <c r="P36" s="248"/>
      <c r="Q36" s="248"/>
      <c r="R36" s="248"/>
      <c r="S36" s="248"/>
      <c r="T36" s="248"/>
      <c r="U36" s="248"/>
      <c r="V36" s="248"/>
      <c r="W36" s="248"/>
      <c r="X36" s="248"/>
      <c r="Y36" s="248"/>
      <c r="Z36" s="248"/>
      <c r="AA36" s="248"/>
      <c r="AB36" s="248"/>
      <c r="AC36" s="248"/>
      <c r="AD36" s="248"/>
      <c r="AE36" s="248"/>
      <c r="AF36" s="248"/>
      <c r="AG36" s="248"/>
      <c r="AH36" s="248"/>
      <c r="AJ36" s="575"/>
      <c r="AK36" s="266">
        <v>680</v>
      </c>
      <c r="AL36" s="160" t="s">
        <v>730</v>
      </c>
      <c r="AM36" s="267">
        <v>2</v>
      </c>
      <c r="AN36" s="267">
        <v>553</v>
      </c>
      <c r="AO36" s="269" t="s">
        <v>125</v>
      </c>
      <c r="AP36">
        <v>12</v>
      </c>
      <c r="AQ36" s="248"/>
      <c r="AR36" s="248"/>
      <c r="AS36" s="248"/>
      <c r="AT36" s="248"/>
      <c r="AU36" s="248"/>
      <c r="AV36" s="248"/>
    </row>
    <row r="37" spans="1:56" ht="15.75" customHeight="1" thickBot="1">
      <c r="A37" s="248"/>
      <c r="B37" s="248"/>
      <c r="C37" s="248"/>
      <c r="D37" s="248"/>
      <c r="E37" s="248"/>
      <c r="F37" s="248"/>
      <c r="G37" s="248"/>
      <c r="H37" s="248"/>
      <c r="I37" s="248"/>
      <c r="J37" s="248"/>
      <c r="K37" s="248"/>
      <c r="L37" s="248"/>
      <c r="M37" s="248"/>
      <c r="N37" s="248"/>
      <c r="O37" s="248"/>
      <c r="P37" s="248"/>
      <c r="Q37" s="248"/>
      <c r="R37" s="248"/>
      <c r="S37" s="248"/>
      <c r="T37" s="248"/>
      <c r="U37" s="248"/>
      <c r="V37" s="248"/>
      <c r="W37" s="248"/>
      <c r="X37" s="248"/>
      <c r="Y37" s="248"/>
      <c r="Z37" s="248"/>
      <c r="AA37" s="248"/>
      <c r="AB37" s="248"/>
      <c r="AC37" s="248"/>
      <c r="AD37" s="248"/>
      <c r="AE37" s="248"/>
      <c r="AF37" s="248"/>
      <c r="AG37" s="248"/>
      <c r="AH37" s="248"/>
      <c r="AJ37" s="576"/>
      <c r="AK37" s="263">
        <v>775</v>
      </c>
      <c r="AL37" s="264" t="s">
        <v>734</v>
      </c>
      <c r="AM37" s="270">
        <v>2</v>
      </c>
      <c r="AN37" s="270">
        <v>628</v>
      </c>
      <c r="AO37" s="263" t="s">
        <v>411</v>
      </c>
      <c r="AP37">
        <v>12</v>
      </c>
      <c r="AQ37" s="248"/>
      <c r="AR37" s="248"/>
      <c r="AS37" s="248"/>
      <c r="AT37" s="248"/>
      <c r="AU37" s="248"/>
      <c r="AV37" s="248"/>
    </row>
    <row r="38" spans="1:56" ht="15.75" customHeight="1" thickTop="1">
      <c r="A38" s="248"/>
      <c r="B38" s="248"/>
      <c r="C38" s="248"/>
      <c r="D38" s="248"/>
      <c r="E38" s="248"/>
      <c r="F38" s="248"/>
      <c r="G38" s="248"/>
      <c r="H38" s="248"/>
      <c r="I38" s="248"/>
      <c r="J38" s="248"/>
      <c r="K38" s="248"/>
      <c r="L38" s="248"/>
      <c r="M38" s="248"/>
      <c r="N38" s="248"/>
      <c r="O38" s="248"/>
      <c r="P38" s="248"/>
      <c r="Q38" s="248"/>
      <c r="R38" s="248"/>
      <c r="S38" s="248"/>
      <c r="T38" s="248"/>
      <c r="U38" s="248"/>
      <c r="V38" s="248"/>
      <c r="W38" s="248"/>
      <c r="X38" s="248"/>
      <c r="Y38" s="248"/>
      <c r="Z38" s="248"/>
      <c r="AA38" s="248"/>
      <c r="AB38" s="248"/>
      <c r="AC38" s="248"/>
      <c r="AD38" s="248"/>
      <c r="AE38" s="248"/>
      <c r="AF38" s="248"/>
      <c r="AG38" s="248"/>
      <c r="AH38" s="248"/>
      <c r="AK38" s="248"/>
      <c r="AL38" s="248"/>
      <c r="AM38" s="248"/>
      <c r="AN38" s="248"/>
      <c r="AO38" s="248"/>
      <c r="AP38" s="248"/>
      <c r="AQ38" s="248"/>
      <c r="AR38" s="248"/>
      <c r="AS38" s="248"/>
      <c r="AT38" s="248"/>
      <c r="AU38" s="248"/>
      <c r="AV38" s="248"/>
    </row>
    <row r="39" spans="1:56" ht="15.75" customHeight="1" thickBot="1">
      <c r="A39" s="248"/>
      <c r="B39" s="248"/>
      <c r="C39" s="248"/>
      <c r="D39" s="248"/>
      <c r="E39" s="248"/>
      <c r="F39" s="248"/>
      <c r="G39" s="248"/>
      <c r="H39" s="248"/>
      <c r="I39" s="248"/>
      <c r="J39" s="248"/>
      <c r="K39" s="248"/>
      <c r="L39" s="248"/>
      <c r="M39" s="248"/>
      <c r="N39" s="248"/>
      <c r="O39" s="248"/>
      <c r="P39" s="248"/>
      <c r="Q39" s="248"/>
      <c r="R39" s="248"/>
      <c r="S39" s="248"/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48"/>
      <c r="AH39" s="248"/>
      <c r="AK39" s="248"/>
      <c r="AL39" s="248"/>
      <c r="AM39" s="248"/>
      <c r="AN39" s="248"/>
      <c r="AO39" s="248"/>
      <c r="AP39" s="248"/>
      <c r="AQ39" s="248"/>
      <c r="AR39" s="248"/>
      <c r="AS39" s="248"/>
      <c r="AT39" s="248"/>
      <c r="AU39" s="248"/>
      <c r="AV39" s="248"/>
      <c r="BD39"/>
    </row>
    <row r="40" spans="1:56" s="87" customFormat="1" ht="30.75" thickBot="1">
      <c r="A40" s="248"/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8"/>
      <c r="P40" s="248"/>
      <c r="Q40" s="248"/>
      <c r="R40" s="248"/>
      <c r="S40" s="248"/>
      <c r="T40" s="248"/>
      <c r="U40" s="248"/>
      <c r="V40" s="248"/>
      <c r="W40" s="248"/>
      <c r="X40" s="248"/>
      <c r="Y40" s="248"/>
      <c r="Z40" s="248"/>
      <c r="AA40" s="248"/>
      <c r="AB40" s="248"/>
      <c r="AC40" s="248"/>
      <c r="AD40" s="248"/>
      <c r="AE40" s="248"/>
      <c r="AF40" s="248"/>
      <c r="AG40" s="248"/>
      <c r="AH40" s="248"/>
      <c r="AJ40" s="263" t="s">
        <v>434</v>
      </c>
      <c r="AK40" s="264" t="s">
        <v>207</v>
      </c>
      <c r="AL40" s="264" t="s">
        <v>399</v>
      </c>
      <c r="AM40" s="264" t="s">
        <v>400</v>
      </c>
      <c r="AN40" s="264" t="s">
        <v>401</v>
      </c>
      <c r="AO40" s="263" t="s">
        <v>404</v>
      </c>
      <c r="AP40" s="248"/>
      <c r="AQ40" s="248"/>
      <c r="AR40" s="248"/>
      <c r="AS40" s="248"/>
      <c r="AT40" s="248"/>
      <c r="AU40" s="248"/>
      <c r="AV40" s="248"/>
    </row>
    <row r="41" spans="1:56" ht="15.75" customHeight="1" thickTop="1" thickBot="1">
      <c r="A41" s="248"/>
      <c r="B41" s="248"/>
      <c r="C41" s="248"/>
      <c r="D41" s="248"/>
      <c r="E41" s="248"/>
      <c r="F41" s="248"/>
      <c r="G41" s="248"/>
      <c r="H41" s="248"/>
      <c r="I41" s="248"/>
      <c r="J41" s="248"/>
      <c r="K41" s="248"/>
      <c r="L41" s="248"/>
      <c r="M41" s="248"/>
      <c r="N41" s="248"/>
      <c r="O41" s="248"/>
      <c r="P41" s="248"/>
      <c r="Q41" s="248"/>
      <c r="R41" s="248"/>
      <c r="S41" s="248"/>
      <c r="T41" s="248"/>
      <c r="U41" s="248"/>
      <c r="V41" s="248"/>
      <c r="W41" s="248"/>
      <c r="X41" s="248"/>
      <c r="Y41" s="248"/>
      <c r="Z41" s="248"/>
      <c r="AA41" s="248"/>
      <c r="AB41" s="248"/>
      <c r="AC41" s="248"/>
      <c r="AD41" s="248"/>
      <c r="AE41" s="248"/>
      <c r="AF41" s="248"/>
      <c r="AG41" s="248"/>
      <c r="AH41" s="248"/>
      <c r="AJ41" s="266">
        <v>100</v>
      </c>
      <c r="AK41" s="267" t="s">
        <v>718</v>
      </c>
      <c r="AL41" s="267">
        <v>2</v>
      </c>
      <c r="AM41" s="267">
        <v>137</v>
      </c>
      <c r="AN41" s="267" t="s">
        <v>411</v>
      </c>
      <c r="AO41" s="268">
        <v>19</v>
      </c>
      <c r="AP41">
        <v>9</v>
      </c>
      <c r="AQ41" s="248"/>
      <c r="AR41" s="248"/>
      <c r="AS41" s="248"/>
      <c r="AT41" s="248"/>
      <c r="AU41" s="248"/>
      <c r="AV41" s="248"/>
    </row>
    <row r="42" spans="1:56" ht="15.75" customHeight="1" thickBot="1">
      <c r="A42" s="248"/>
      <c r="B42" s="248"/>
      <c r="C42" s="248"/>
      <c r="D42" s="248"/>
      <c r="E42" s="248"/>
      <c r="F42" s="248"/>
      <c r="G42" s="248"/>
      <c r="H42" s="248"/>
      <c r="I42" s="248"/>
      <c r="J42" s="248"/>
      <c r="K42" s="248"/>
      <c r="L42" s="248"/>
      <c r="M42" s="248"/>
      <c r="N42" s="248"/>
      <c r="O42" s="248"/>
      <c r="P42" s="248"/>
      <c r="Q42" s="248"/>
      <c r="R42" s="248"/>
      <c r="S42" s="248"/>
      <c r="T42" s="248"/>
      <c r="U42" s="248"/>
      <c r="V42" s="248"/>
      <c r="W42" s="248"/>
      <c r="X42" s="248"/>
      <c r="Y42" s="248"/>
      <c r="Z42" s="248"/>
      <c r="AA42" s="248"/>
      <c r="AB42" s="248"/>
      <c r="AC42" s="248"/>
      <c r="AD42" s="248"/>
      <c r="AE42" s="248"/>
      <c r="AF42" s="248"/>
      <c r="AG42" s="248"/>
      <c r="AH42" s="248"/>
      <c r="AJ42" s="266">
        <v>130</v>
      </c>
      <c r="AK42" s="267" t="s">
        <v>723</v>
      </c>
      <c r="AL42" s="267">
        <v>2</v>
      </c>
      <c r="AM42" s="267">
        <v>171</v>
      </c>
      <c r="AN42" s="267" t="s">
        <v>124</v>
      </c>
      <c r="AO42" s="268">
        <v>19</v>
      </c>
      <c r="AP42" s="276">
        <v>9</v>
      </c>
    </row>
    <row r="43" spans="1:56" ht="15.75" customHeight="1" thickBot="1">
      <c r="A43" s="248"/>
      <c r="B43" s="248"/>
      <c r="C43" s="248"/>
      <c r="D43" s="248"/>
      <c r="E43" s="248"/>
      <c r="F43" s="248"/>
      <c r="G43" s="248"/>
      <c r="H43" s="248"/>
      <c r="I43" s="248"/>
      <c r="J43" s="248"/>
      <c r="K43" s="248"/>
      <c r="L43" s="248"/>
      <c r="M43" s="248"/>
      <c r="N43" s="248"/>
      <c r="O43" s="248"/>
      <c r="P43" s="248"/>
      <c r="Q43" s="248"/>
      <c r="R43" s="248"/>
      <c r="S43" s="248"/>
      <c r="T43" s="248"/>
      <c r="U43" s="248"/>
      <c r="V43" s="248"/>
      <c r="W43" s="248"/>
      <c r="X43" s="248"/>
      <c r="Y43" s="248"/>
      <c r="Z43" s="248"/>
      <c r="AA43" s="248"/>
      <c r="AB43" s="248"/>
      <c r="AC43" s="248"/>
      <c r="AD43" s="248"/>
      <c r="AE43" s="248"/>
      <c r="AF43" s="248"/>
      <c r="AG43" s="248"/>
      <c r="AH43" s="248"/>
      <c r="AJ43" s="266">
        <v>140</v>
      </c>
      <c r="AK43" s="267" t="s">
        <v>758</v>
      </c>
      <c r="AL43" s="267">
        <v>2</v>
      </c>
      <c r="AM43" s="267">
        <v>192</v>
      </c>
      <c r="AN43" s="267" t="s">
        <v>411</v>
      </c>
      <c r="AO43" s="268">
        <v>25</v>
      </c>
      <c r="AP43" s="276">
        <v>9</v>
      </c>
    </row>
    <row r="44" spans="1:56" ht="15.75" customHeight="1" thickBot="1">
      <c r="A44" s="248"/>
      <c r="B44" s="248"/>
      <c r="C44" s="248"/>
      <c r="D44" s="248"/>
      <c r="E44" s="248"/>
      <c r="F44" s="248"/>
      <c r="G44" s="248"/>
      <c r="H44" s="248"/>
      <c r="I44" s="248"/>
      <c r="J44" s="248"/>
      <c r="K44" s="248"/>
      <c r="L44" s="248"/>
      <c r="M44" s="248"/>
      <c r="N44" s="248"/>
      <c r="O44" s="248"/>
      <c r="P44" s="248"/>
      <c r="Q44" s="248"/>
      <c r="R44" s="248"/>
      <c r="S44" s="248"/>
      <c r="T44" s="248"/>
      <c r="U44" s="248"/>
      <c r="V44" s="248"/>
      <c r="W44" s="248"/>
      <c r="X44" s="248"/>
      <c r="Y44" s="248"/>
      <c r="Z44" s="248"/>
      <c r="AA44" s="248"/>
      <c r="AB44" s="248"/>
      <c r="AC44" s="248"/>
      <c r="AD44" s="248"/>
      <c r="AE44" s="248"/>
      <c r="AF44" s="248"/>
      <c r="AG44" s="248"/>
      <c r="AH44" s="248"/>
      <c r="AJ44" s="266">
        <v>155</v>
      </c>
      <c r="AK44" s="267" t="s">
        <v>763</v>
      </c>
      <c r="AL44" s="267">
        <v>2</v>
      </c>
      <c r="AM44" s="267">
        <v>212</v>
      </c>
      <c r="AN44" s="267" t="s">
        <v>124</v>
      </c>
      <c r="AO44" s="268">
        <v>25</v>
      </c>
      <c r="AP44" s="242">
        <v>9</v>
      </c>
    </row>
    <row r="45" spans="1:56" ht="15.75" customHeight="1" thickBot="1">
      <c r="A45" s="248"/>
      <c r="B45" s="248"/>
      <c r="C45" s="248"/>
      <c r="D45" s="248"/>
      <c r="E45" s="248"/>
      <c r="F45" s="248"/>
      <c r="G45" s="248"/>
      <c r="H45" s="248"/>
      <c r="I45" s="248"/>
      <c r="J45" s="248"/>
      <c r="K45" s="248"/>
      <c r="L45" s="248"/>
      <c r="M45" s="248"/>
      <c r="N45" s="248"/>
      <c r="O45" s="248"/>
      <c r="P45" s="248"/>
      <c r="Q45" s="248"/>
      <c r="R45" s="248"/>
      <c r="S45" s="248"/>
      <c r="T45" s="248"/>
      <c r="U45" s="248"/>
      <c r="V45" s="248"/>
      <c r="W45" s="248"/>
      <c r="X45" s="248"/>
      <c r="Y45" s="248"/>
      <c r="Z45" s="248"/>
      <c r="AA45" s="248"/>
      <c r="AB45" s="248"/>
      <c r="AC45" s="248"/>
      <c r="AD45" s="248"/>
      <c r="AE45" s="248"/>
      <c r="AF45" s="248"/>
      <c r="AG45" s="248"/>
      <c r="AH45" s="248"/>
      <c r="AJ45" s="266">
        <v>130</v>
      </c>
      <c r="AK45" s="267" t="s">
        <v>728</v>
      </c>
      <c r="AL45" s="267">
        <v>2</v>
      </c>
      <c r="AM45" s="267">
        <v>137</v>
      </c>
      <c r="AN45" s="267" t="s">
        <v>25</v>
      </c>
      <c r="AO45" s="268">
        <v>19</v>
      </c>
      <c r="AP45" s="242">
        <v>12</v>
      </c>
    </row>
    <row r="46" spans="1:56" ht="15.75" customHeight="1" thickBot="1">
      <c r="A46" s="248"/>
      <c r="B46" s="248"/>
      <c r="C46" s="248"/>
      <c r="D46" s="248"/>
      <c r="E46" s="248"/>
      <c r="F46" s="248"/>
      <c r="G46" s="248"/>
      <c r="H46" s="248"/>
      <c r="I46" s="248"/>
      <c r="J46" s="248"/>
      <c r="K46" s="248"/>
      <c r="L46" s="248"/>
      <c r="M46" s="248"/>
      <c r="N46" s="248"/>
      <c r="O46" s="248"/>
      <c r="P46" s="248"/>
      <c r="Q46" s="248"/>
      <c r="R46" s="248"/>
      <c r="S46" s="248"/>
      <c r="T46" s="248"/>
      <c r="U46" s="248"/>
      <c r="V46" s="248"/>
      <c r="W46" s="248"/>
      <c r="X46" s="248"/>
      <c r="Y46" s="248"/>
      <c r="Z46" s="248"/>
      <c r="AA46" s="248"/>
      <c r="AB46" s="248"/>
      <c r="AC46" s="248"/>
      <c r="AD46" s="248"/>
      <c r="AE46" s="248"/>
      <c r="AF46" s="248"/>
      <c r="AG46" s="248"/>
      <c r="AH46" s="248"/>
      <c r="AJ46" s="266">
        <v>160</v>
      </c>
      <c r="AK46" s="267" t="s">
        <v>732</v>
      </c>
      <c r="AL46" s="267">
        <v>2</v>
      </c>
      <c r="AM46" s="267">
        <v>150</v>
      </c>
      <c r="AN46" s="267" t="s">
        <v>125</v>
      </c>
      <c r="AO46" s="268">
        <v>19</v>
      </c>
      <c r="AP46" s="242">
        <v>12</v>
      </c>
    </row>
    <row r="47" spans="1:56" ht="15.75" customHeight="1" thickBot="1">
      <c r="A47" s="248"/>
      <c r="B47" s="248"/>
      <c r="C47" s="248"/>
      <c r="D47" s="248"/>
      <c r="E47" s="248"/>
      <c r="F47" s="248"/>
      <c r="G47" s="248"/>
      <c r="H47" s="248"/>
      <c r="I47" s="248"/>
      <c r="J47" s="248"/>
      <c r="K47" s="248"/>
      <c r="L47" s="248"/>
      <c r="M47" s="248"/>
      <c r="N47" s="248"/>
      <c r="O47" s="248"/>
      <c r="P47" s="248"/>
      <c r="Q47" s="248"/>
      <c r="R47" s="248"/>
      <c r="S47" s="248"/>
      <c r="T47" s="248"/>
      <c r="U47" s="248"/>
      <c r="V47" s="248"/>
      <c r="W47" s="248"/>
      <c r="X47" s="248"/>
      <c r="Y47" s="248"/>
      <c r="Z47" s="248"/>
      <c r="AA47" s="248"/>
      <c r="AB47" s="248"/>
      <c r="AC47" s="248"/>
      <c r="AD47" s="248"/>
      <c r="AE47" s="248"/>
      <c r="AF47" s="248"/>
      <c r="AG47" s="248"/>
      <c r="AH47" s="248"/>
      <c r="AJ47" s="266">
        <v>175</v>
      </c>
      <c r="AK47" s="267" t="s">
        <v>116</v>
      </c>
      <c r="AL47" s="267">
        <v>2</v>
      </c>
      <c r="AM47" s="267">
        <v>171</v>
      </c>
      <c r="AN47" s="267" t="s">
        <v>411</v>
      </c>
      <c r="AO47" s="268">
        <v>19</v>
      </c>
      <c r="AP47" s="242">
        <v>12</v>
      </c>
    </row>
    <row r="48" spans="1:56" ht="15.75" customHeight="1" thickBot="1">
      <c r="A48" s="248"/>
      <c r="B48" s="248"/>
      <c r="C48" s="248"/>
      <c r="D48" s="248"/>
      <c r="E48" s="248"/>
      <c r="F48" s="248"/>
      <c r="G48" s="248"/>
      <c r="H48" s="248"/>
      <c r="I48" s="248"/>
      <c r="J48" s="248"/>
      <c r="K48" s="248"/>
      <c r="L48" s="248"/>
      <c r="M48" s="248"/>
      <c r="N48" s="248"/>
      <c r="O48" s="248"/>
      <c r="P48" s="248"/>
      <c r="Q48" s="248"/>
      <c r="R48" s="248"/>
      <c r="S48" s="248"/>
      <c r="T48" s="248"/>
      <c r="U48" s="248"/>
      <c r="V48" s="248"/>
      <c r="W48" s="248"/>
      <c r="X48" s="248"/>
      <c r="Y48" s="248"/>
      <c r="Z48" s="248"/>
      <c r="AA48" s="248"/>
      <c r="AB48" s="248"/>
      <c r="AC48" s="248"/>
      <c r="AD48" s="248"/>
      <c r="AE48" s="248"/>
      <c r="AF48" s="248"/>
      <c r="AG48" s="248"/>
      <c r="AH48" s="248"/>
      <c r="AJ48" s="266">
        <v>200</v>
      </c>
      <c r="AK48" s="267" t="s">
        <v>742</v>
      </c>
      <c r="AL48" s="267">
        <v>2</v>
      </c>
      <c r="AM48" s="267">
        <v>192</v>
      </c>
      <c r="AN48" s="267" t="s">
        <v>124</v>
      </c>
      <c r="AO48" s="268">
        <v>25</v>
      </c>
      <c r="AP48" s="242">
        <v>12</v>
      </c>
    </row>
    <row r="49" spans="1:42" ht="15.75" customHeight="1" thickBot="1">
      <c r="A49" s="248"/>
      <c r="B49" s="248"/>
      <c r="C49" s="248"/>
      <c r="D49" s="248"/>
      <c r="E49" s="248"/>
      <c r="F49" s="248"/>
      <c r="G49" s="248"/>
      <c r="H49" s="248"/>
      <c r="I49" s="248"/>
      <c r="J49" s="248"/>
      <c r="K49" s="248"/>
      <c r="L49" s="248"/>
      <c r="M49" s="248"/>
      <c r="N49" s="248"/>
      <c r="O49" s="248"/>
      <c r="P49" s="248"/>
      <c r="Q49" s="248"/>
      <c r="R49" s="248"/>
      <c r="S49" s="248"/>
      <c r="T49" s="248"/>
      <c r="U49" s="248"/>
      <c r="V49" s="248"/>
      <c r="W49" s="248"/>
      <c r="X49" s="248"/>
      <c r="Y49" s="248"/>
      <c r="Z49" s="248"/>
      <c r="AA49" s="248"/>
      <c r="AB49" s="248"/>
      <c r="AC49" s="248"/>
      <c r="AD49" s="248"/>
      <c r="AE49" s="248"/>
      <c r="AF49" s="248"/>
      <c r="AG49" s="248"/>
      <c r="AH49" s="248"/>
      <c r="AJ49" s="266">
        <v>210</v>
      </c>
      <c r="AK49" s="267" t="s">
        <v>773</v>
      </c>
      <c r="AL49" s="267">
        <v>2</v>
      </c>
      <c r="AM49" s="267">
        <v>192</v>
      </c>
      <c r="AN49" s="267" t="s">
        <v>125</v>
      </c>
      <c r="AO49" s="268">
        <v>25</v>
      </c>
      <c r="AP49" s="242">
        <v>12</v>
      </c>
    </row>
    <row r="50" spans="1:42" ht="15.75" customHeight="1" thickBot="1">
      <c r="A50" s="248"/>
      <c r="B50" s="248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8"/>
      <c r="N50" s="248"/>
      <c r="O50" s="248"/>
      <c r="P50" s="248"/>
      <c r="Q50" s="248"/>
      <c r="R50" s="248"/>
      <c r="S50" s="248"/>
      <c r="T50" s="248"/>
      <c r="U50" s="248"/>
      <c r="V50" s="248"/>
      <c r="W50" s="248"/>
      <c r="X50" s="248"/>
      <c r="Y50" s="248"/>
      <c r="Z50" s="248"/>
      <c r="AA50" s="248"/>
      <c r="AB50" s="248"/>
      <c r="AC50" s="248"/>
      <c r="AD50" s="248"/>
      <c r="AE50" s="248"/>
      <c r="AF50" s="248"/>
      <c r="AG50" s="248"/>
      <c r="AH50" s="248"/>
      <c r="AJ50" s="266">
        <v>215</v>
      </c>
      <c r="AK50" s="267" t="s">
        <v>778</v>
      </c>
      <c r="AL50" s="267">
        <v>2</v>
      </c>
      <c r="AM50" s="267">
        <v>212</v>
      </c>
      <c r="AN50" s="267" t="s">
        <v>411</v>
      </c>
      <c r="AO50" s="266">
        <v>25</v>
      </c>
      <c r="AP50" s="242">
        <v>12</v>
      </c>
    </row>
    <row r="51" spans="1:42" ht="15.75" customHeight="1" thickBot="1">
      <c r="A51" s="248"/>
      <c r="B51" s="248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248"/>
      <c r="X51" s="248"/>
      <c r="Y51" s="248"/>
      <c r="Z51" s="248"/>
      <c r="AA51" s="248"/>
      <c r="AB51" s="248"/>
      <c r="AC51" s="248"/>
      <c r="AD51" s="248"/>
      <c r="AE51" s="248"/>
      <c r="AF51" s="248"/>
      <c r="AG51" s="248"/>
      <c r="AH51" s="248"/>
      <c r="AJ51" s="266">
        <v>250</v>
      </c>
      <c r="AK51" s="267" t="s">
        <v>783</v>
      </c>
      <c r="AL51" s="267">
        <v>2</v>
      </c>
      <c r="AM51" s="267">
        <v>248</v>
      </c>
      <c r="AN51" s="267" t="s">
        <v>124</v>
      </c>
      <c r="AO51" s="266">
        <v>25</v>
      </c>
      <c r="AP51" s="242">
        <v>12</v>
      </c>
    </row>
    <row r="52" spans="1:42" ht="15.75" customHeight="1" thickBot="1">
      <c r="A52" s="248"/>
      <c r="B52" s="248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8"/>
      <c r="N52" s="248"/>
      <c r="O52" s="248"/>
      <c r="P52" s="248"/>
      <c r="Q52" s="248"/>
      <c r="R52" s="248"/>
      <c r="S52" s="248"/>
      <c r="T52" s="248"/>
      <c r="U52" s="248"/>
      <c r="V52" s="248"/>
      <c r="W52" s="248"/>
      <c r="X52" s="248"/>
      <c r="Y52" s="248"/>
      <c r="Z52" s="248"/>
      <c r="AA52" s="248"/>
      <c r="AB52" s="248"/>
      <c r="AC52" s="248"/>
      <c r="AD52" s="248"/>
      <c r="AE52" s="248"/>
      <c r="AF52" s="248"/>
      <c r="AG52" s="248"/>
      <c r="AH52" s="248"/>
      <c r="AJ52" s="266">
        <v>260</v>
      </c>
      <c r="AK52" s="160" t="s">
        <v>818</v>
      </c>
      <c r="AL52" s="267">
        <v>2</v>
      </c>
      <c r="AM52" s="267">
        <v>260</v>
      </c>
      <c r="AN52" s="267" t="s">
        <v>125</v>
      </c>
      <c r="AO52" s="266">
        <v>30</v>
      </c>
      <c r="AP52" s="242">
        <v>12</v>
      </c>
    </row>
    <row r="53" spans="1:42" ht="15.75" customHeight="1" thickBot="1">
      <c r="A53" s="248"/>
      <c r="B53" s="248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8"/>
      <c r="N53" s="248"/>
      <c r="O53" s="248"/>
      <c r="P53" s="248"/>
      <c r="Q53" s="248"/>
      <c r="R53" s="248"/>
      <c r="S53" s="248"/>
      <c r="T53" s="248"/>
      <c r="U53" s="248"/>
      <c r="V53" s="248"/>
      <c r="W53" s="248"/>
      <c r="X53" s="248"/>
      <c r="Y53" s="248"/>
      <c r="Z53" s="248"/>
      <c r="AA53" s="248"/>
      <c r="AB53" s="248"/>
      <c r="AC53" s="248"/>
      <c r="AD53" s="248"/>
      <c r="AE53" s="248"/>
      <c r="AF53" s="248"/>
      <c r="AG53" s="248"/>
      <c r="AH53" s="248"/>
      <c r="AJ53" s="266">
        <v>280</v>
      </c>
      <c r="AK53" s="160" t="s">
        <v>824</v>
      </c>
      <c r="AL53" s="267">
        <v>2</v>
      </c>
      <c r="AM53" s="267">
        <v>270</v>
      </c>
      <c r="AN53" s="267" t="s">
        <v>411</v>
      </c>
      <c r="AO53" s="266">
        <v>30</v>
      </c>
      <c r="AP53" s="242">
        <v>12</v>
      </c>
    </row>
    <row r="54" spans="1:42" ht="15.75" customHeight="1" thickBot="1">
      <c r="A54" s="248"/>
      <c r="B54" s="248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248"/>
      <c r="P54" s="248"/>
      <c r="Q54" s="248"/>
      <c r="R54" s="248"/>
      <c r="S54" s="248"/>
      <c r="T54" s="248"/>
      <c r="U54" s="248"/>
      <c r="V54" s="248"/>
      <c r="W54" s="248"/>
      <c r="X54" s="248"/>
      <c r="Y54" s="248"/>
      <c r="Z54" s="248"/>
      <c r="AA54" s="248"/>
      <c r="AB54" s="248"/>
      <c r="AC54" s="248"/>
      <c r="AD54" s="248"/>
      <c r="AE54" s="248"/>
      <c r="AF54" s="248"/>
      <c r="AG54" s="248"/>
      <c r="AH54" s="248"/>
      <c r="AJ54" s="266">
        <v>300</v>
      </c>
      <c r="AK54" s="160" t="s">
        <v>830</v>
      </c>
      <c r="AL54" s="267">
        <v>2</v>
      </c>
      <c r="AM54" s="267">
        <v>300</v>
      </c>
      <c r="AN54" s="267" t="s">
        <v>124</v>
      </c>
      <c r="AO54" s="266">
        <v>30</v>
      </c>
      <c r="AP54" s="242">
        <v>12</v>
      </c>
    </row>
    <row r="55" spans="1:42" ht="15.75" customHeight="1" thickBot="1">
      <c r="A55" s="248"/>
      <c r="B55" s="248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248"/>
      <c r="X55" s="248"/>
      <c r="Y55" s="248"/>
      <c r="Z55" s="248"/>
      <c r="AA55" s="248"/>
      <c r="AB55" s="248"/>
      <c r="AC55" s="248"/>
      <c r="AD55" s="248"/>
      <c r="AE55" s="248"/>
      <c r="AF55" s="248"/>
      <c r="AG55" s="248"/>
      <c r="AH55" s="248"/>
      <c r="AJ55" s="266">
        <v>310</v>
      </c>
      <c r="AK55" s="160" t="s">
        <v>835</v>
      </c>
      <c r="AL55" s="267">
        <v>2</v>
      </c>
      <c r="AM55" s="267">
        <v>335</v>
      </c>
      <c r="AN55" s="267" t="s">
        <v>25</v>
      </c>
      <c r="AO55" s="266">
        <v>43</v>
      </c>
      <c r="AP55" s="242">
        <v>12</v>
      </c>
    </row>
    <row r="56" spans="1:42" ht="15.75" customHeight="1" thickBot="1">
      <c r="A56" s="248"/>
      <c r="B56" s="248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248"/>
      <c r="P56" s="248"/>
      <c r="Q56" s="248"/>
      <c r="R56" s="248"/>
      <c r="S56" s="248"/>
      <c r="T56" s="248"/>
      <c r="U56" s="248"/>
      <c r="V56" s="248"/>
      <c r="W56" s="248"/>
      <c r="X56" s="248"/>
      <c r="Y56" s="248"/>
      <c r="Z56" s="248"/>
      <c r="AA56" s="248"/>
      <c r="AB56" s="248"/>
      <c r="AC56" s="248"/>
      <c r="AD56" s="248"/>
      <c r="AE56" s="248"/>
      <c r="AF56" s="248"/>
      <c r="AG56" s="248"/>
      <c r="AH56" s="248"/>
      <c r="AJ56" s="266">
        <v>335</v>
      </c>
      <c r="AK56" s="160" t="s">
        <v>992</v>
      </c>
      <c r="AL56" s="267">
        <v>2</v>
      </c>
      <c r="AM56" s="267">
        <v>377</v>
      </c>
      <c r="AN56" s="267" t="s">
        <v>125</v>
      </c>
      <c r="AO56" s="266">
        <v>43</v>
      </c>
      <c r="AP56" s="242">
        <v>12</v>
      </c>
    </row>
    <row r="57" spans="1:42" ht="15.75" customHeight="1" thickBot="1">
      <c r="A57" s="248"/>
      <c r="B57" s="248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248"/>
      <c r="P57" s="248"/>
      <c r="Q57" s="248"/>
      <c r="R57" s="248"/>
      <c r="S57" s="248"/>
      <c r="T57" s="248"/>
      <c r="U57" s="248"/>
      <c r="V57" s="248"/>
      <c r="W57" s="248"/>
      <c r="X57" s="248"/>
      <c r="Y57" s="248"/>
      <c r="Z57" s="248"/>
      <c r="AA57" s="248"/>
      <c r="AB57" s="248"/>
      <c r="AC57" s="248"/>
      <c r="AD57" s="248"/>
      <c r="AE57" s="248"/>
      <c r="AF57" s="248"/>
      <c r="AG57" s="248"/>
      <c r="AH57" s="248"/>
      <c r="AJ57" s="266">
        <v>380</v>
      </c>
      <c r="AK57" s="160" t="s">
        <v>993</v>
      </c>
      <c r="AL57" s="267">
        <v>2</v>
      </c>
      <c r="AM57" s="267">
        <v>408</v>
      </c>
      <c r="AN57" s="267" t="s">
        <v>411</v>
      </c>
      <c r="AO57" s="266">
        <v>43</v>
      </c>
      <c r="AP57" s="242">
        <v>12</v>
      </c>
    </row>
    <row r="58" spans="1:42" ht="15.75" customHeight="1" thickBot="1">
      <c r="A58" s="248"/>
      <c r="B58" s="248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248"/>
      <c r="P58" s="248"/>
      <c r="Q58" s="248"/>
      <c r="R58" s="248"/>
      <c r="S58" s="248"/>
      <c r="T58" s="248"/>
      <c r="U58" s="248"/>
      <c r="V58" s="248"/>
      <c r="W58" s="248"/>
      <c r="X58" s="248"/>
      <c r="Y58" s="248"/>
      <c r="Z58" s="248"/>
      <c r="AA58" s="248"/>
      <c r="AB58" s="248"/>
      <c r="AC58" s="248"/>
      <c r="AD58" s="248"/>
      <c r="AE58" s="248"/>
      <c r="AF58" s="248"/>
      <c r="AG58" s="248"/>
      <c r="AH58" s="248"/>
      <c r="AJ58" s="266">
        <v>420</v>
      </c>
      <c r="AK58" s="160" t="s">
        <v>847</v>
      </c>
      <c r="AL58" s="267">
        <v>2</v>
      </c>
      <c r="AM58" s="267">
        <v>426</v>
      </c>
      <c r="AN58" s="267" t="s">
        <v>124</v>
      </c>
      <c r="AO58" s="266">
        <v>43</v>
      </c>
      <c r="AP58" s="242">
        <v>12</v>
      </c>
    </row>
    <row r="59" spans="1:42" ht="15.75" customHeight="1" thickBot="1">
      <c r="A59" s="248"/>
      <c r="B59" s="248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  <c r="T59" s="248"/>
      <c r="U59" s="248"/>
      <c r="V59" s="248"/>
      <c r="W59" s="248"/>
      <c r="X59" s="248"/>
      <c r="Y59" s="248"/>
      <c r="Z59" s="248"/>
      <c r="AA59" s="248"/>
      <c r="AB59" s="248"/>
      <c r="AC59" s="248"/>
      <c r="AD59" s="248"/>
      <c r="AE59" s="248"/>
      <c r="AF59" s="248"/>
      <c r="AG59" s="248"/>
      <c r="AH59" s="248"/>
      <c r="AJ59" s="266">
        <v>450</v>
      </c>
      <c r="AK59" s="160" t="s">
        <v>979</v>
      </c>
      <c r="AL59" s="267">
        <v>2</v>
      </c>
      <c r="AM59" s="267">
        <v>442</v>
      </c>
      <c r="AN59" s="267" t="s">
        <v>423</v>
      </c>
      <c r="AO59" s="266">
        <v>58</v>
      </c>
      <c r="AP59" s="242">
        <v>12</v>
      </c>
    </row>
    <row r="60" spans="1:42" ht="15.75" customHeight="1" thickBot="1">
      <c r="A60" s="248"/>
      <c r="B60" s="248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248"/>
      <c r="P60" s="248"/>
      <c r="Q60" s="248"/>
      <c r="R60" s="248"/>
      <c r="S60" s="248"/>
      <c r="T60" s="248"/>
      <c r="U60" s="248"/>
      <c r="V60" s="248"/>
      <c r="W60" s="248"/>
      <c r="X60" s="248"/>
      <c r="Y60" s="248"/>
      <c r="Z60" s="248"/>
      <c r="AA60" s="248"/>
      <c r="AB60" s="248"/>
      <c r="AC60" s="248"/>
      <c r="AD60" s="248"/>
      <c r="AE60" s="248"/>
      <c r="AF60" s="248"/>
      <c r="AG60" s="248"/>
      <c r="AH60" s="248"/>
      <c r="AJ60" s="266">
        <v>475</v>
      </c>
      <c r="AK60" s="160" t="s">
        <v>974</v>
      </c>
      <c r="AL60" s="267">
        <v>2</v>
      </c>
      <c r="AM60" s="267">
        <v>476</v>
      </c>
      <c r="AN60" s="267" t="s">
        <v>420</v>
      </c>
      <c r="AO60" s="266">
        <v>58</v>
      </c>
      <c r="AP60" s="242">
        <v>12</v>
      </c>
    </row>
    <row r="61" spans="1:42" ht="15.75" customHeight="1" thickBot="1">
      <c r="A61" s="248"/>
      <c r="B61" s="248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248"/>
      <c r="P61" s="248"/>
      <c r="Q61" s="248"/>
      <c r="R61" s="248"/>
      <c r="S61" s="248"/>
      <c r="T61" s="248"/>
      <c r="U61" s="248"/>
      <c r="V61" s="248"/>
      <c r="W61" s="248"/>
      <c r="X61" s="248"/>
      <c r="Y61" s="248"/>
      <c r="Z61" s="248"/>
      <c r="AA61" s="248"/>
      <c r="AB61" s="248"/>
      <c r="AC61" s="248"/>
      <c r="AD61" s="248"/>
      <c r="AE61" s="248"/>
      <c r="AF61" s="248"/>
      <c r="AG61" s="248"/>
      <c r="AH61" s="248"/>
      <c r="AJ61" s="266">
        <v>500</v>
      </c>
      <c r="AK61" s="160" t="s">
        <v>855</v>
      </c>
      <c r="AL61" s="267">
        <v>2</v>
      </c>
      <c r="AM61" s="267">
        <v>490</v>
      </c>
      <c r="AN61" s="267" t="s">
        <v>25</v>
      </c>
      <c r="AO61" s="266">
        <v>58</v>
      </c>
      <c r="AP61" s="242">
        <v>12</v>
      </c>
    </row>
    <row r="62" spans="1:42" ht="15.75" customHeight="1" thickBot="1">
      <c r="A62" s="248"/>
      <c r="B62" s="248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248"/>
      <c r="P62" s="248"/>
      <c r="Q62" s="248"/>
      <c r="R62" s="248"/>
      <c r="S62" s="248"/>
      <c r="T62" s="248"/>
      <c r="U62" s="248"/>
      <c r="V62" s="248"/>
      <c r="W62" s="248"/>
      <c r="X62" s="248"/>
      <c r="Y62" s="248"/>
      <c r="Z62" s="248"/>
      <c r="AA62" s="248"/>
      <c r="AB62" s="248"/>
      <c r="AC62" s="248"/>
      <c r="AD62" s="248"/>
      <c r="AE62" s="248"/>
      <c r="AF62" s="248"/>
      <c r="AG62" s="248"/>
      <c r="AH62" s="248"/>
      <c r="AJ62" s="266">
        <v>525</v>
      </c>
      <c r="AK62" s="160" t="s">
        <v>974</v>
      </c>
      <c r="AL62" s="267">
        <v>2</v>
      </c>
      <c r="AM62" s="267">
        <v>518</v>
      </c>
      <c r="AN62" s="267" t="s">
        <v>420</v>
      </c>
      <c r="AO62" s="266">
        <v>58</v>
      </c>
      <c r="AP62" s="242">
        <v>12</v>
      </c>
    </row>
    <row r="63" spans="1:42" ht="15.75" customHeight="1" thickBot="1">
      <c r="A63" s="248"/>
      <c r="B63" s="248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248"/>
      <c r="P63" s="248"/>
      <c r="Q63" s="248"/>
      <c r="R63" s="248"/>
      <c r="S63" s="248"/>
      <c r="T63" s="248"/>
      <c r="U63" s="248"/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J63" s="266">
        <v>570</v>
      </c>
      <c r="AK63" s="160" t="s">
        <v>860</v>
      </c>
      <c r="AL63" s="267">
        <v>2</v>
      </c>
      <c r="AM63" s="267">
        <v>546</v>
      </c>
      <c r="AN63" s="267" t="s">
        <v>125</v>
      </c>
      <c r="AO63" s="266">
        <v>58</v>
      </c>
      <c r="AP63" s="242">
        <v>12</v>
      </c>
    </row>
    <row r="64" spans="1:42" ht="15.75" customHeight="1" thickBot="1">
      <c r="A64" s="248"/>
      <c r="B64" s="248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248"/>
      <c r="P64" s="248"/>
      <c r="Q64" s="248"/>
      <c r="R64" s="248"/>
      <c r="S64" s="248"/>
      <c r="T64" s="248"/>
      <c r="U64" s="248"/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J64" s="266">
        <v>600</v>
      </c>
      <c r="AK64" s="160" t="s">
        <v>871</v>
      </c>
      <c r="AL64" s="267">
        <v>2</v>
      </c>
      <c r="AM64" s="267">
        <v>592</v>
      </c>
      <c r="AN64" s="267" t="s">
        <v>124</v>
      </c>
      <c r="AO64" s="266">
        <v>58</v>
      </c>
      <c r="AP64" s="242">
        <v>12</v>
      </c>
    </row>
    <row r="65" spans="22:58" ht="15.75" customHeight="1" thickBot="1"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J65" s="266">
        <v>680</v>
      </c>
      <c r="AK65" s="267" t="s">
        <v>882</v>
      </c>
      <c r="AL65" s="267">
        <v>2</v>
      </c>
      <c r="AM65" s="267">
        <v>670</v>
      </c>
      <c r="AN65" s="267" t="s">
        <v>125</v>
      </c>
      <c r="AO65" s="268">
        <v>91</v>
      </c>
      <c r="AP65" s="242">
        <v>12</v>
      </c>
    </row>
    <row r="66" spans="22:58" ht="15.75" customHeight="1" thickBot="1">
      <c r="V66" s="248"/>
      <c r="W66" s="248"/>
      <c r="X66" s="248"/>
      <c r="Y66" s="248"/>
      <c r="Z66" s="248"/>
      <c r="AA66" s="248"/>
      <c r="AB66" s="248"/>
      <c r="AC66" s="248"/>
      <c r="AD66" s="248"/>
      <c r="AE66" s="248"/>
      <c r="AF66" s="248"/>
      <c r="AG66" s="248"/>
      <c r="AH66" s="248"/>
      <c r="AJ66" s="263">
        <v>775</v>
      </c>
      <c r="AK66" s="270" t="s">
        <v>894</v>
      </c>
      <c r="AL66" s="270">
        <v>2</v>
      </c>
      <c r="AM66" s="270">
        <v>911</v>
      </c>
      <c r="AN66" s="270" t="s">
        <v>124</v>
      </c>
      <c r="AO66" s="271">
        <v>91</v>
      </c>
      <c r="AP66" s="242">
        <v>12</v>
      </c>
    </row>
    <row r="67" spans="22:58" ht="15.75" customHeight="1" thickTop="1"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</row>
    <row r="68" spans="22:58" ht="15.75" customHeight="1">
      <c r="V68" s="248"/>
      <c r="W68" s="248"/>
      <c r="X68" s="248"/>
      <c r="Y68" s="248"/>
      <c r="Z68" s="248"/>
      <c r="AA68" s="248"/>
      <c r="AB68" s="248"/>
      <c r="AC68" s="248"/>
      <c r="AD68" s="248"/>
      <c r="AE68" s="248"/>
      <c r="AF68" s="248"/>
      <c r="AG68" s="248"/>
      <c r="AH68" s="248"/>
    </row>
    <row r="69" spans="22:58" ht="15.75" customHeight="1">
      <c r="V69" s="248"/>
      <c r="W69" s="248"/>
      <c r="X69" s="248"/>
      <c r="Y69" s="248"/>
      <c r="Z69" s="248"/>
      <c r="AA69" s="248"/>
      <c r="AB69" s="248"/>
      <c r="AC69" s="248"/>
      <c r="AD69" s="248"/>
      <c r="AE69" s="248"/>
      <c r="AF69" s="248"/>
      <c r="AG69" s="248"/>
      <c r="AH69" s="248"/>
    </row>
    <row r="70" spans="22:58" ht="15.75" customHeight="1">
      <c r="V70" s="248"/>
      <c r="W70" s="248"/>
      <c r="X70" s="248"/>
      <c r="Y70" s="248"/>
      <c r="Z70" s="248"/>
      <c r="AA70" s="248"/>
      <c r="AB70" s="248"/>
      <c r="AC70" s="248"/>
      <c r="AD70" s="248"/>
      <c r="AE70" s="248"/>
      <c r="AF70" s="248"/>
      <c r="AG70" s="248"/>
      <c r="AH70" s="248"/>
    </row>
    <row r="71" spans="22:58" ht="15.75" customHeight="1"/>
    <row r="72" spans="22:58" ht="15.75" customHeight="1"/>
    <row r="73" spans="22:58" s="87" customFormat="1" ht="12.75">
      <c r="BE73"/>
      <c r="BF73"/>
    </row>
    <row r="74" spans="22:58" ht="15.75" customHeight="1"/>
    <row r="75" spans="22:58" ht="15.75" customHeight="1"/>
    <row r="76" spans="22:58" ht="15.75" customHeight="1"/>
    <row r="77" spans="22:58" ht="15.75" customHeight="1"/>
    <row r="78" spans="22:58" ht="15.75" customHeight="1"/>
    <row r="79" spans="22:58" ht="15.75" customHeight="1"/>
    <row r="80" spans="22:58" ht="15.75" customHeight="1"/>
    <row r="81" spans="1:58" ht="15.75" customHeight="1"/>
    <row r="82" spans="1:58" ht="15.75" customHeight="1"/>
    <row r="83" spans="1:58" ht="15.75" customHeight="1"/>
    <row r="84" spans="1:58" ht="15.75" customHeight="1"/>
    <row r="85" spans="1:58" ht="15.75" customHeight="1"/>
    <row r="86" spans="1:58" ht="15.75" customHeight="1"/>
    <row r="87" spans="1:58" ht="15.75" customHeight="1"/>
    <row r="88" spans="1:58" ht="15.75" customHeight="1"/>
    <row r="89" spans="1:58" ht="15.75" customHeight="1"/>
    <row r="90" spans="1:58" s="87" customFormat="1">
      <c r="AS90" s="240"/>
      <c r="AT90"/>
      <c r="AU90"/>
      <c r="AV90"/>
      <c r="AW90"/>
      <c r="AX90"/>
      <c r="AY90"/>
      <c r="AZ90"/>
      <c r="BA90"/>
      <c r="BB90"/>
      <c r="BC90"/>
      <c r="BD90" s="240"/>
      <c r="BE90"/>
      <c r="BF90"/>
    </row>
    <row r="91" spans="1:58" ht="15.75" customHeight="1"/>
    <row r="92" spans="1:58" ht="15.75" customHeight="1"/>
    <row r="93" spans="1:58" ht="15.75" customHeight="1"/>
    <row r="94" spans="1:58" ht="15.75" customHeight="1">
      <c r="A94" s="248"/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8"/>
      <c r="P94" s="248"/>
      <c r="Q94" s="248"/>
      <c r="R94" s="248"/>
      <c r="S94" s="248"/>
      <c r="T94" s="248"/>
      <c r="U94" s="248"/>
    </row>
    <row r="95" spans="1:58" ht="15.75" customHeight="1">
      <c r="A95" s="248"/>
      <c r="B95" s="248"/>
      <c r="C95" s="248"/>
      <c r="D95" s="248"/>
      <c r="E95" s="248"/>
      <c r="F95" s="248"/>
      <c r="G95" s="248"/>
      <c r="H95" s="248"/>
      <c r="I95" s="248"/>
      <c r="J95" s="248"/>
      <c r="K95" s="248"/>
      <c r="L95" s="248"/>
      <c r="M95" s="248"/>
      <c r="N95" s="248"/>
      <c r="O95" s="248"/>
      <c r="P95" s="248"/>
      <c r="Q95" s="248"/>
      <c r="R95" s="248"/>
      <c r="S95" s="248"/>
      <c r="T95" s="248"/>
      <c r="U95" s="248"/>
    </row>
    <row r="96" spans="1:58" ht="15.75" customHeight="1">
      <c r="A96" s="248"/>
      <c r="B96" s="248"/>
      <c r="C96" s="248"/>
      <c r="D96" s="248"/>
      <c r="E96" s="248"/>
      <c r="F96" s="248"/>
      <c r="G96" s="248"/>
      <c r="H96" s="248"/>
      <c r="I96" s="248"/>
      <c r="J96" s="248"/>
      <c r="K96" s="248"/>
      <c r="L96" s="248"/>
      <c r="M96" s="248"/>
      <c r="N96" s="248"/>
      <c r="O96" s="248"/>
      <c r="P96" s="248"/>
      <c r="Q96" s="248"/>
      <c r="R96" s="248"/>
      <c r="S96" s="248"/>
      <c r="T96" s="248"/>
      <c r="U96" s="248"/>
    </row>
    <row r="97" spans="1:42" ht="15.75" customHeight="1">
      <c r="A97" s="248"/>
      <c r="B97" s="248"/>
      <c r="C97" s="248"/>
      <c r="D97" s="248"/>
      <c r="E97" s="248"/>
      <c r="F97" s="248"/>
      <c r="G97" s="248"/>
      <c r="H97" s="248"/>
      <c r="I97" s="248"/>
      <c r="J97" s="248"/>
      <c r="K97" s="248"/>
      <c r="L97" s="248"/>
      <c r="M97" s="248"/>
      <c r="N97" s="248"/>
      <c r="O97" s="248"/>
      <c r="P97" s="248"/>
      <c r="Q97" s="248"/>
      <c r="R97" s="248"/>
      <c r="S97" s="248"/>
      <c r="T97" s="248"/>
      <c r="U97" s="248"/>
    </row>
    <row r="98" spans="1:42" ht="15.75" customHeight="1">
      <c r="A98" s="248"/>
      <c r="B98" s="248"/>
      <c r="C98" s="248"/>
      <c r="D98" s="248"/>
      <c r="E98" s="248"/>
      <c r="F98" s="248"/>
      <c r="G98" s="248"/>
      <c r="H98" s="248"/>
      <c r="I98" s="248"/>
      <c r="J98" s="248"/>
      <c r="K98" s="248"/>
      <c r="L98" s="248"/>
      <c r="M98" s="248"/>
      <c r="N98" s="248"/>
      <c r="O98" s="248"/>
      <c r="P98" s="248"/>
      <c r="Q98" s="248"/>
      <c r="R98" s="248"/>
      <c r="S98" s="248"/>
      <c r="T98" s="248"/>
      <c r="U98" s="248"/>
    </row>
    <row r="99" spans="1:42" ht="15.75" customHeight="1">
      <c r="A99" s="248"/>
      <c r="B99" s="248"/>
      <c r="C99" s="248"/>
      <c r="D99" s="248"/>
      <c r="E99" s="248"/>
      <c r="F99" s="248"/>
      <c r="G99" s="248"/>
      <c r="H99" s="248"/>
      <c r="I99" s="248"/>
      <c r="J99" s="248"/>
      <c r="K99" s="248"/>
      <c r="L99" s="248"/>
      <c r="M99" s="248"/>
      <c r="N99" s="248"/>
      <c r="O99" s="248"/>
      <c r="P99" s="248"/>
      <c r="Q99" s="248"/>
      <c r="R99" s="248"/>
      <c r="S99" s="248"/>
      <c r="T99" s="248"/>
      <c r="U99" s="248"/>
    </row>
    <row r="100" spans="1:42" ht="15.75" customHeight="1">
      <c r="A100" s="248"/>
      <c r="B100" s="248"/>
      <c r="C100" s="248"/>
      <c r="D100" s="248"/>
      <c r="E100" s="248"/>
      <c r="F100" s="248"/>
      <c r="G100" s="248"/>
      <c r="H100" s="248"/>
      <c r="I100" s="248"/>
      <c r="J100" s="248"/>
      <c r="K100" s="248"/>
      <c r="L100" s="248"/>
      <c r="M100" s="248"/>
      <c r="N100" s="248"/>
      <c r="O100" s="248"/>
      <c r="P100" s="248"/>
      <c r="Q100" s="248"/>
      <c r="R100" s="248"/>
      <c r="S100" s="248"/>
      <c r="T100" s="248"/>
      <c r="U100" s="248"/>
    </row>
    <row r="101" spans="1:42" ht="15.75" customHeight="1">
      <c r="A101" s="248"/>
      <c r="B101" s="248"/>
      <c r="C101" s="248"/>
      <c r="D101" s="248"/>
      <c r="E101" s="248"/>
      <c r="F101" s="248"/>
      <c r="G101" s="248"/>
      <c r="H101" s="248"/>
      <c r="I101" s="248"/>
      <c r="J101" s="248"/>
      <c r="K101" s="248"/>
      <c r="L101" s="248"/>
      <c r="M101" s="248"/>
      <c r="N101" s="248"/>
      <c r="O101" s="248"/>
      <c r="P101" s="248"/>
      <c r="Q101" s="248"/>
      <c r="R101" s="248"/>
      <c r="S101" s="248"/>
      <c r="T101" s="248"/>
      <c r="U101" s="248"/>
    </row>
    <row r="102" spans="1:42" ht="15.75" customHeight="1">
      <c r="A102" s="248"/>
      <c r="B102" s="248"/>
      <c r="C102" s="248"/>
      <c r="D102" s="248"/>
      <c r="E102" s="248"/>
      <c r="F102" s="248"/>
      <c r="G102" s="248"/>
      <c r="H102" s="248"/>
      <c r="I102" s="248"/>
      <c r="J102" s="248"/>
      <c r="K102" s="248"/>
      <c r="L102" s="248"/>
      <c r="M102" s="248"/>
      <c r="N102" s="248"/>
      <c r="O102" s="248"/>
      <c r="P102" s="248"/>
      <c r="Q102" s="248"/>
      <c r="R102" s="248"/>
      <c r="S102" s="248"/>
      <c r="T102" s="248"/>
      <c r="U102" s="248"/>
    </row>
    <row r="103" spans="1:42" ht="15.75" customHeight="1">
      <c r="A103" s="248"/>
      <c r="B103" s="248"/>
      <c r="C103" s="248"/>
      <c r="D103" s="248"/>
      <c r="E103" s="248"/>
      <c r="F103" s="248"/>
      <c r="G103" s="248"/>
      <c r="H103" s="248"/>
      <c r="I103" s="248"/>
      <c r="J103" s="248"/>
      <c r="K103" s="248"/>
      <c r="L103" s="248"/>
      <c r="M103" s="248"/>
      <c r="N103" s="248"/>
      <c r="O103" s="248"/>
      <c r="P103" s="248"/>
      <c r="Q103" s="248"/>
      <c r="R103" s="248"/>
      <c r="S103" s="248"/>
      <c r="T103" s="248"/>
      <c r="U103" s="248"/>
    </row>
    <row r="104" spans="1:42" ht="15.75" customHeight="1">
      <c r="A104" s="248"/>
      <c r="B104" s="248"/>
      <c r="C104" s="248"/>
      <c r="D104" s="248"/>
      <c r="E104" s="248"/>
      <c r="F104" s="248"/>
      <c r="G104" s="248"/>
      <c r="H104" s="248"/>
      <c r="I104" s="248"/>
      <c r="J104" s="248"/>
      <c r="K104" s="248"/>
      <c r="L104" s="248"/>
      <c r="M104" s="248"/>
      <c r="N104" s="248"/>
      <c r="O104" s="248"/>
      <c r="P104" s="248"/>
      <c r="Q104" s="248"/>
      <c r="R104" s="248"/>
      <c r="S104" s="248"/>
      <c r="T104" s="248"/>
      <c r="U104" s="248"/>
    </row>
    <row r="105" spans="1:42" ht="15.75" customHeight="1">
      <c r="A105" s="248"/>
      <c r="B105" s="248"/>
      <c r="C105" s="248"/>
      <c r="D105" s="248"/>
      <c r="E105" s="248"/>
      <c r="F105" s="248"/>
      <c r="G105" s="248"/>
      <c r="H105" s="248"/>
      <c r="I105" s="248"/>
      <c r="J105" s="248"/>
      <c r="K105" s="248"/>
      <c r="L105" s="248"/>
      <c r="M105" s="248"/>
      <c r="N105" s="248"/>
      <c r="O105" s="248"/>
      <c r="P105" s="248"/>
      <c r="Q105" s="248"/>
      <c r="R105" s="248"/>
      <c r="S105" s="248"/>
      <c r="T105" s="248"/>
      <c r="U105" s="248"/>
    </row>
    <row r="106" spans="1:42" ht="15.75" customHeight="1">
      <c r="A106" s="248"/>
      <c r="B106" s="248"/>
      <c r="C106" s="248"/>
      <c r="D106" s="248"/>
      <c r="E106" s="248"/>
      <c r="F106" s="248"/>
      <c r="G106" s="248"/>
      <c r="H106" s="248"/>
      <c r="I106" s="248"/>
      <c r="J106" s="248"/>
      <c r="K106" s="248"/>
      <c r="L106" s="248"/>
      <c r="M106" s="248"/>
      <c r="N106" s="248"/>
      <c r="O106" s="248"/>
      <c r="P106" s="248"/>
      <c r="Q106" s="248"/>
      <c r="R106" s="248"/>
      <c r="S106" s="248"/>
      <c r="T106" s="248"/>
      <c r="U106" s="248"/>
    </row>
    <row r="107" spans="1:42" ht="15.75" customHeight="1">
      <c r="A107" s="248"/>
      <c r="B107" s="248"/>
      <c r="C107" s="248"/>
      <c r="D107" s="248"/>
      <c r="E107" s="248"/>
      <c r="F107" s="248"/>
      <c r="G107" s="248"/>
      <c r="H107" s="248"/>
      <c r="I107" s="248"/>
      <c r="J107" s="248"/>
      <c r="K107" s="248"/>
      <c r="L107" s="248"/>
      <c r="M107" s="248"/>
      <c r="N107" s="248"/>
      <c r="O107" s="248"/>
      <c r="P107" s="248"/>
      <c r="Q107" s="248"/>
      <c r="R107" s="248"/>
      <c r="S107" s="248"/>
      <c r="T107" s="248"/>
      <c r="U107" s="248"/>
    </row>
    <row r="108" spans="1:42" ht="15.75" customHeight="1" thickBot="1">
      <c r="A108" s="248"/>
      <c r="B108" s="248"/>
      <c r="C108" s="248"/>
      <c r="D108" s="248"/>
      <c r="E108" s="248"/>
      <c r="F108" s="248"/>
      <c r="G108" s="248"/>
      <c r="H108" s="248"/>
      <c r="I108" s="248"/>
      <c r="J108" s="248"/>
      <c r="K108" s="248"/>
      <c r="L108" s="248"/>
      <c r="M108" s="248"/>
      <c r="N108" s="248"/>
      <c r="O108" s="248"/>
      <c r="P108" s="248"/>
      <c r="Q108" s="248"/>
      <c r="R108" s="248"/>
      <c r="S108" s="248"/>
      <c r="T108" s="248"/>
      <c r="U108" s="248"/>
    </row>
    <row r="109" spans="1:42" ht="15.75" customHeight="1">
      <c r="A109" s="248"/>
      <c r="B109" s="248"/>
      <c r="C109" s="248"/>
      <c r="D109" s="248"/>
      <c r="E109" s="248"/>
      <c r="F109" s="248"/>
      <c r="G109" s="248"/>
      <c r="H109" s="248"/>
      <c r="I109" s="248"/>
      <c r="J109" s="248"/>
      <c r="K109" s="248"/>
      <c r="L109" s="248"/>
      <c r="M109" s="248"/>
      <c r="N109" s="248"/>
      <c r="O109" s="248"/>
      <c r="P109" s="248"/>
      <c r="Q109" s="248"/>
      <c r="R109" s="248"/>
      <c r="S109" s="248"/>
      <c r="T109" s="248"/>
      <c r="U109" s="248"/>
      <c r="AB109" s="464" t="s">
        <v>435</v>
      </c>
      <c r="AC109" s="465"/>
      <c r="AD109" s="466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9"/>
      <c r="AO109" s="433"/>
      <c r="AP109" s="433"/>
    </row>
    <row r="110" spans="1:42" ht="15.75" customHeight="1" thickBot="1">
      <c r="A110" s="248"/>
      <c r="B110" s="248"/>
      <c r="C110" s="248"/>
      <c r="D110" s="248"/>
      <c r="E110" s="248"/>
      <c r="F110" s="248"/>
      <c r="G110" s="248"/>
      <c r="H110" s="248"/>
      <c r="I110" s="248"/>
      <c r="J110" s="248"/>
      <c r="K110" s="248"/>
      <c r="L110" s="248"/>
      <c r="M110" s="248"/>
      <c r="N110" s="248"/>
      <c r="O110" s="248"/>
      <c r="P110" s="248"/>
      <c r="Q110" s="248"/>
      <c r="R110" s="248"/>
      <c r="S110" s="248"/>
      <c r="T110" s="248"/>
      <c r="U110" s="248"/>
      <c r="AB110" s="467"/>
      <c r="AC110" s="468"/>
      <c r="AD110" s="469"/>
      <c r="AE110" s="433"/>
      <c r="AF110" s="433"/>
      <c r="AG110" s="433"/>
      <c r="AH110" s="433"/>
      <c r="AI110" s="433"/>
      <c r="AJ110" s="433"/>
      <c r="AK110" s="433"/>
      <c r="AL110" s="478"/>
      <c r="AM110" s="433"/>
      <c r="AN110" s="280"/>
      <c r="AO110" s="433"/>
      <c r="AP110" s="433"/>
    </row>
    <row r="111" spans="1:42" ht="15.75" customHeight="1" thickBot="1">
      <c r="A111" s="248"/>
      <c r="B111" s="248"/>
      <c r="C111" s="248"/>
      <c r="D111" s="248"/>
      <c r="E111" s="248"/>
      <c r="F111" s="248"/>
      <c r="G111" s="248"/>
      <c r="H111" s="248"/>
      <c r="I111" s="248"/>
      <c r="J111" s="248"/>
      <c r="K111" s="248"/>
      <c r="L111" s="248"/>
      <c r="M111" s="248"/>
      <c r="N111" s="248"/>
      <c r="O111" s="248"/>
      <c r="P111" s="248"/>
      <c r="Q111" s="248"/>
      <c r="R111" s="248"/>
      <c r="S111" s="248"/>
      <c r="T111" s="248"/>
      <c r="U111" s="248"/>
      <c r="AB111" s="457" t="s">
        <v>436</v>
      </c>
      <c r="AC111" s="460" t="s">
        <v>437</v>
      </c>
      <c r="AD111" s="457" t="s">
        <v>438</v>
      </c>
      <c r="AE111" s="457" t="s">
        <v>439</v>
      </c>
      <c r="AF111" s="460" t="s">
        <v>440</v>
      </c>
      <c r="AG111" s="460" t="s">
        <v>441</v>
      </c>
      <c r="AH111" s="460" t="s">
        <v>442</v>
      </c>
      <c r="AI111" s="462" t="s">
        <v>18</v>
      </c>
      <c r="AJ111" s="463"/>
      <c r="AK111" s="462" t="s">
        <v>19</v>
      </c>
      <c r="AL111" s="463"/>
      <c r="AM111" s="457" t="s">
        <v>443</v>
      </c>
      <c r="AN111" s="280"/>
      <c r="AO111" s="433"/>
      <c r="AP111" s="433"/>
    </row>
    <row r="112" spans="1:42" customFormat="1" ht="15.75" thickBot="1">
      <c r="A112" s="248"/>
      <c r="B112" s="248"/>
      <c r="C112" s="248"/>
      <c r="D112" s="248"/>
      <c r="E112" s="248"/>
      <c r="F112" s="248"/>
      <c r="G112" s="248"/>
      <c r="H112" s="248"/>
      <c r="I112" s="248"/>
      <c r="J112" s="248"/>
      <c r="K112" s="248"/>
      <c r="L112" s="248"/>
      <c r="M112" s="248"/>
      <c r="N112" s="248"/>
      <c r="O112" s="248"/>
      <c r="P112" s="248"/>
      <c r="Q112" s="248"/>
      <c r="R112" s="248"/>
      <c r="S112" s="248"/>
      <c r="T112" s="248"/>
      <c r="U112" s="248"/>
      <c r="W112" s="254"/>
      <c r="X112" s="242"/>
      <c r="AB112" s="458"/>
      <c r="AC112" s="461"/>
      <c r="AD112" s="458"/>
      <c r="AE112" s="458"/>
      <c r="AF112" s="461"/>
      <c r="AG112" s="461"/>
      <c r="AH112" s="461"/>
      <c r="AI112" s="281" t="s">
        <v>444</v>
      </c>
      <c r="AJ112" s="282" t="s">
        <v>445</v>
      </c>
      <c r="AK112" s="282" t="s">
        <v>446</v>
      </c>
      <c r="AL112" s="282" t="s">
        <v>447</v>
      </c>
      <c r="AM112" s="458"/>
      <c r="AN112" s="280"/>
      <c r="AO112" s="433"/>
      <c r="AP112" s="433"/>
    </row>
    <row r="113" spans="1:43" customFormat="1" ht="15.75" thickBot="1">
      <c r="A113" s="248"/>
      <c r="B113" s="248"/>
      <c r="C113" s="248"/>
      <c r="D113" s="248"/>
      <c r="E113" s="248"/>
      <c r="F113" s="248"/>
      <c r="G113" s="248"/>
      <c r="H113" s="248"/>
      <c r="I113" s="248"/>
      <c r="J113" s="248"/>
      <c r="K113" s="248"/>
      <c r="L113" s="248"/>
      <c r="M113" s="248"/>
      <c r="N113" s="248"/>
      <c r="O113" s="248"/>
      <c r="P113" s="248"/>
      <c r="Q113" s="248"/>
      <c r="R113" s="248"/>
      <c r="S113" s="248"/>
      <c r="T113" s="248"/>
      <c r="U113" s="248"/>
      <c r="W113" s="254"/>
      <c r="X113" s="242"/>
      <c r="AB113" s="283">
        <f>(AE113/AF113)</f>
        <v>4.6923003248385164</v>
      </c>
      <c r="AC113" s="284">
        <f>AF113/AD113</f>
        <v>0.74952576700661977</v>
      </c>
      <c r="AD113" s="285">
        <f>AG14</f>
        <v>169.32023925700798</v>
      </c>
      <c r="AE113" s="285">
        <f>(AD113*3.517)</f>
        <v>595.49928146689706</v>
      </c>
      <c r="AF113" s="285">
        <f>AG15</f>
        <v>126.90988219885328</v>
      </c>
      <c r="AG113" s="286">
        <f>AG9</f>
        <v>3.6898822608138011</v>
      </c>
      <c r="AH113" s="286">
        <f>AG10</f>
        <v>38.447242674462807</v>
      </c>
      <c r="AI113" s="287">
        <v>15</v>
      </c>
      <c r="AJ113" s="374">
        <f>'Input data'!F12</f>
        <v>7</v>
      </c>
      <c r="AK113" s="288">
        <v>36</v>
      </c>
      <c r="AL113" s="285">
        <f>'Input data'!J12</f>
        <v>30</v>
      </c>
      <c r="AM113" s="289">
        <v>1</v>
      </c>
      <c r="AN113" s="280"/>
      <c r="AO113" s="433"/>
      <c r="AP113" s="433"/>
    </row>
    <row r="114" spans="1:43" customFormat="1" ht="15.75" thickBot="1">
      <c r="A114" s="248"/>
      <c r="B114" s="248"/>
      <c r="C114" s="248"/>
      <c r="D114" s="248"/>
      <c r="E114" s="248"/>
      <c r="F114" s="248"/>
      <c r="G114" s="248"/>
      <c r="H114" s="248"/>
      <c r="I114" s="248"/>
      <c r="J114" s="248"/>
      <c r="K114" s="248"/>
      <c r="L114" s="248"/>
      <c r="M114" s="248"/>
      <c r="N114" s="248"/>
      <c r="O114" s="248"/>
      <c r="P114" s="248"/>
      <c r="Q114" s="248"/>
      <c r="R114" s="248"/>
      <c r="S114" s="248"/>
      <c r="T114" s="248"/>
      <c r="U114" s="248"/>
      <c r="W114" s="254"/>
      <c r="X114" s="242"/>
      <c r="AB114" s="290">
        <f>(AE114/AF114)</f>
        <v>4.0259856454755836</v>
      </c>
      <c r="AC114" s="284">
        <f>AF114/AD114</f>
        <v>0.87357489810039846</v>
      </c>
      <c r="AD114" s="291">
        <f>(AD113*AM114)</f>
        <v>126.99017944275599</v>
      </c>
      <c r="AE114" s="285">
        <f t="shared" ref="AE114:AE116" si="2">(AD114*3.517)</f>
        <v>446.62446110017282</v>
      </c>
      <c r="AF114" s="291">
        <v>110.93543306645688</v>
      </c>
      <c r="AG114" s="292">
        <f>AJ114-(AK119*AM114)</f>
        <v>4.5173138265852293</v>
      </c>
      <c r="AH114" s="291">
        <f>(AK114+(AL119*AM114))</f>
        <v>31.585522554985058</v>
      </c>
      <c r="AI114" s="292">
        <f>AJ114+(AK122*AM114)</f>
        <v>13</v>
      </c>
      <c r="AJ114" s="375">
        <f>AJ113</f>
        <v>7</v>
      </c>
      <c r="AK114" s="293">
        <f>AL114+(AM114*AL122)</f>
        <v>29</v>
      </c>
      <c r="AL114" s="294">
        <f>(2*(AL113-19)*(AM114-0.5))+19</f>
        <v>24.5</v>
      </c>
      <c r="AM114" s="295">
        <v>0.75</v>
      </c>
      <c r="AN114" s="280"/>
      <c r="AO114" s="433"/>
      <c r="AP114" s="433"/>
    </row>
    <row r="115" spans="1:43" customFormat="1" ht="15.75" customHeight="1" thickBot="1">
      <c r="A115" s="248"/>
      <c r="B115" s="248"/>
      <c r="C115" s="248"/>
      <c r="D115" s="248"/>
      <c r="E115" s="248"/>
      <c r="F115" s="248"/>
      <c r="G115" s="248"/>
      <c r="H115" s="248"/>
      <c r="I115" s="248"/>
      <c r="J115" s="248"/>
      <c r="K115" s="248"/>
      <c r="L115" s="248"/>
      <c r="M115" s="248"/>
      <c r="N115" s="248"/>
      <c r="O115" s="248"/>
      <c r="P115" s="248"/>
      <c r="Q115" s="248"/>
      <c r="R115" s="248"/>
      <c r="S115" s="248"/>
      <c r="T115" s="248"/>
      <c r="U115" s="248"/>
      <c r="W115" s="254"/>
      <c r="X115" s="242"/>
      <c r="AB115" s="290">
        <f>(AE115/AF115)</f>
        <v>6.8178359191463116</v>
      </c>
      <c r="AC115" s="284">
        <f>AF115/AD115</f>
        <v>0.51585283683981309</v>
      </c>
      <c r="AD115" s="291">
        <f>(AD113*AM115)</f>
        <v>84.660119628503992</v>
      </c>
      <c r="AE115" s="285">
        <f t="shared" si="2"/>
        <v>297.74964073344853</v>
      </c>
      <c r="AF115" s="291">
        <v>43.672162877561732</v>
      </c>
      <c r="AG115" s="292">
        <f>AJ115-(AK119*AM115)</f>
        <v>5.3448758843901532</v>
      </c>
      <c r="AH115" s="291">
        <f>(AK115+(AL119*AM115))</f>
        <v>23.723681703323372</v>
      </c>
      <c r="AI115" s="292">
        <f>AJ115+(AK122*AM115)</f>
        <v>11</v>
      </c>
      <c r="AJ115" s="375">
        <f t="shared" ref="AJ115:AJ116" si="3">AJ114</f>
        <v>7</v>
      </c>
      <c r="AK115" s="293">
        <f>AL115+(AM115*AL122)</f>
        <v>22</v>
      </c>
      <c r="AL115" s="292">
        <f>(2*(AL114-19)*(AM115-1/2))+19</f>
        <v>19</v>
      </c>
      <c r="AM115" s="295">
        <v>0.5</v>
      </c>
      <c r="AN115" s="280"/>
      <c r="AO115" s="433"/>
      <c r="AP115" s="433"/>
    </row>
    <row r="116" spans="1:43" customFormat="1" ht="15.75" customHeight="1" thickBot="1">
      <c r="B116" s="471" t="s">
        <v>1009</v>
      </c>
      <c r="C116" s="471" t="s">
        <v>1010</v>
      </c>
      <c r="D116" s="471" t="s">
        <v>1011</v>
      </c>
      <c r="E116" s="471" t="s">
        <v>1012</v>
      </c>
      <c r="F116" s="471" t="s">
        <v>1013</v>
      </c>
      <c r="G116" s="471" t="s">
        <v>1014</v>
      </c>
      <c r="H116" s="471" t="s">
        <v>1015</v>
      </c>
      <c r="I116" s="471" t="s">
        <v>1016</v>
      </c>
      <c r="J116" s="471" t="s">
        <v>1017</v>
      </c>
      <c r="K116" s="471" t="s">
        <v>1018</v>
      </c>
      <c r="L116" s="471" t="s">
        <v>1019</v>
      </c>
      <c r="M116" s="471" t="s">
        <v>1020</v>
      </c>
      <c r="N116" s="471" t="s">
        <v>1021</v>
      </c>
      <c r="O116" s="471" t="s">
        <v>1022</v>
      </c>
      <c r="P116" s="471" t="s">
        <v>1023</v>
      </c>
      <c r="Q116" s="471" t="s">
        <v>1024</v>
      </c>
      <c r="R116" s="471" t="s">
        <v>1025</v>
      </c>
      <c r="S116" s="471" t="s">
        <v>1026</v>
      </c>
      <c r="T116" s="471" t="s">
        <v>1027</v>
      </c>
      <c r="U116" s="471" t="s">
        <v>1028</v>
      </c>
      <c r="V116" s="471" t="s">
        <v>1029</v>
      </c>
      <c r="W116" s="492"/>
      <c r="X116" s="242"/>
      <c r="AB116" s="296">
        <f>(AE116/AF116)</f>
        <v>3.4611504484396911</v>
      </c>
      <c r="AC116" s="297">
        <f>AF116/AD116</f>
        <v>1.0161361236364304</v>
      </c>
      <c r="AD116" s="298">
        <f>(AD113*AM116)</f>
        <v>42.330059814251996</v>
      </c>
      <c r="AE116" s="285">
        <f t="shared" si="2"/>
        <v>148.87482036672426</v>
      </c>
      <c r="AF116" s="298">
        <v>43.013102892952254</v>
      </c>
      <c r="AG116" s="292">
        <f>AJ116-(AK119*AM116)</f>
        <v>6.1724379421950761</v>
      </c>
      <c r="AH116" s="298">
        <f>(AK116+(AL119*AM116))</f>
        <v>21.361840851661686</v>
      </c>
      <c r="AI116" s="299">
        <f>AJ116+(AK122*AM116)</f>
        <v>9</v>
      </c>
      <c r="AJ116" s="376">
        <f t="shared" si="3"/>
        <v>7</v>
      </c>
      <c r="AK116" s="300">
        <f>AL116+(AM116*AL122)</f>
        <v>20.5</v>
      </c>
      <c r="AL116" s="299">
        <v>19</v>
      </c>
      <c r="AM116" s="301">
        <v>0.25</v>
      </c>
      <c r="AN116" s="280"/>
      <c r="AO116" s="433"/>
      <c r="AP116" s="433"/>
    </row>
    <row r="117" spans="1:43" customFormat="1" ht="27" thickBot="1">
      <c r="B117" s="472" t="s">
        <v>1030</v>
      </c>
      <c r="C117" s="472">
        <v>0.86082000000000003</v>
      </c>
      <c r="D117" s="472">
        <v>-0.17399999999999999</v>
      </c>
      <c r="E117" s="472">
        <v>2.0100000000000001E-4</v>
      </c>
      <c r="F117" s="472">
        <v>-1.31E-3</v>
      </c>
      <c r="G117" s="472">
        <v>4.5100000000000001E-3</v>
      </c>
      <c r="H117" s="472">
        <v>-2.1999999999999999E-5</v>
      </c>
      <c r="I117" s="472">
        <v>-3.7599999999999999E-3</v>
      </c>
      <c r="J117" s="472">
        <v>-0.22700000000000001</v>
      </c>
      <c r="K117" s="472">
        <v>3.8000000000000002E-5</v>
      </c>
      <c r="L117" s="472">
        <v>2.0000000000000002E-5</v>
      </c>
      <c r="M117" s="472">
        <v>1.0850942400000001</v>
      </c>
      <c r="N117" s="472">
        <v>0.77800000000000002</v>
      </c>
      <c r="O117" s="472">
        <v>0</v>
      </c>
      <c r="P117" s="472">
        <v>-5.3000000000000001E-7</v>
      </c>
      <c r="Q117" s="472">
        <v>2.2699999999999999E-3</v>
      </c>
      <c r="R117" s="472">
        <v>0</v>
      </c>
      <c r="S117" s="472">
        <v>-2.2399999999999998E-3</v>
      </c>
      <c r="T117" s="472">
        <v>0.69199999999999995</v>
      </c>
      <c r="U117" s="472">
        <v>0</v>
      </c>
      <c r="V117" s="472">
        <v>1E-8</v>
      </c>
      <c r="W117" s="492"/>
      <c r="X117" s="242"/>
      <c r="AB117" s="302" t="s">
        <v>448</v>
      </c>
      <c r="AC117" s="303">
        <f>(1/((0.01/AC113)+(0.42/AC114)+(0.45/AC115)+(0.12/AC116)))</f>
        <v>0.67359978495737538</v>
      </c>
      <c r="AD117" s="459"/>
      <c r="AE117" s="433"/>
      <c r="AF117" s="459"/>
      <c r="AG117" s="459"/>
      <c r="AH117" s="459"/>
      <c r="AI117" s="459"/>
      <c r="AJ117" s="459"/>
      <c r="AK117" s="459"/>
      <c r="AL117" s="480"/>
      <c r="AM117" s="459"/>
      <c r="AN117" s="280"/>
      <c r="AO117" s="433"/>
      <c r="AP117" s="433"/>
    </row>
    <row r="118" spans="1:43" customFormat="1" ht="15.75" thickBot="1">
      <c r="B118" s="470"/>
      <c r="C118" s="492"/>
      <c r="D118" s="492"/>
      <c r="E118" s="492"/>
      <c r="F118" s="492"/>
      <c r="G118" s="492"/>
      <c r="H118" s="492"/>
      <c r="I118" s="492"/>
      <c r="J118" s="492"/>
      <c r="K118" s="492"/>
      <c r="L118" s="492"/>
      <c r="M118" s="492"/>
      <c r="N118" s="492"/>
      <c r="O118" s="492"/>
      <c r="P118" s="492"/>
      <c r="Q118" s="492"/>
      <c r="R118" s="492"/>
      <c r="S118" s="492"/>
      <c r="T118" s="492"/>
      <c r="U118" s="492"/>
      <c r="V118" s="492"/>
      <c r="W118" s="492"/>
      <c r="X118" s="242"/>
      <c r="AB118" s="304"/>
      <c r="AC118" s="433"/>
      <c r="AD118" s="433"/>
      <c r="AE118" s="433"/>
      <c r="AF118" s="305" t="s">
        <v>449</v>
      </c>
      <c r="AG118" s="306" t="s">
        <v>450</v>
      </c>
      <c r="AH118" s="433"/>
      <c r="AI118" s="433"/>
      <c r="AJ118" s="433"/>
      <c r="AK118" s="307" t="s">
        <v>451</v>
      </c>
      <c r="AL118" s="307" t="s">
        <v>452</v>
      </c>
      <c r="AM118" s="433"/>
      <c r="AN118" s="280"/>
      <c r="AO118" s="433"/>
      <c r="AP118" s="433"/>
    </row>
    <row r="119" spans="1:43" customFormat="1" ht="16.5" thickBot="1">
      <c r="B119" s="470" t="s">
        <v>1031</v>
      </c>
      <c r="C119" s="492">
        <v>60</v>
      </c>
      <c r="D119" s="492" t="s">
        <v>1032</v>
      </c>
      <c r="E119" s="492"/>
      <c r="F119" s="494" t="s">
        <v>1033</v>
      </c>
      <c r="G119" s="494"/>
      <c r="H119" s="494"/>
      <c r="I119" s="494"/>
      <c r="J119" s="494"/>
      <c r="K119" s="494"/>
      <c r="L119" s="494"/>
      <c r="M119" s="494"/>
      <c r="N119" s="494"/>
      <c r="O119" s="494"/>
      <c r="P119" s="494"/>
      <c r="Q119" s="494"/>
      <c r="R119" s="494"/>
      <c r="S119" s="494"/>
      <c r="T119" s="494"/>
      <c r="U119" s="494"/>
      <c r="V119" s="494"/>
      <c r="W119" s="492"/>
      <c r="X119" s="242"/>
      <c r="AB119" s="305" t="s">
        <v>453</v>
      </c>
      <c r="AC119" s="308">
        <f>(3.51678/AC117)</f>
        <v>5.2208745883470522</v>
      </c>
      <c r="AD119" s="433"/>
      <c r="AE119" s="433"/>
      <c r="AF119" s="309">
        <v>100</v>
      </c>
      <c r="AG119" s="310">
        <v>0.6038</v>
      </c>
      <c r="AH119" s="433"/>
      <c r="AI119" s="433"/>
      <c r="AJ119" s="433"/>
      <c r="AK119" s="377">
        <f>'Input data'!M8</f>
        <v>3.3102482312196941</v>
      </c>
      <c r="AL119" s="320">
        <f>'Input data'!M9</f>
        <v>3.447363406646744</v>
      </c>
      <c r="AM119" s="433"/>
      <c r="AN119" s="280"/>
      <c r="AO119" s="433"/>
      <c r="AP119" s="433"/>
    </row>
    <row r="120" spans="1:43" customFormat="1" ht="13.5" thickBot="1">
      <c r="B120" s="470" t="s">
        <v>315</v>
      </c>
      <c r="C120" s="473">
        <v>16</v>
      </c>
      <c r="D120" s="492" t="s">
        <v>1032</v>
      </c>
      <c r="E120" s="492"/>
      <c r="F120" s="494" t="s">
        <v>1034</v>
      </c>
      <c r="G120" s="494"/>
      <c r="H120" s="494"/>
      <c r="I120" s="494"/>
      <c r="J120" s="494"/>
      <c r="K120" s="494"/>
      <c r="L120" s="494"/>
      <c r="M120" s="494"/>
      <c r="N120" s="494"/>
      <c r="O120" s="494"/>
      <c r="P120" s="494"/>
      <c r="Q120" s="494"/>
      <c r="R120" s="494"/>
      <c r="S120" s="494"/>
      <c r="T120" s="494"/>
      <c r="U120" s="494"/>
      <c r="V120" s="494"/>
      <c r="W120" s="492"/>
      <c r="X120" s="242"/>
      <c r="AB120" s="304"/>
      <c r="AC120" s="433"/>
      <c r="AD120" s="433"/>
      <c r="AE120" s="433"/>
      <c r="AF120" s="312">
        <v>75</v>
      </c>
      <c r="AG120" s="310">
        <v>0.49959999999999999</v>
      </c>
      <c r="AH120" s="433"/>
      <c r="AI120" s="433"/>
      <c r="AJ120" s="433"/>
      <c r="AK120" s="433"/>
      <c r="AL120" s="478"/>
      <c r="AM120" s="433"/>
      <c r="AN120" s="280"/>
      <c r="AO120" s="433"/>
      <c r="AP120" s="433"/>
    </row>
    <row r="121" spans="1:43" customFormat="1" ht="12.75">
      <c r="B121" s="470" t="s">
        <v>1035</v>
      </c>
      <c r="C121" s="473">
        <v>6.6027858712976562</v>
      </c>
      <c r="D121" s="492">
        <v>6.7716686876120473</v>
      </c>
      <c r="E121" s="492"/>
      <c r="F121" s="494" t="s">
        <v>1036</v>
      </c>
      <c r="G121" s="494"/>
      <c r="H121" s="494"/>
      <c r="I121" s="494"/>
      <c r="J121" s="494"/>
      <c r="K121" s="494"/>
      <c r="L121" s="494"/>
      <c r="M121" s="494"/>
      <c r="N121" s="494"/>
      <c r="O121" s="494"/>
      <c r="P121" s="494"/>
      <c r="Q121" s="494"/>
      <c r="R121" s="494"/>
      <c r="S121" s="494"/>
      <c r="T121" s="494"/>
      <c r="U121" s="494"/>
      <c r="V121" s="494"/>
      <c r="W121" s="492"/>
      <c r="X121" s="242"/>
      <c r="AB121" s="304"/>
      <c r="AC121" s="433"/>
      <c r="AD121" s="433"/>
      <c r="AE121" s="433"/>
      <c r="AF121" s="312">
        <v>50</v>
      </c>
      <c r="AG121" s="310">
        <v>0.47</v>
      </c>
      <c r="AH121" s="433"/>
      <c r="AI121" s="433"/>
      <c r="AJ121" s="433"/>
      <c r="AK121" s="307" t="s">
        <v>454</v>
      </c>
      <c r="AL121" s="307" t="s">
        <v>455</v>
      </c>
      <c r="AM121" s="433"/>
      <c r="AN121" s="280"/>
      <c r="AO121" s="433"/>
      <c r="AP121" s="433"/>
    </row>
    <row r="122" spans="1:43" customFormat="1" ht="16.5" thickBot="1">
      <c r="B122" s="470" t="s">
        <v>1037</v>
      </c>
      <c r="C122" s="473">
        <v>31.013669120935539</v>
      </c>
      <c r="D122" s="492">
        <v>30.853727472375006</v>
      </c>
      <c r="E122" s="492"/>
      <c r="F122" s="494" t="s">
        <v>1038</v>
      </c>
      <c r="G122" s="494"/>
      <c r="H122" s="494"/>
      <c r="I122" s="494"/>
      <c r="J122" s="494"/>
      <c r="K122" s="494"/>
      <c r="L122" s="494"/>
      <c r="M122" s="494"/>
      <c r="N122" s="494"/>
      <c r="O122" s="494"/>
      <c r="P122" s="494"/>
      <c r="Q122" s="494"/>
      <c r="R122" s="494"/>
      <c r="S122" s="494"/>
      <c r="T122" s="494"/>
      <c r="U122" s="494"/>
      <c r="V122" s="494"/>
      <c r="W122" s="492"/>
      <c r="X122" s="242"/>
      <c r="AB122" s="304"/>
      <c r="AC122" s="313"/>
      <c r="AD122" s="433"/>
      <c r="AE122" s="433"/>
      <c r="AF122" s="314">
        <v>25</v>
      </c>
      <c r="AG122" s="310">
        <v>0.8891</v>
      </c>
      <c r="AH122" s="433"/>
      <c r="AI122" s="433"/>
      <c r="AJ122" s="433"/>
      <c r="AK122" s="378">
        <f>AI113-AJ113</f>
        <v>8</v>
      </c>
      <c r="AL122" s="311">
        <f>(AK113-AL113)</f>
        <v>6</v>
      </c>
      <c r="AM122" s="433"/>
      <c r="AN122" s="280"/>
      <c r="AO122" s="433"/>
      <c r="AP122" s="433"/>
    </row>
    <row r="123" spans="1:43" customFormat="1" ht="15.75" thickBot="1">
      <c r="B123" s="470" t="s">
        <v>1039</v>
      </c>
      <c r="C123" s="474">
        <f>C120/C119-1</f>
        <v>-0.73333333333333339</v>
      </c>
      <c r="D123" s="492"/>
      <c r="E123" s="492"/>
      <c r="F123" s="492"/>
      <c r="G123" s="492"/>
      <c r="H123" s="492"/>
      <c r="I123" s="492"/>
      <c r="J123" s="492"/>
      <c r="K123" s="492"/>
      <c r="L123" s="492"/>
      <c r="M123" s="492"/>
      <c r="N123" s="492"/>
      <c r="O123" s="492"/>
      <c r="P123" s="492"/>
      <c r="Q123" s="492"/>
      <c r="R123" s="492"/>
      <c r="S123" s="492"/>
      <c r="T123" s="492"/>
      <c r="U123" s="492"/>
      <c r="V123" s="492"/>
      <c r="W123" s="492"/>
      <c r="X123" s="242"/>
      <c r="AB123" s="304"/>
      <c r="AC123" s="433"/>
      <c r="AD123" s="433"/>
      <c r="AE123" s="433"/>
      <c r="AF123" s="305" t="s">
        <v>448</v>
      </c>
      <c r="AG123" s="315">
        <f>AC117</f>
        <v>0.67359978495737538</v>
      </c>
      <c r="AH123" s="433"/>
      <c r="AI123" s="433"/>
      <c r="AJ123" s="433"/>
      <c r="AK123" s="433"/>
      <c r="AL123" s="478"/>
      <c r="AM123" s="433"/>
      <c r="AN123" s="280"/>
      <c r="AO123" s="433"/>
      <c r="AP123" s="433"/>
    </row>
    <row r="124" spans="1:43" customFormat="1" ht="13.5" thickBot="1">
      <c r="B124" s="470"/>
      <c r="C124" s="493" t="s">
        <v>256</v>
      </c>
      <c r="D124" s="493" t="s">
        <v>1040</v>
      </c>
      <c r="E124" s="492"/>
      <c r="F124" s="492"/>
      <c r="G124" s="492">
        <v>5.2875151570903558</v>
      </c>
      <c r="H124" s="492">
        <v>36.402956042812519</v>
      </c>
      <c r="I124" s="492"/>
      <c r="J124" s="492"/>
      <c r="K124" s="492"/>
      <c r="L124" s="492"/>
      <c r="M124" s="492"/>
      <c r="N124" s="492"/>
      <c r="O124" s="492"/>
      <c r="P124" s="492"/>
      <c r="Q124" s="492"/>
      <c r="R124" s="492"/>
      <c r="S124" s="492"/>
      <c r="T124" s="492"/>
      <c r="U124" s="492"/>
      <c r="V124" s="492"/>
      <c r="W124" s="492"/>
      <c r="X124" s="242"/>
      <c r="AB124" s="316"/>
      <c r="AC124" s="317"/>
      <c r="AD124" s="317"/>
      <c r="AE124" s="317"/>
      <c r="AF124" s="317"/>
      <c r="AG124" s="317"/>
      <c r="AH124" s="317"/>
      <c r="AI124" s="317"/>
      <c r="AJ124" s="317"/>
      <c r="AK124" s="317"/>
      <c r="AL124" s="317"/>
      <c r="AM124" s="317"/>
      <c r="AN124" s="318"/>
      <c r="AO124" s="433"/>
      <c r="AP124" s="433"/>
    </row>
    <row r="125" spans="1:43" customFormat="1" ht="13.5" thickBot="1">
      <c r="B125" s="470" t="s">
        <v>1041</v>
      </c>
      <c r="C125" s="492">
        <f>C117+D117*C123+E117*C121+F117*C122+G117*C123*C121+H117*C121*C122+I117*C123*C122+J117*C123*C123+K117*C121*C121+L117*C122*C122</f>
        <v>0.90710965328373816</v>
      </c>
      <c r="D125" s="492">
        <f>M117+N117*C123+O117*C121+P117*C122+Q117*C123*C121+R117*C121*C122+S117*C123*C122+T117*C123*C123+U117*C121*C121+V117*C122*C122</f>
        <v>0.92664999304988138</v>
      </c>
      <c r="E125" s="492"/>
      <c r="F125" s="492"/>
      <c r="G125" s="492"/>
      <c r="H125" s="492"/>
      <c r="I125" s="492"/>
      <c r="J125" s="492"/>
      <c r="K125" s="492"/>
      <c r="L125" s="492"/>
      <c r="M125" s="492"/>
      <c r="N125" s="492"/>
      <c r="O125" s="492"/>
      <c r="P125" s="492"/>
      <c r="Q125" s="492"/>
      <c r="R125" s="492"/>
      <c r="S125" s="492"/>
      <c r="T125" s="492"/>
      <c r="U125" s="492"/>
      <c r="V125" s="492"/>
      <c r="W125" s="492"/>
      <c r="X125" s="242"/>
      <c r="AB125" s="433"/>
      <c r="AC125" s="433"/>
      <c r="AD125" s="433"/>
      <c r="AE125" s="433"/>
      <c r="AF125" s="433"/>
      <c r="AG125" s="433"/>
      <c r="AH125" s="433"/>
      <c r="AI125" s="433"/>
      <c r="AJ125" s="433"/>
      <c r="AK125" s="433"/>
      <c r="AL125" s="478"/>
      <c r="AM125" s="433"/>
      <c r="AN125" s="433"/>
      <c r="AO125" s="433"/>
      <c r="AP125" s="433"/>
    </row>
    <row r="126" spans="1:43" customFormat="1" ht="15.75" customHeight="1" thickBot="1">
      <c r="B126" s="470" t="s">
        <v>1042</v>
      </c>
      <c r="C126" s="492">
        <f>1+C123*C125</f>
        <v>0.33478625425859199</v>
      </c>
      <c r="D126" s="492">
        <f>1+C123*D125</f>
        <v>0.3204566717634203</v>
      </c>
      <c r="E126" s="492"/>
      <c r="F126" s="494"/>
      <c r="G126" s="494"/>
      <c r="H126" s="494"/>
      <c r="I126" s="494"/>
      <c r="J126" s="494"/>
      <c r="K126" s="494"/>
      <c r="L126" s="494"/>
      <c r="M126" s="494"/>
      <c r="N126" s="494"/>
      <c r="O126" s="494"/>
      <c r="P126" s="494"/>
      <c r="Q126" s="494"/>
      <c r="R126" s="494"/>
      <c r="S126" s="494"/>
      <c r="T126" s="494"/>
      <c r="U126" s="494"/>
      <c r="V126" s="494"/>
      <c r="W126" s="492"/>
      <c r="X126" s="242"/>
      <c r="AB126" s="450" t="s">
        <v>990</v>
      </c>
      <c r="AC126" s="451"/>
      <c r="AD126" s="452"/>
      <c r="AE126" s="392"/>
      <c r="AF126" s="392"/>
      <c r="AG126" s="424">
        <f>AG131-AG130</f>
        <v>0.33101177391862047</v>
      </c>
      <c r="AH126" s="424">
        <f>AH130-AH131</f>
        <v>3.0447242674462842</v>
      </c>
      <c r="AI126" s="424">
        <f>AH130+AH126</f>
        <v>41.491966941909091</v>
      </c>
      <c r="AJ126" s="392"/>
      <c r="AK126" s="392"/>
      <c r="AL126" s="392"/>
      <c r="AM126" s="392"/>
      <c r="AN126" s="392"/>
      <c r="AO126" s="448" t="s">
        <v>989</v>
      </c>
      <c r="AP126" s="449"/>
      <c r="AQ126" s="390"/>
    </row>
    <row r="127" spans="1:43" customFormat="1" ht="15.75" customHeight="1" thickBot="1">
      <c r="B127" s="470" t="s">
        <v>1043</v>
      </c>
      <c r="C127" s="492">
        <f>($C132+$C133*$C121+$C134*$C122+$C135*$C121^2+$C136*$C121*$C122+$C137*$C122^2+$C138*$C121^3+$C139*$C122*$C121^2+$C140*$C121*$C122^2+$C141*$C122^3)</f>
        <v>207.65211321580313</v>
      </c>
      <c r="D127" s="492">
        <f>($D132+$D133*$C121+$D134*$C122+$D135*$C121^2+$D136*$C121*$C122+$D137*$C122^2+$D138*$C121^3+$D139*$C122*$C121^2+$D140*$C121*$C122^2+$D141*$C122^3)</f>
        <v>110.71159287590505</v>
      </c>
      <c r="E127" s="492" t="s">
        <v>1044</v>
      </c>
      <c r="F127" s="494" t="s">
        <v>1045</v>
      </c>
      <c r="G127" s="494"/>
      <c r="H127" s="494"/>
      <c r="I127" s="494"/>
      <c r="J127" s="494"/>
      <c r="K127" s="494"/>
      <c r="L127" s="494"/>
      <c r="M127" s="494"/>
      <c r="N127" s="494"/>
      <c r="O127" s="494"/>
      <c r="P127" s="494"/>
      <c r="Q127" s="494"/>
      <c r="R127" s="494"/>
      <c r="S127" s="494"/>
      <c r="T127" s="494"/>
      <c r="U127" s="494"/>
      <c r="V127" s="494"/>
      <c r="W127" s="492"/>
      <c r="X127" s="242"/>
      <c r="AB127" s="453"/>
      <c r="AC127" s="454"/>
      <c r="AD127" s="455"/>
      <c r="AE127" s="391"/>
      <c r="AF127" s="391"/>
      <c r="AG127" s="391"/>
      <c r="AH127" s="391"/>
      <c r="AI127" s="391"/>
      <c r="AJ127" s="391"/>
      <c r="AK127" s="391"/>
      <c r="AL127" s="391"/>
      <c r="AM127" s="391"/>
      <c r="AN127" s="391"/>
      <c r="AO127" s="391"/>
      <c r="AP127" s="393"/>
      <c r="AQ127" s="390"/>
    </row>
    <row r="128" spans="1:43" customFormat="1" ht="15.75" thickBot="1">
      <c r="B128" s="470" t="str">
        <f>"Q,P @ " &amp; C120 &amp; "Hz"</f>
        <v>Q,P @ 16Hz</v>
      </c>
      <c r="C128" s="475">
        <f>C127*C126</f>
        <v>69.5190731723998</v>
      </c>
      <c r="D128" s="475">
        <f>D127*D126</f>
        <v>35.47826857863933</v>
      </c>
      <c r="E128" s="492" t="s">
        <v>1044</v>
      </c>
      <c r="F128" s="494" t="s">
        <v>1046</v>
      </c>
      <c r="G128" s="494"/>
      <c r="H128" s="494"/>
      <c r="I128" s="494"/>
      <c r="J128" s="494"/>
      <c r="K128" s="494"/>
      <c r="L128" s="494"/>
      <c r="M128" s="494"/>
      <c r="N128" s="494"/>
      <c r="O128" s="494"/>
      <c r="P128" s="494"/>
      <c r="Q128" s="494"/>
      <c r="R128" s="494"/>
      <c r="S128" s="494"/>
      <c r="T128" s="494"/>
      <c r="U128" s="494"/>
      <c r="V128" s="494"/>
      <c r="W128" s="492"/>
      <c r="X128" s="242"/>
      <c r="AB128" s="436" t="s">
        <v>436</v>
      </c>
      <c r="AC128" s="436" t="s">
        <v>437</v>
      </c>
      <c r="AD128" s="436" t="s">
        <v>438</v>
      </c>
      <c r="AE128" s="436" t="s">
        <v>439</v>
      </c>
      <c r="AF128" s="438"/>
      <c r="AG128" s="438" t="s">
        <v>441</v>
      </c>
      <c r="AH128" s="438" t="s">
        <v>442</v>
      </c>
      <c r="AI128" s="440" t="s">
        <v>18</v>
      </c>
      <c r="AJ128" s="441"/>
      <c r="AK128" s="440" t="s">
        <v>19</v>
      </c>
      <c r="AL128" s="479"/>
      <c r="AM128" s="436" t="s">
        <v>443</v>
      </c>
      <c r="AN128" s="391"/>
      <c r="AO128" s="394" t="s">
        <v>451</v>
      </c>
      <c r="AP128" s="394" t="s">
        <v>452</v>
      </c>
      <c r="AQ128" s="390"/>
    </row>
    <row r="129" spans="2:43" customFormat="1" ht="15.75" thickBot="1">
      <c r="B129" s="476" t="s">
        <v>314</v>
      </c>
      <c r="C129" s="492">
        <f>((C128*2)/1000)/3.516</f>
        <v>3.9544410223208079E-2</v>
      </c>
      <c r="D129" s="492">
        <f>((D128*2)/1000)</f>
        <v>7.0956537157278662E-2</v>
      </c>
      <c r="E129" s="492" t="s">
        <v>313</v>
      </c>
      <c r="F129" s="492"/>
      <c r="G129" s="492"/>
      <c r="H129" s="492"/>
      <c r="I129" s="492"/>
      <c r="J129" s="492"/>
      <c r="K129" s="492"/>
      <c r="L129" s="492"/>
      <c r="M129" s="492"/>
      <c r="N129" s="492"/>
      <c r="O129" s="492"/>
      <c r="P129" s="492"/>
      <c r="Q129" s="492"/>
      <c r="R129" s="492"/>
      <c r="S129" s="492"/>
      <c r="T129" s="492"/>
      <c r="U129" s="492"/>
      <c r="V129" s="492"/>
      <c r="W129" s="492"/>
      <c r="X129" s="242"/>
      <c r="AB129" s="437"/>
      <c r="AC129" s="437"/>
      <c r="AD129" s="437"/>
      <c r="AE129" s="437"/>
      <c r="AF129" s="439" t="s">
        <v>440</v>
      </c>
      <c r="AG129" s="456"/>
      <c r="AH129" s="439"/>
      <c r="AI129" s="395" t="s">
        <v>444</v>
      </c>
      <c r="AJ129" s="396" t="s">
        <v>445</v>
      </c>
      <c r="AK129" s="396" t="s">
        <v>446</v>
      </c>
      <c r="AL129" s="396" t="s">
        <v>447</v>
      </c>
      <c r="AM129" s="437"/>
      <c r="AN129" s="391"/>
      <c r="AO129" s="397">
        <f>(AJ130-AG130)</f>
        <v>3.3101177391861989</v>
      </c>
      <c r="AP129" s="397">
        <f>(AH130-AK130)</f>
        <v>3.4472426744628066</v>
      </c>
      <c r="AQ129" s="390"/>
    </row>
    <row r="130" spans="2:43" customFormat="1" ht="15.75" thickBot="1">
      <c r="B130" s="433"/>
      <c r="C130" s="492"/>
      <c r="D130" s="492"/>
      <c r="E130" s="492"/>
      <c r="F130" s="492"/>
      <c r="G130" s="492"/>
      <c r="H130" s="492"/>
      <c r="I130" s="492"/>
      <c r="J130" s="492"/>
      <c r="K130" s="492"/>
      <c r="L130" s="492"/>
      <c r="M130" s="492"/>
      <c r="N130" s="492"/>
      <c r="O130" s="492"/>
      <c r="P130" s="492"/>
      <c r="Q130" s="492"/>
      <c r="R130" s="492"/>
      <c r="S130" s="492"/>
      <c r="T130" s="492"/>
      <c r="U130" s="492"/>
      <c r="V130" s="492"/>
      <c r="W130" s="492"/>
      <c r="X130" s="242"/>
      <c r="AB130" s="425">
        <f t="shared" ref="AB130:AB141" si="4">(AE130/AF130)</f>
        <v>4.6923003248385164</v>
      </c>
      <c r="AC130" s="426">
        <f t="shared" ref="AC130:AC141" si="5">(AF130/AD130)</f>
        <v>0.74952576700661977</v>
      </c>
      <c r="AD130" s="401">
        <f>AG14</f>
        <v>169.32023925700798</v>
      </c>
      <c r="AE130" s="425">
        <f t="shared" ref="AE130:AE141" si="6">(AD130*3.517)</f>
        <v>595.49928146689706</v>
      </c>
      <c r="AF130" s="400">
        <f>AG15</f>
        <v>126.90988219885328</v>
      </c>
      <c r="AG130" s="427">
        <f>AG9</f>
        <v>3.6898822608138011</v>
      </c>
      <c r="AH130" s="427">
        <f>AG10</f>
        <v>38.447242674462807</v>
      </c>
      <c r="AI130" s="427">
        <f>'Input data'!F13</f>
        <v>12</v>
      </c>
      <c r="AJ130" s="427">
        <f>'Input data'!F12</f>
        <v>7</v>
      </c>
      <c r="AK130" s="427">
        <f>'Input data'!J13</f>
        <v>35</v>
      </c>
      <c r="AL130" s="427">
        <f>'Input data'!J12</f>
        <v>30</v>
      </c>
      <c r="AM130" s="425">
        <v>1</v>
      </c>
      <c r="AN130" s="391"/>
      <c r="AO130" s="391"/>
      <c r="AP130" s="393"/>
      <c r="AQ130" s="390"/>
    </row>
    <row r="131" spans="2:43" customFormat="1">
      <c r="B131" s="433"/>
      <c r="C131" s="493" t="s">
        <v>256</v>
      </c>
      <c r="D131" s="493" t="s">
        <v>1040</v>
      </c>
      <c r="E131" s="492"/>
      <c r="F131" s="495" t="s">
        <v>1047</v>
      </c>
      <c r="G131" s="495"/>
      <c r="H131" s="495"/>
      <c r="I131" s="495"/>
      <c r="J131" s="495"/>
      <c r="K131" s="495"/>
      <c r="L131" s="495"/>
      <c r="M131" s="495"/>
      <c r="N131" s="495"/>
      <c r="O131" s="495"/>
      <c r="P131" s="495"/>
      <c r="Q131" s="495"/>
      <c r="R131" s="495"/>
      <c r="S131" s="495"/>
      <c r="T131" s="495"/>
      <c r="U131" s="495"/>
      <c r="V131" s="495"/>
      <c r="W131" s="492"/>
      <c r="X131" s="242"/>
      <c r="AB131" s="425">
        <f t="shared" si="4"/>
        <v>4.4818467055648927</v>
      </c>
      <c r="AC131" s="426">
        <f t="shared" si="5"/>
        <v>0.78472117210816494</v>
      </c>
      <c r="AD131" s="428">
        <f t="shared" ref="AD131:AD141" si="7">($AD$130*AM131)</f>
        <v>152.38821533130718</v>
      </c>
      <c r="AE131" s="425">
        <f t="shared" si="6"/>
        <v>535.94935332020736</v>
      </c>
      <c r="AF131" s="400">
        <v>119.5822589502548</v>
      </c>
      <c r="AG131" s="429">
        <f t="shared" ref="AG131:AG141" si="8">(AJ131-($AO$129*AM131))</f>
        <v>4.0208940347324216</v>
      </c>
      <c r="AH131" s="429">
        <f t="shared" ref="AH131:AH141" si="9">(AK131+($AP$129*AM131))</f>
        <v>35.402518407016522</v>
      </c>
      <c r="AI131" s="425">
        <f t="shared" ref="AI131:AI141" si="10">AJ131+($AO$132*AM131)</f>
        <v>11.5</v>
      </c>
      <c r="AJ131" s="425">
        <f t="shared" ref="AJ131:AJ141" si="11">AJ130</f>
        <v>7</v>
      </c>
      <c r="AK131" s="425">
        <f t="shared" ref="AK131:AK141" si="12">AL131+(AM131*$AP$132)</f>
        <v>32.299999999999997</v>
      </c>
      <c r="AL131" s="425">
        <f>(2*($AL$130-19)*(AM131-0.5))+19</f>
        <v>27.8</v>
      </c>
      <c r="AM131" s="425">
        <v>0.9</v>
      </c>
      <c r="AN131" s="391"/>
      <c r="AO131" s="403" t="s">
        <v>454</v>
      </c>
      <c r="AP131" s="403" t="s">
        <v>455</v>
      </c>
      <c r="AQ131" s="390"/>
    </row>
    <row r="132" spans="2:43" customFormat="1" ht="15.75" thickBot="1">
      <c r="B132" s="433"/>
      <c r="C132" s="248">
        <f>VLOOKUP($B$134,$B$7:$L$21,2,TRUE)</f>
        <v>214.21019999999999</v>
      </c>
      <c r="D132" s="248">
        <f>VLOOKUP($B$134,$P$7:$Z$21,2,TRUE)</f>
        <v>52.647350000000003</v>
      </c>
      <c r="E132" s="492"/>
      <c r="F132" s="495"/>
      <c r="G132" s="495"/>
      <c r="H132" s="495"/>
      <c r="I132" s="495"/>
      <c r="J132" s="495"/>
      <c r="K132" s="495"/>
      <c r="L132" s="495"/>
      <c r="M132" s="495"/>
      <c r="N132" s="495"/>
      <c r="O132" s="495"/>
      <c r="P132" s="495"/>
      <c r="Q132" s="495"/>
      <c r="R132" s="495"/>
      <c r="S132" s="495"/>
      <c r="T132" s="495"/>
      <c r="U132" s="495"/>
      <c r="V132" s="495"/>
      <c r="W132" s="492"/>
      <c r="X132" s="242"/>
      <c r="AB132" s="425">
        <f t="shared" si="4"/>
        <v>5.7171846606573808</v>
      </c>
      <c r="AC132" s="426">
        <f t="shared" si="5"/>
        <v>0.61516291824577929</v>
      </c>
      <c r="AD132" s="428">
        <f t="shared" si="7"/>
        <v>135.4561914056064</v>
      </c>
      <c r="AE132" s="425">
        <f t="shared" si="6"/>
        <v>476.39942517351773</v>
      </c>
      <c r="AF132" s="400">
        <v>83.327625999531691</v>
      </c>
      <c r="AG132" s="429">
        <f t="shared" si="8"/>
        <v>4.3519058086510407</v>
      </c>
      <c r="AH132" s="429">
        <f t="shared" si="9"/>
        <v>32.357794139570245</v>
      </c>
      <c r="AI132" s="425">
        <f t="shared" si="10"/>
        <v>11</v>
      </c>
      <c r="AJ132" s="425">
        <f t="shared" si="11"/>
        <v>7</v>
      </c>
      <c r="AK132" s="425">
        <f t="shared" si="12"/>
        <v>29.6</v>
      </c>
      <c r="AL132" s="425">
        <f>(2*($AL$130-19)*(AM132-0.5))+19</f>
        <v>25.6</v>
      </c>
      <c r="AM132" s="425">
        <v>0.8</v>
      </c>
      <c r="AN132" s="391"/>
      <c r="AO132" s="404">
        <f>AI130-AJ130</f>
        <v>5</v>
      </c>
      <c r="AP132" s="404">
        <f>(AK130-AL130)</f>
        <v>5</v>
      </c>
      <c r="AQ132" s="390"/>
    </row>
    <row r="133" spans="2:43" customFormat="1">
      <c r="B133" s="433"/>
      <c r="C133" s="248">
        <f>VLOOKUP($B$134,$B$7:$L$21,3,TRUE)</f>
        <v>8.286975</v>
      </c>
      <c r="D133" s="248">
        <f>VLOOKUP($B$134,$P$7:$Z$21,3,TRUE)</f>
        <v>0.66561800000000004</v>
      </c>
      <c r="E133" s="492"/>
      <c r="F133" s="495"/>
      <c r="G133" s="495"/>
      <c r="H133" s="495"/>
      <c r="I133" s="495"/>
      <c r="J133" s="495"/>
      <c r="K133" s="495"/>
      <c r="L133" s="495"/>
      <c r="M133" s="495"/>
      <c r="N133" s="495"/>
      <c r="O133" s="495"/>
      <c r="P133" s="495"/>
      <c r="Q133" s="495"/>
      <c r="R133" s="495"/>
      <c r="S133" s="495"/>
      <c r="T133" s="495"/>
      <c r="U133" s="495"/>
      <c r="V133" s="495"/>
      <c r="W133" s="492"/>
      <c r="X133" s="242"/>
      <c r="AB133" s="430">
        <f t="shared" si="4"/>
        <v>4.6507214675873199</v>
      </c>
      <c r="AC133" s="431">
        <f t="shared" si="5"/>
        <v>0.75622675417380636</v>
      </c>
      <c r="AD133" s="428">
        <f t="shared" si="7"/>
        <v>126.99017944275599</v>
      </c>
      <c r="AE133" s="430">
        <f t="shared" si="6"/>
        <v>446.62446110017282</v>
      </c>
      <c r="AF133" s="400">
        <v>96.033371211944583</v>
      </c>
      <c r="AG133" s="429">
        <f t="shared" si="8"/>
        <v>4.5174116956103507</v>
      </c>
      <c r="AH133" s="429">
        <f t="shared" si="9"/>
        <v>30.835432005847103</v>
      </c>
      <c r="AI133" s="425">
        <f t="shared" si="10"/>
        <v>10.75</v>
      </c>
      <c r="AJ133" s="425">
        <f t="shared" si="11"/>
        <v>7</v>
      </c>
      <c r="AK133" s="425">
        <f t="shared" si="12"/>
        <v>28.25</v>
      </c>
      <c r="AL133" s="425">
        <f>(2*($AL$130-19)*(AM133-0.5))+19</f>
        <v>24.5</v>
      </c>
      <c r="AM133" s="430">
        <v>0.75</v>
      </c>
      <c r="AN133" s="391"/>
      <c r="AO133" s="391"/>
      <c r="AP133" s="393"/>
      <c r="AQ133" s="390"/>
    </row>
    <row r="134" spans="2:43" customFormat="1" ht="15.75" thickBot="1">
      <c r="B134" s="257" t="str">
        <f>AH14</f>
        <v>KXI91-160-702Y</v>
      </c>
      <c r="C134" s="248">
        <f>VLOOKUP($B$134,$B$7:$L$21,4,TRUE)</f>
        <v>-1.618965</v>
      </c>
      <c r="D134" s="248">
        <f>VLOOKUP($B$134,$P$7:$Z$21,4,TRUE)</f>
        <v>1.413421</v>
      </c>
      <c r="E134" s="492"/>
      <c r="F134" s="495"/>
      <c r="G134" s="495"/>
      <c r="H134" s="495"/>
      <c r="I134" s="495"/>
      <c r="J134" s="495"/>
      <c r="K134" s="495"/>
      <c r="L134" s="495"/>
      <c r="M134" s="495"/>
      <c r="N134" s="495"/>
      <c r="O134" s="495"/>
      <c r="P134" s="495"/>
      <c r="Q134" s="495"/>
      <c r="R134" s="495"/>
      <c r="S134" s="495"/>
      <c r="T134" s="495"/>
      <c r="U134" s="495"/>
      <c r="V134" s="495"/>
      <c r="W134" s="492"/>
      <c r="X134" s="242"/>
      <c r="AB134" s="425">
        <f t="shared" si="4"/>
        <v>5.6282224869230566</v>
      </c>
      <c r="AC134" s="426">
        <f t="shared" si="5"/>
        <v>0.62488645539006404</v>
      </c>
      <c r="AD134" s="428">
        <f t="shared" si="7"/>
        <v>118.52416747990559</v>
      </c>
      <c r="AE134" s="425">
        <f t="shared" si="6"/>
        <v>416.84949702682792</v>
      </c>
      <c r="AF134" s="400">
        <v>74.064146894576496</v>
      </c>
      <c r="AG134" s="429">
        <f t="shared" si="8"/>
        <v>4.6829175825696607</v>
      </c>
      <c r="AH134" s="429">
        <f t="shared" si="9"/>
        <v>29.313069872123961</v>
      </c>
      <c r="AI134" s="425">
        <f t="shared" si="10"/>
        <v>10.5</v>
      </c>
      <c r="AJ134" s="425">
        <f t="shared" si="11"/>
        <v>7</v>
      </c>
      <c r="AK134" s="425">
        <f t="shared" si="12"/>
        <v>26.9</v>
      </c>
      <c r="AL134" s="425">
        <f>(2*($AL$130-19)*(AM134-0.5))+19</f>
        <v>23.4</v>
      </c>
      <c r="AM134" s="425">
        <v>0.7</v>
      </c>
      <c r="AN134" s="391"/>
      <c r="AO134" s="391"/>
      <c r="AP134" s="393"/>
      <c r="AQ134" s="390"/>
    </row>
    <row r="135" spans="2:43" ht="15.75" customHeight="1">
      <c r="B135" s="433"/>
      <c r="C135" s="248">
        <f>VLOOKUP($B$134,$B$7:$L$21,5,TRUE)</f>
        <v>0.12707789999999999</v>
      </c>
      <c r="D135" s="248">
        <f>VLOOKUP($B$134,$P$7:$Z$21,5,TRUE)</f>
        <v>5.2365650000000003E-3</v>
      </c>
      <c r="E135" s="492"/>
      <c r="F135" s="495"/>
      <c r="G135" s="495"/>
      <c r="H135" s="495"/>
      <c r="I135" s="495"/>
      <c r="J135" s="495"/>
      <c r="K135" s="495"/>
      <c r="L135" s="495"/>
      <c r="M135" s="495"/>
      <c r="N135" s="495"/>
      <c r="O135" s="495"/>
      <c r="P135" s="495"/>
      <c r="Q135" s="495"/>
      <c r="R135" s="495"/>
      <c r="S135" s="495"/>
      <c r="T135" s="495"/>
      <c r="U135" s="495"/>
      <c r="V135" s="495"/>
      <c r="W135" s="492"/>
      <c r="AB135" s="425">
        <f t="shared" si="4"/>
        <v>4.9745434518067873</v>
      </c>
      <c r="AC135" s="426">
        <f t="shared" si="5"/>
        <v>0.70699955364197342</v>
      </c>
      <c r="AD135" s="428">
        <f t="shared" si="7"/>
        <v>101.59214355420478</v>
      </c>
      <c r="AE135" s="425">
        <f t="shared" si="6"/>
        <v>357.29956888013822</v>
      </c>
      <c r="AF135" s="400">
        <v>71.825600146354063</v>
      </c>
      <c r="AG135" s="429">
        <f t="shared" si="8"/>
        <v>5.0139293564882808</v>
      </c>
      <c r="AH135" s="429">
        <f t="shared" si="9"/>
        <v>26.268345604677684</v>
      </c>
      <c r="AI135" s="425">
        <f t="shared" si="10"/>
        <v>10</v>
      </c>
      <c r="AJ135" s="425">
        <f t="shared" si="11"/>
        <v>7</v>
      </c>
      <c r="AK135" s="425">
        <f t="shared" si="12"/>
        <v>24.2</v>
      </c>
      <c r="AL135" s="425">
        <f>(2*($AL$130-19)*(AM135-0.5))+19</f>
        <v>21.2</v>
      </c>
      <c r="AM135" s="425">
        <v>0.6</v>
      </c>
      <c r="AN135" s="391"/>
      <c r="AO135" s="434" t="s">
        <v>443</v>
      </c>
      <c r="AP135" s="434" t="s">
        <v>437</v>
      </c>
      <c r="AQ135" s="390"/>
    </row>
    <row r="136" spans="2:43" ht="15.75" customHeight="1" thickBot="1">
      <c r="B136" s="433"/>
      <c r="C136" s="248">
        <f>VLOOKUP($B$134,$B$7:$L$21,6,TRUE)</f>
        <v>-5.284407E-2</v>
      </c>
      <c r="D136" s="248">
        <f>VLOOKUP($B$134,$P$7:$Z$21,6,TRUE)</f>
        <v>-1.7778240000000001E-2</v>
      </c>
      <c r="E136" s="492"/>
      <c r="F136" s="495"/>
      <c r="G136" s="495"/>
      <c r="H136" s="495"/>
      <c r="I136" s="495"/>
      <c r="J136" s="495"/>
      <c r="K136" s="495"/>
      <c r="L136" s="495"/>
      <c r="M136" s="495"/>
      <c r="N136" s="495"/>
      <c r="O136" s="495"/>
      <c r="P136" s="495"/>
      <c r="Q136" s="495"/>
      <c r="R136" s="495"/>
      <c r="S136" s="495"/>
      <c r="T136" s="495"/>
      <c r="U136" s="495"/>
      <c r="V136" s="495"/>
      <c r="W136" s="492"/>
      <c r="AB136" s="425">
        <f t="shared" si="4"/>
        <v>5.3966233990444499</v>
      </c>
      <c r="AC136" s="426">
        <f t="shared" si="5"/>
        <v>0.65170380438678288</v>
      </c>
      <c r="AD136" s="428">
        <f t="shared" si="7"/>
        <v>84.660119628503992</v>
      </c>
      <c r="AE136" s="425">
        <f t="shared" si="6"/>
        <v>297.74964073344853</v>
      </c>
      <c r="AF136" s="400">
        <v>55.173322041736206</v>
      </c>
      <c r="AG136" s="429">
        <f t="shared" si="8"/>
        <v>5.3449411304069008</v>
      </c>
      <c r="AH136" s="429">
        <f t="shared" si="9"/>
        <v>23.223621337231403</v>
      </c>
      <c r="AI136" s="425">
        <f t="shared" si="10"/>
        <v>9.5</v>
      </c>
      <c r="AJ136" s="425">
        <f t="shared" si="11"/>
        <v>7</v>
      </c>
      <c r="AK136" s="425">
        <f t="shared" si="12"/>
        <v>21.5</v>
      </c>
      <c r="AL136" s="425">
        <f t="shared" ref="AL136:AL141" si="13">(2*(AL135-19)*(AM136-0.5))+19</f>
        <v>19</v>
      </c>
      <c r="AM136" s="425">
        <v>0.5</v>
      </c>
      <c r="AN136" s="391"/>
      <c r="AO136" s="435"/>
      <c r="AP136" s="435"/>
      <c r="AQ136" s="390"/>
    </row>
    <row r="137" spans="2:43" ht="15.75" customHeight="1">
      <c r="B137" s="433"/>
      <c r="C137" s="248">
        <f>VLOOKUP($B$134,$B$7:$L$21,7,TRUE)</f>
        <v>-5.3211600000000001E-3</v>
      </c>
      <c r="D137" s="248">
        <f>VLOOKUP($B$134,$P$7:$Z$21,7,TRUE)</f>
        <v>8.1788320000000005E-3</v>
      </c>
      <c r="E137" s="492"/>
      <c r="F137" s="495"/>
      <c r="G137" s="495"/>
      <c r="H137" s="495"/>
      <c r="I137" s="495"/>
      <c r="J137" s="495"/>
      <c r="K137" s="495"/>
      <c r="L137" s="495"/>
      <c r="M137" s="495"/>
      <c r="N137" s="495"/>
      <c r="O137" s="495"/>
      <c r="P137" s="495"/>
      <c r="Q137" s="495"/>
      <c r="R137" s="495"/>
      <c r="S137" s="495"/>
      <c r="T137" s="495"/>
      <c r="U137" s="495"/>
      <c r="V137" s="495"/>
      <c r="W137" s="248"/>
      <c r="X137"/>
      <c r="AB137" s="425">
        <f t="shared" si="4"/>
        <v>4.453185314682945</v>
      </c>
      <c r="AC137" s="426">
        <f t="shared" si="5"/>
        <v>0.78977175919533926</v>
      </c>
      <c r="AD137" s="428">
        <f t="shared" si="7"/>
        <v>67.728095702803202</v>
      </c>
      <c r="AE137" s="425">
        <f t="shared" si="6"/>
        <v>238.19971258675886</v>
      </c>
      <c r="AF137" s="400">
        <v>53.48973729015318</v>
      </c>
      <c r="AG137" s="429">
        <f t="shared" si="8"/>
        <v>5.6759529043255199</v>
      </c>
      <c r="AH137" s="429">
        <f t="shared" si="9"/>
        <v>22.378897069785122</v>
      </c>
      <c r="AI137" s="425">
        <f t="shared" si="10"/>
        <v>9</v>
      </c>
      <c r="AJ137" s="425">
        <f t="shared" si="11"/>
        <v>7</v>
      </c>
      <c r="AK137" s="425">
        <f t="shared" si="12"/>
        <v>21</v>
      </c>
      <c r="AL137" s="425">
        <f t="shared" si="13"/>
        <v>19</v>
      </c>
      <c r="AM137" s="425">
        <v>0.4</v>
      </c>
      <c r="AN137" s="391"/>
      <c r="AO137" s="405">
        <v>100</v>
      </c>
      <c r="AP137" s="406">
        <v>0.64</v>
      </c>
      <c r="AQ137" s="390"/>
    </row>
    <row r="138" spans="2:43" ht="15.75" customHeight="1">
      <c r="B138" s="433"/>
      <c r="C138" s="248">
        <f>VLOOKUP($B$134,$B$7:$L$21,8,TRUE)</f>
        <v>7.5511100000000004E-4</v>
      </c>
      <c r="D138" s="248">
        <f>VLOOKUP($B$134,$P$7:$Z$21,8,TRUE)</f>
        <v>-2.476275E-4</v>
      </c>
      <c r="E138" s="492"/>
      <c r="F138" s="495"/>
      <c r="G138" s="495"/>
      <c r="H138" s="495"/>
      <c r="I138" s="495"/>
      <c r="J138" s="495"/>
      <c r="K138" s="495"/>
      <c r="L138" s="495"/>
      <c r="M138" s="495"/>
      <c r="N138" s="495"/>
      <c r="O138" s="495"/>
      <c r="P138" s="495"/>
      <c r="Q138" s="495"/>
      <c r="R138" s="495"/>
      <c r="S138" s="495"/>
      <c r="T138" s="495"/>
      <c r="U138" s="495"/>
      <c r="V138" s="495"/>
      <c r="W138" s="248"/>
      <c r="X138"/>
      <c r="AB138" s="425">
        <f t="shared" si="4"/>
        <v>1.162346882659544</v>
      </c>
      <c r="AC138" s="426">
        <f t="shared" si="5"/>
        <v>0.82441921323553413</v>
      </c>
      <c r="AD138" s="428">
        <f t="shared" si="7"/>
        <v>50.796071777102391</v>
      </c>
      <c r="AE138" s="425">
        <v>48.675899744250252</v>
      </c>
      <c r="AF138" s="400">
        <v>41.877257529934475</v>
      </c>
      <c r="AG138" s="429">
        <f t="shared" si="8"/>
        <v>6.0069646782441399</v>
      </c>
      <c r="AH138" s="429">
        <f t="shared" si="9"/>
        <v>21.534172802338841</v>
      </c>
      <c r="AI138" s="425">
        <f t="shared" si="10"/>
        <v>8.5</v>
      </c>
      <c r="AJ138" s="425">
        <f t="shared" si="11"/>
        <v>7</v>
      </c>
      <c r="AK138" s="425">
        <f t="shared" si="12"/>
        <v>20.5</v>
      </c>
      <c r="AL138" s="425">
        <f t="shared" si="13"/>
        <v>19</v>
      </c>
      <c r="AM138" s="425">
        <v>0.3</v>
      </c>
      <c r="AN138" s="391"/>
      <c r="AO138" s="407">
        <v>90</v>
      </c>
      <c r="AP138" s="408">
        <v>0.54059259259259262</v>
      </c>
      <c r="AQ138" s="390"/>
    </row>
    <row r="139" spans="2:43" ht="15.75" customHeight="1">
      <c r="B139" s="433"/>
      <c r="C139" s="248">
        <f>VLOOKUP($B$134,$B$7:$L$21,9,TRUE)</f>
        <v>-7.5646329999999996E-4</v>
      </c>
      <c r="D139" s="248">
        <f>VLOOKUP($B$134,$P$7:$Z$21,9,TRUE)</f>
        <v>-1.6215580000000001E-4</v>
      </c>
      <c r="E139" s="492"/>
      <c r="F139" s="495"/>
      <c r="G139" s="495"/>
      <c r="H139" s="495"/>
      <c r="I139" s="495"/>
      <c r="J139" s="495"/>
      <c r="K139" s="495"/>
      <c r="L139" s="495"/>
      <c r="M139" s="495"/>
      <c r="N139" s="495"/>
      <c r="O139" s="495"/>
      <c r="P139" s="495"/>
      <c r="Q139" s="495"/>
      <c r="R139" s="495"/>
      <c r="S139" s="495"/>
      <c r="T139" s="495"/>
      <c r="U139" s="495"/>
      <c r="V139" s="495"/>
      <c r="W139" s="248"/>
      <c r="X139"/>
      <c r="AB139" s="425">
        <f t="shared" si="4"/>
        <v>0.94750241796586976</v>
      </c>
      <c r="AC139" s="426">
        <f t="shared" si="5"/>
        <v>1.0123154368895693</v>
      </c>
      <c r="AD139" s="428">
        <f t="shared" si="7"/>
        <v>42.330059814251996</v>
      </c>
      <c r="AE139" s="425">
        <v>40.601779525376109</v>
      </c>
      <c r="AF139" s="400">
        <v>42.851372994426107</v>
      </c>
      <c r="AG139" s="429">
        <f t="shared" si="8"/>
        <v>6.1724705652034499</v>
      </c>
      <c r="AH139" s="429">
        <f t="shared" si="9"/>
        <v>21.111810668615703</v>
      </c>
      <c r="AI139" s="425">
        <f t="shared" si="10"/>
        <v>8.25</v>
      </c>
      <c r="AJ139" s="425">
        <f t="shared" si="11"/>
        <v>7</v>
      </c>
      <c r="AK139" s="425">
        <f t="shared" si="12"/>
        <v>20.25</v>
      </c>
      <c r="AL139" s="425">
        <f t="shared" si="13"/>
        <v>19</v>
      </c>
      <c r="AM139" s="425">
        <v>0.25</v>
      </c>
      <c r="AN139" s="391"/>
      <c r="AO139" s="407">
        <v>80</v>
      </c>
      <c r="AP139" s="408">
        <v>0.46349999999999997</v>
      </c>
      <c r="AQ139" s="390"/>
    </row>
    <row r="140" spans="2:43" ht="15.75" customHeight="1">
      <c r="B140" s="433"/>
      <c r="C140" s="248">
        <f>VLOOKUP($B$134,$B$7:$L$21,10,TRUE)</f>
        <v>-7.5454539999999997E-5</v>
      </c>
      <c r="D140" s="248">
        <f>VLOOKUP($B$134,$P$7:$Z$21,10,TRUE)</f>
        <v>4.3334359999999998E-4</v>
      </c>
      <c r="E140" s="492"/>
      <c r="F140" s="495"/>
      <c r="G140" s="495"/>
      <c r="H140" s="495"/>
      <c r="I140" s="495"/>
      <c r="J140" s="495"/>
      <c r="K140" s="495"/>
      <c r="L140" s="495"/>
      <c r="M140" s="495"/>
      <c r="N140" s="495"/>
      <c r="O140" s="495"/>
      <c r="P140" s="495"/>
      <c r="Q140" s="495"/>
      <c r="R140" s="495"/>
      <c r="S140" s="495"/>
      <c r="T140" s="495"/>
      <c r="U140" s="495"/>
      <c r="V140" s="495"/>
      <c r="W140" s="248"/>
      <c r="X140"/>
      <c r="AB140" s="425">
        <f t="shared" si="4"/>
        <v>0.94978391891389147</v>
      </c>
      <c r="AC140" s="426">
        <f t="shared" si="5"/>
        <v>1.0122037568616398</v>
      </c>
      <c r="AD140" s="428">
        <f t="shared" si="7"/>
        <v>33.864047851401601</v>
      </c>
      <c r="AE140" s="425">
        <v>32.556043955075417</v>
      </c>
      <c r="AF140" s="400">
        <v>34.27731645773104</v>
      </c>
      <c r="AG140" s="429">
        <f t="shared" si="8"/>
        <v>6.33797645216276</v>
      </c>
      <c r="AH140" s="429">
        <f t="shared" si="9"/>
        <v>20.689448534892563</v>
      </c>
      <c r="AI140" s="425">
        <f t="shared" si="10"/>
        <v>8</v>
      </c>
      <c r="AJ140" s="425">
        <f t="shared" si="11"/>
        <v>7</v>
      </c>
      <c r="AK140" s="425">
        <f t="shared" si="12"/>
        <v>20</v>
      </c>
      <c r="AL140" s="425">
        <f t="shared" si="13"/>
        <v>19</v>
      </c>
      <c r="AM140" s="425">
        <v>0.2</v>
      </c>
      <c r="AN140" s="391"/>
      <c r="AO140" s="407">
        <v>75</v>
      </c>
      <c r="AP140" s="408">
        <v>0.42942222222222226</v>
      </c>
      <c r="AQ140" s="390"/>
    </row>
    <row r="141" spans="2:43" ht="15.75" customHeight="1" thickBot="1">
      <c r="B141" s="433"/>
      <c r="C141" s="248">
        <f>VLOOKUP($B$134,$B$7:$L$21,11,TRUE)</f>
        <v>2.0739610000000001E-5</v>
      </c>
      <c r="D141" s="248">
        <f>VLOOKUP($B$134,$P$7:$Z$21,11,TRUE)</f>
        <v>9.7814229999999998E-5</v>
      </c>
      <c r="E141" s="492"/>
      <c r="F141" s="495"/>
      <c r="G141" s="495"/>
      <c r="H141" s="495"/>
      <c r="I141" s="495"/>
      <c r="J141" s="495"/>
      <c r="K141" s="495"/>
      <c r="L141" s="495"/>
      <c r="M141" s="495"/>
      <c r="N141" s="495"/>
      <c r="O141" s="495"/>
      <c r="P141" s="495"/>
      <c r="Q141" s="495"/>
      <c r="R141" s="495"/>
      <c r="S141" s="495"/>
      <c r="T141" s="495"/>
      <c r="U141" s="495"/>
      <c r="V141" s="495"/>
      <c r="W141" s="248"/>
      <c r="AB141" s="425">
        <f t="shared" si="4"/>
        <v>2.4278181535112298</v>
      </c>
      <c r="AC141" s="426">
        <f t="shared" si="5"/>
        <v>1.4486257938690925</v>
      </c>
      <c r="AD141" s="428">
        <f t="shared" si="7"/>
        <v>20.318428710840958</v>
      </c>
      <c r="AE141" s="425">
        <f t="shared" si="6"/>
        <v>71.459913776027648</v>
      </c>
      <c r="AF141" s="400">
        <v>29.433799921414547</v>
      </c>
      <c r="AG141" s="429">
        <f t="shared" si="8"/>
        <v>6.6027858712976562</v>
      </c>
      <c r="AH141" s="429">
        <f t="shared" si="9"/>
        <v>20.013669120935539</v>
      </c>
      <c r="AI141" s="425">
        <f t="shared" si="10"/>
        <v>7.6</v>
      </c>
      <c r="AJ141" s="425">
        <f t="shared" si="11"/>
        <v>7</v>
      </c>
      <c r="AK141" s="425">
        <f t="shared" si="12"/>
        <v>19.600000000000001</v>
      </c>
      <c r="AL141" s="425">
        <f t="shared" si="13"/>
        <v>19</v>
      </c>
      <c r="AM141" s="425">
        <v>0.12</v>
      </c>
      <c r="AN141" s="391"/>
      <c r="AO141" s="407">
        <v>70</v>
      </c>
      <c r="AP141" s="408">
        <v>0.39761904761904759</v>
      </c>
      <c r="AQ141" s="390"/>
    </row>
    <row r="142" spans="2:43" ht="15.75" customHeight="1" thickBot="1">
      <c r="B142" s="433"/>
      <c r="C142" s="492"/>
      <c r="D142" s="492"/>
      <c r="E142" s="492"/>
      <c r="F142" s="492"/>
      <c r="G142" s="492"/>
      <c r="H142" s="492"/>
      <c r="I142" s="492"/>
      <c r="J142" s="492"/>
      <c r="K142" s="492"/>
      <c r="L142" s="492"/>
      <c r="M142" s="492"/>
      <c r="N142" s="492"/>
      <c r="O142" s="492"/>
      <c r="P142" s="492"/>
      <c r="Q142" s="492"/>
      <c r="R142" s="492"/>
      <c r="S142" s="492"/>
      <c r="T142" s="492"/>
      <c r="U142" s="492"/>
      <c r="V142" s="492"/>
      <c r="W142" s="248"/>
      <c r="AB142" s="409"/>
      <c r="AC142" s="410">
        <f>(1/((0.01/AC130)+(0.42/AC133)+(0.45/AC136)+(0.12/AC139)))</f>
        <v>0.72581128524075988</v>
      </c>
      <c r="AD142" s="391"/>
      <c r="AE142" s="391"/>
      <c r="AF142" s="391">
        <v>3.9868911680000001</v>
      </c>
      <c r="AG142" s="391"/>
      <c r="AH142" s="391"/>
      <c r="AI142" s="391"/>
      <c r="AJ142" s="391"/>
      <c r="AK142" s="391"/>
      <c r="AL142" s="391"/>
      <c r="AM142" s="391"/>
      <c r="AN142" s="391"/>
      <c r="AO142" s="407">
        <v>60</v>
      </c>
      <c r="AP142" s="408">
        <v>0.33900000000000002</v>
      </c>
      <c r="AQ142" s="390"/>
    </row>
    <row r="143" spans="2:43" ht="15.75" customHeight="1" thickBot="1">
      <c r="B143" s="433"/>
      <c r="C143" s="492"/>
      <c r="D143" s="492"/>
      <c r="E143" s="492"/>
      <c r="F143" s="492" t="s">
        <v>1048</v>
      </c>
      <c r="G143" s="492"/>
      <c r="H143" s="492"/>
      <c r="I143" s="492"/>
      <c r="J143" s="492"/>
      <c r="K143" s="492"/>
      <c r="L143" s="492"/>
      <c r="M143" s="492"/>
      <c r="N143" s="492"/>
      <c r="O143" s="492"/>
      <c r="P143" s="492"/>
      <c r="Q143" s="492"/>
      <c r="R143" s="492"/>
      <c r="S143" s="492"/>
      <c r="T143" s="492"/>
      <c r="U143" s="492"/>
      <c r="V143" s="492"/>
      <c r="W143" s="248"/>
      <c r="AB143" s="409"/>
      <c r="AC143" s="391"/>
      <c r="AD143" s="391"/>
      <c r="AE143" s="411">
        <f>AE130/2</f>
        <v>297.74964073344853</v>
      </c>
      <c r="AF143" s="391"/>
      <c r="AG143" s="391"/>
      <c r="AH143" s="391"/>
      <c r="AI143" s="391"/>
      <c r="AJ143" s="391"/>
      <c r="AK143" s="412" t="s">
        <v>449</v>
      </c>
      <c r="AL143" s="413" t="s">
        <v>450</v>
      </c>
      <c r="AM143" s="391"/>
      <c r="AN143" s="391"/>
      <c r="AO143" s="407">
        <v>50</v>
      </c>
      <c r="AP143" s="408">
        <v>0.28319999999999995</v>
      </c>
      <c r="AQ143" s="390"/>
    </row>
    <row r="144" spans="2:43" ht="15.75" customHeight="1">
      <c r="B144" s="433"/>
      <c r="C144" s="477">
        <f>C128*2</f>
        <v>139.0381463447996</v>
      </c>
      <c r="D144" s="477">
        <f>D128*2</f>
        <v>70.95653715727866</v>
      </c>
      <c r="E144" s="492"/>
      <c r="F144" s="492" t="s">
        <v>1049</v>
      </c>
      <c r="G144" s="492"/>
      <c r="H144" s="492"/>
      <c r="I144" s="492"/>
      <c r="J144" s="492"/>
      <c r="K144" s="492"/>
      <c r="L144" s="492"/>
      <c r="M144" s="492"/>
      <c r="N144" s="492"/>
      <c r="O144" s="492"/>
      <c r="P144" s="492"/>
      <c r="Q144" s="492"/>
      <c r="R144" s="492"/>
      <c r="S144" s="492"/>
      <c r="T144" s="492"/>
      <c r="U144" s="492"/>
      <c r="V144" s="492"/>
      <c r="W144" s="248"/>
      <c r="AB144" s="409"/>
      <c r="AC144" s="391"/>
      <c r="AD144" s="391">
        <f>AD145*1.05</f>
        <v>132.82500000000002</v>
      </c>
      <c r="AE144" s="411">
        <f>AE131/2</f>
        <v>267.97467666010368</v>
      </c>
      <c r="AF144" s="391"/>
      <c r="AG144" s="391"/>
      <c r="AH144" s="391"/>
      <c r="AI144" s="391"/>
      <c r="AJ144" s="391"/>
      <c r="AK144" s="414">
        <v>100</v>
      </c>
      <c r="AL144" s="415">
        <f>AC130</f>
        <v>0.74952576700661977</v>
      </c>
      <c r="AM144" s="391"/>
      <c r="AN144" s="391"/>
      <c r="AO144" s="407">
        <v>40</v>
      </c>
      <c r="AP144" s="408">
        <v>0.27783333333333338</v>
      </c>
      <c r="AQ144" s="390"/>
    </row>
    <row r="145" spans="1:43" ht="15.75" customHeight="1">
      <c r="B145" s="248"/>
      <c r="C145" s="248"/>
      <c r="D145" s="248"/>
      <c r="E145" s="248"/>
      <c r="F145" s="248"/>
      <c r="G145" s="248"/>
      <c r="H145" s="248"/>
      <c r="I145" s="248"/>
      <c r="J145" s="248"/>
      <c r="K145" s="248"/>
      <c r="L145" s="248"/>
      <c r="M145" s="248"/>
      <c r="N145" s="248"/>
      <c r="O145" s="248"/>
      <c r="P145" s="248"/>
      <c r="Q145" s="248"/>
      <c r="R145" s="248"/>
      <c r="S145" s="248"/>
      <c r="T145" s="248"/>
      <c r="U145" s="248"/>
      <c r="V145" s="248"/>
      <c r="W145" s="248"/>
      <c r="AB145" s="409"/>
      <c r="AC145" s="391"/>
      <c r="AD145" s="391">
        <v>126.5</v>
      </c>
      <c r="AE145" s="411">
        <f>AE132/2</f>
        <v>238.19971258675886</v>
      </c>
      <c r="AF145" s="391"/>
      <c r="AG145" s="391"/>
      <c r="AH145" s="391"/>
      <c r="AI145" s="391"/>
      <c r="AJ145" s="391"/>
      <c r="AK145" s="416">
        <v>75</v>
      </c>
      <c r="AL145" s="415">
        <f>AC133</f>
        <v>0.75622675417380636</v>
      </c>
      <c r="AM145" s="391"/>
      <c r="AN145" s="391"/>
      <c r="AO145" s="407">
        <v>30</v>
      </c>
      <c r="AP145" s="408">
        <v>0.33333333333333331</v>
      </c>
      <c r="AQ145" s="390"/>
    </row>
    <row r="146" spans="1:43" ht="15.75" customHeight="1">
      <c r="B146" s="248"/>
      <c r="C146" s="248"/>
      <c r="D146" s="248"/>
      <c r="E146" s="248"/>
      <c r="F146" s="248"/>
      <c r="G146" s="248"/>
      <c r="H146" s="248"/>
      <c r="I146" s="248"/>
      <c r="J146" s="248"/>
      <c r="K146" s="248"/>
      <c r="L146" s="248"/>
      <c r="M146" s="248"/>
      <c r="N146" s="248"/>
      <c r="O146" s="248"/>
      <c r="P146" s="248"/>
      <c r="Q146" s="248"/>
      <c r="R146" s="248"/>
      <c r="S146" s="248"/>
      <c r="T146" s="248"/>
      <c r="U146" s="248"/>
      <c r="V146" s="248"/>
      <c r="W146" s="248"/>
      <c r="AB146" s="409"/>
      <c r="AC146" s="391"/>
      <c r="AD146" s="391"/>
      <c r="AE146" s="417" t="s">
        <v>988</v>
      </c>
      <c r="AF146" s="417"/>
      <c r="AG146" s="391"/>
      <c r="AH146" s="391">
        <f>42.47-41.48</f>
        <v>0.99000000000000199</v>
      </c>
      <c r="AI146" s="391"/>
      <c r="AJ146" s="391"/>
      <c r="AK146" s="416">
        <v>50</v>
      </c>
      <c r="AL146" s="415">
        <f>AC136</f>
        <v>0.65170380438678288</v>
      </c>
      <c r="AM146" s="391"/>
      <c r="AN146" s="391"/>
      <c r="AO146" s="407">
        <v>25</v>
      </c>
      <c r="AP146" s="408">
        <v>0.32</v>
      </c>
      <c r="AQ146" s="390"/>
    </row>
    <row r="147" spans="1:43" ht="15.75" customHeight="1" thickBot="1">
      <c r="B147" s="248"/>
      <c r="C147" s="248"/>
      <c r="D147" s="248"/>
      <c r="E147" s="248"/>
      <c r="F147" s="248"/>
      <c r="G147" s="248"/>
      <c r="H147" s="248"/>
      <c r="I147" s="248"/>
      <c r="J147" s="248"/>
      <c r="K147" s="248"/>
      <c r="L147" s="248"/>
      <c r="M147" s="248"/>
      <c r="N147" s="248"/>
      <c r="O147" s="248"/>
      <c r="P147" s="248"/>
      <c r="Q147" s="248"/>
      <c r="R147" s="248"/>
      <c r="S147" s="248"/>
      <c r="T147" s="248"/>
      <c r="U147" s="248"/>
      <c r="V147" s="248"/>
      <c r="W147" s="248"/>
      <c r="AB147" s="409" t="s">
        <v>987</v>
      </c>
      <c r="AC147" s="418">
        <v>45315</v>
      </c>
      <c r="AD147" s="391"/>
      <c r="AE147" s="391"/>
      <c r="AF147" s="391"/>
      <c r="AG147" s="391"/>
      <c r="AH147" s="391"/>
      <c r="AI147" s="391"/>
      <c r="AJ147" s="391"/>
      <c r="AK147" s="419">
        <v>25</v>
      </c>
      <c r="AL147" s="415">
        <f>AC139</f>
        <v>1.0123154368895693</v>
      </c>
      <c r="AM147" s="391"/>
      <c r="AN147" s="391"/>
      <c r="AO147" s="407">
        <v>20</v>
      </c>
      <c r="AP147" s="408">
        <v>0.4</v>
      </c>
      <c r="AQ147" s="390"/>
    </row>
    <row r="148" spans="1:43" ht="15.75" customHeight="1" thickBot="1"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8"/>
      <c r="P148" s="248"/>
      <c r="Q148" s="248"/>
      <c r="R148" s="248"/>
      <c r="S148" s="248"/>
      <c r="T148" s="248"/>
      <c r="U148" s="248"/>
      <c r="V148" s="248"/>
      <c r="W148" s="248"/>
      <c r="AB148" s="409"/>
      <c r="AC148" s="391"/>
      <c r="AD148" s="391"/>
      <c r="AE148" s="391"/>
      <c r="AF148" s="391"/>
      <c r="AG148" s="391"/>
      <c r="AH148" s="391"/>
      <c r="AI148" s="391"/>
      <c r="AJ148" s="391"/>
      <c r="AK148" s="420" t="s">
        <v>986</v>
      </c>
      <c r="AL148" s="421">
        <f>AC142</f>
        <v>0.72581128524075988</v>
      </c>
      <c r="AM148" s="391"/>
      <c r="AN148" s="391"/>
      <c r="AO148" s="407">
        <v>10</v>
      </c>
      <c r="AP148" s="408">
        <v>0.66666666666666663</v>
      </c>
      <c r="AQ148" s="390"/>
    </row>
    <row r="149" spans="1:43" ht="15.75" customHeight="1" thickBot="1">
      <c r="B149" s="248"/>
      <c r="C149" s="248"/>
      <c r="D149" s="248"/>
      <c r="E149" s="248"/>
      <c r="F149" s="248"/>
      <c r="G149" s="248"/>
      <c r="H149" s="248"/>
      <c r="I149" s="248"/>
      <c r="J149" s="248"/>
      <c r="K149" s="248"/>
      <c r="L149" s="248"/>
      <c r="M149" s="248"/>
      <c r="N149" s="248"/>
      <c r="O149" s="248"/>
      <c r="P149" s="248"/>
      <c r="Q149" s="248"/>
      <c r="R149" s="248"/>
      <c r="S149" s="248"/>
      <c r="T149" s="248"/>
      <c r="U149" s="248"/>
      <c r="V149" s="248"/>
      <c r="W149" s="248"/>
      <c r="AB149" s="422"/>
      <c r="AC149" s="423"/>
      <c r="AD149" s="423"/>
      <c r="AE149" s="423"/>
      <c r="AF149" s="423"/>
      <c r="AG149" s="423"/>
      <c r="AH149" s="423"/>
      <c r="AI149" s="423"/>
      <c r="AJ149" s="423"/>
      <c r="AK149" s="423"/>
      <c r="AL149" s="423"/>
      <c r="AM149" s="423"/>
      <c r="AN149" s="423"/>
      <c r="AO149" s="432" t="s">
        <v>985</v>
      </c>
      <c r="AP149" s="432">
        <v>0.33810438930316156</v>
      </c>
      <c r="AQ149" s="390"/>
    </row>
    <row r="150" spans="1:43" ht="15.75" customHeight="1" thickBot="1">
      <c r="B150" s="248"/>
      <c r="C150" s="248"/>
      <c r="D150" s="248"/>
      <c r="E150" s="248"/>
      <c r="F150" s="248"/>
      <c r="G150" s="248"/>
      <c r="H150" s="248"/>
      <c r="I150" s="248"/>
      <c r="J150" s="248"/>
      <c r="K150" s="248"/>
      <c r="L150" s="248"/>
      <c r="M150" s="248"/>
      <c r="N150" s="248"/>
      <c r="O150" s="248"/>
      <c r="P150" s="248"/>
      <c r="Q150" s="248"/>
      <c r="R150" s="248"/>
      <c r="S150" s="248"/>
      <c r="T150" s="248"/>
      <c r="U150" s="248"/>
      <c r="V150" s="248"/>
      <c r="W150" s="248"/>
      <c r="AB150" s="433"/>
      <c r="AC150" s="433"/>
      <c r="AD150" s="433"/>
      <c r="AE150" s="433"/>
      <c r="AF150" s="433"/>
      <c r="AG150" s="433"/>
      <c r="AH150" s="481"/>
      <c r="AI150" s="481"/>
      <c r="AJ150" s="481"/>
      <c r="AK150" s="481"/>
      <c r="AL150" s="481"/>
      <c r="AM150" s="481"/>
      <c r="AN150" s="481"/>
      <c r="AO150" s="481"/>
      <c r="AP150" s="481"/>
    </row>
    <row r="151" spans="1:43" ht="15.75" customHeight="1" thickBot="1">
      <c r="A151" s="248"/>
      <c r="B151" s="248"/>
      <c r="C151" s="248"/>
      <c r="D151" s="248"/>
      <c r="E151" s="248"/>
      <c r="F151" s="248"/>
      <c r="G151" s="248"/>
      <c r="H151" s="248"/>
      <c r="I151" s="248"/>
      <c r="J151" s="248"/>
      <c r="K151" s="248"/>
      <c r="L151" s="248"/>
      <c r="M151" s="248"/>
      <c r="N151" s="248"/>
      <c r="O151" s="248"/>
      <c r="P151" s="248"/>
      <c r="Q151" s="248"/>
      <c r="R151" s="248"/>
      <c r="S151" s="248"/>
      <c r="T151" s="248"/>
      <c r="U151" s="248"/>
      <c r="V151" s="248"/>
      <c r="W151" s="240"/>
      <c r="AB151" s="442" t="s">
        <v>816</v>
      </c>
      <c r="AC151" s="443"/>
      <c r="AD151" s="444"/>
      <c r="AE151" s="392"/>
      <c r="AF151" s="392"/>
      <c r="AG151" s="392"/>
      <c r="AH151" s="392"/>
      <c r="AI151" s="392"/>
      <c r="AJ151" s="392"/>
      <c r="AK151" s="392"/>
      <c r="AL151" s="392"/>
      <c r="AM151" s="392"/>
      <c r="AN151" s="392"/>
      <c r="AO151" s="490"/>
      <c r="AP151" s="491"/>
    </row>
    <row r="152" spans="1:43" ht="15.75" customHeight="1" thickBot="1">
      <c r="A152" s="248"/>
      <c r="B152" s="248"/>
      <c r="C152" s="248"/>
      <c r="D152" s="248"/>
      <c r="E152" s="248"/>
      <c r="F152" s="248"/>
      <c r="G152" s="248"/>
      <c r="H152" s="248"/>
      <c r="I152" s="248"/>
      <c r="J152" s="248"/>
      <c r="K152" s="248"/>
      <c r="L152" s="248"/>
      <c r="M152" s="248"/>
      <c r="N152" s="248"/>
      <c r="O152" s="248"/>
      <c r="P152" s="248"/>
      <c r="Q152" s="248"/>
      <c r="R152" s="248"/>
      <c r="S152" s="248"/>
      <c r="T152" s="248"/>
      <c r="U152" s="248"/>
      <c r="V152" s="248"/>
      <c r="W152" s="240"/>
      <c r="AB152" s="445"/>
      <c r="AC152" s="446"/>
      <c r="AD152" s="447"/>
      <c r="AE152" s="391"/>
      <c r="AF152" s="391"/>
      <c r="AG152" s="391"/>
      <c r="AH152" s="391"/>
      <c r="AI152" s="391"/>
      <c r="AJ152" s="391"/>
      <c r="AK152" s="391"/>
      <c r="AL152" s="391"/>
      <c r="AM152" s="391"/>
      <c r="AN152" s="391"/>
      <c r="AO152" s="391"/>
      <c r="AP152" s="393"/>
    </row>
    <row r="153" spans="1:43" ht="15.75" customHeight="1" thickBot="1">
      <c r="A153" s="248"/>
      <c r="B153" s="248"/>
      <c r="C153" s="248"/>
      <c r="D153" s="248"/>
      <c r="E153" s="248"/>
      <c r="F153" s="248"/>
      <c r="G153" s="248"/>
      <c r="H153" s="248"/>
      <c r="I153" s="248"/>
      <c r="J153" s="248"/>
      <c r="K153" s="248"/>
      <c r="L153" s="248"/>
      <c r="M153" s="248"/>
      <c r="N153" s="248"/>
      <c r="O153" s="248"/>
      <c r="P153" s="248"/>
      <c r="Q153" s="248"/>
      <c r="R153" s="248"/>
      <c r="S153" s="248"/>
      <c r="T153" s="248"/>
      <c r="U153" s="248"/>
      <c r="V153" s="248"/>
      <c r="W153" s="240"/>
      <c r="AB153" s="436" t="s">
        <v>436</v>
      </c>
      <c r="AC153" s="436" t="s">
        <v>437</v>
      </c>
      <c r="AD153" s="436" t="s">
        <v>438</v>
      </c>
      <c r="AE153" s="436" t="s">
        <v>439</v>
      </c>
      <c r="AF153" s="438" t="s">
        <v>440</v>
      </c>
      <c r="AG153" s="438" t="s">
        <v>441</v>
      </c>
      <c r="AH153" s="438" t="s">
        <v>442</v>
      </c>
      <c r="AI153" s="486" t="s">
        <v>18</v>
      </c>
      <c r="AJ153" s="487"/>
      <c r="AK153" s="486" t="s">
        <v>19</v>
      </c>
      <c r="AL153" s="487"/>
      <c r="AM153" s="488" t="s">
        <v>443</v>
      </c>
      <c r="AN153" s="391"/>
      <c r="AO153" s="394" t="s">
        <v>451</v>
      </c>
      <c r="AP153" s="394" t="s">
        <v>452</v>
      </c>
    </row>
    <row r="154" spans="1:43" ht="15.75" customHeight="1" thickBot="1">
      <c r="A154" s="248"/>
      <c r="B154" s="248"/>
      <c r="C154" s="248"/>
      <c r="D154" s="248"/>
      <c r="E154" s="248"/>
      <c r="F154" s="248"/>
      <c r="G154" s="248"/>
      <c r="H154" s="248"/>
      <c r="I154" s="248"/>
      <c r="J154" s="248"/>
      <c r="K154" s="248"/>
      <c r="L154" s="248"/>
      <c r="M154" s="248"/>
      <c r="N154" s="248"/>
      <c r="O154" s="248"/>
      <c r="P154" s="248"/>
      <c r="Q154" s="248"/>
      <c r="R154" s="248"/>
      <c r="S154" s="248"/>
      <c r="T154" s="248"/>
      <c r="U154" s="248"/>
      <c r="V154" s="248"/>
      <c r="W154" s="240"/>
      <c r="AB154" s="437"/>
      <c r="AC154" s="437"/>
      <c r="AD154" s="437"/>
      <c r="AE154" s="437"/>
      <c r="AF154" s="439"/>
      <c r="AG154" s="439"/>
      <c r="AH154" s="439"/>
      <c r="AI154" s="395" t="s">
        <v>444</v>
      </c>
      <c r="AJ154" s="396" t="s">
        <v>445</v>
      </c>
      <c r="AK154" s="396" t="s">
        <v>446</v>
      </c>
      <c r="AL154" s="396" t="s">
        <v>447</v>
      </c>
      <c r="AM154" s="489"/>
      <c r="AN154" s="391"/>
      <c r="AO154" s="397">
        <f>(AJ155-AG155)</f>
        <v>3.3101177391861989</v>
      </c>
      <c r="AP154" s="397">
        <f>(AH155-AK155)</f>
        <v>3.4472426744628066</v>
      </c>
    </row>
    <row r="155" spans="1:43" ht="15.75" customHeight="1" thickBot="1">
      <c r="A155" s="248"/>
      <c r="B155" s="248"/>
      <c r="C155" s="248"/>
      <c r="D155" s="248"/>
      <c r="E155" s="248"/>
      <c r="F155" s="248"/>
      <c r="G155" s="248"/>
      <c r="H155" s="248"/>
      <c r="I155" s="248"/>
      <c r="J155" s="248"/>
      <c r="K155" s="248"/>
      <c r="L155" s="248"/>
      <c r="M155" s="248"/>
      <c r="N155" s="248"/>
      <c r="O155" s="248"/>
      <c r="P155" s="248"/>
      <c r="Q155" s="248"/>
      <c r="R155" s="248"/>
      <c r="S155" s="248"/>
      <c r="T155" s="248"/>
      <c r="U155" s="248"/>
      <c r="V155" s="248"/>
      <c r="W155" s="240"/>
      <c r="AB155" s="398">
        <f t="shared" ref="AB155:AB166" si="14">(AE155/AF155)</f>
        <v>4.6923003248385164</v>
      </c>
      <c r="AC155" s="399">
        <f t="shared" ref="AC155:AC166" si="15">(AF155/AD155)</f>
        <v>0.74952576700661977</v>
      </c>
      <c r="AD155" s="400">
        <f>AG14</f>
        <v>169.32023925700798</v>
      </c>
      <c r="AE155" s="398">
        <f t="shared" ref="AE155:AE166" si="16">(AD155*3.517)</f>
        <v>595.49928146689706</v>
      </c>
      <c r="AF155" s="400">
        <f>AG15</f>
        <v>126.90988219885328</v>
      </c>
      <c r="AG155" s="400">
        <f>AG9</f>
        <v>3.6898822608138011</v>
      </c>
      <c r="AH155" s="400">
        <f>AG10</f>
        <v>38.447242674462807</v>
      </c>
      <c r="AI155" s="400">
        <f>'Input data'!F13</f>
        <v>12</v>
      </c>
      <c r="AJ155" s="401">
        <f>'Input data'!F12</f>
        <v>7</v>
      </c>
      <c r="AK155" s="400">
        <f>'Input data'!J13</f>
        <v>35</v>
      </c>
      <c r="AL155" s="401">
        <f>'Input data'!J12</f>
        <v>30</v>
      </c>
      <c r="AM155" s="398">
        <v>1</v>
      </c>
      <c r="AN155" s="391"/>
      <c r="AO155" s="391"/>
      <c r="AP155" s="393"/>
    </row>
    <row r="156" spans="1:43" ht="15.75" customHeight="1">
      <c r="A156" s="248"/>
      <c r="B156" s="248"/>
      <c r="C156" s="248"/>
      <c r="D156" s="248"/>
      <c r="E156" s="248"/>
      <c r="F156" s="248"/>
      <c r="G156" s="248"/>
      <c r="H156" s="248"/>
      <c r="I156" s="248"/>
      <c r="J156" s="248"/>
      <c r="K156" s="248"/>
      <c r="L156" s="248"/>
      <c r="M156" s="248"/>
      <c r="N156" s="248"/>
      <c r="O156" s="248"/>
      <c r="P156" s="248"/>
      <c r="Q156" s="248"/>
      <c r="R156" s="248"/>
      <c r="S156" s="248"/>
      <c r="T156" s="248"/>
      <c r="U156" s="248"/>
      <c r="V156" s="248"/>
      <c r="W156" s="240"/>
      <c r="AB156" s="398">
        <f t="shared" si="14"/>
        <v>4.2881896469881537</v>
      </c>
      <c r="AC156" s="399">
        <f t="shared" si="15"/>
        <v>0.82015962201443093</v>
      </c>
      <c r="AD156" s="398">
        <f t="shared" ref="AD156:AD166" si="17">($AD$155*AM156)</f>
        <v>152.38821533130718</v>
      </c>
      <c r="AE156" s="398">
        <f t="shared" si="16"/>
        <v>535.94935332020736</v>
      </c>
      <c r="AF156" s="400">
        <v>124.9826610855786</v>
      </c>
      <c r="AG156" s="398">
        <f t="shared" ref="AG156:AG166" si="18">(AJ156-($AO$154*AM156))</f>
        <v>4.0208940347324216</v>
      </c>
      <c r="AH156" s="398">
        <f t="shared" ref="AH156:AH166" si="19">(AK156+($AP$154*AM156))</f>
        <v>37.602518407016525</v>
      </c>
      <c r="AI156" s="398">
        <f t="shared" ref="AI156:AI166" si="20">AJ156+($AO$157*AM156)</f>
        <v>11.5</v>
      </c>
      <c r="AJ156" s="402">
        <f t="shared" ref="AJ156:AJ166" si="21">AJ155</f>
        <v>7</v>
      </c>
      <c r="AK156" s="398">
        <f t="shared" ref="AK156:AK166" si="22">AL156+(AM156*$AP$157)</f>
        <v>34.5</v>
      </c>
      <c r="AL156" s="402">
        <v>30</v>
      </c>
      <c r="AM156" s="398">
        <v>0.9</v>
      </c>
      <c r="AN156" s="391"/>
      <c r="AO156" s="403" t="s">
        <v>454</v>
      </c>
      <c r="AP156" s="403" t="s">
        <v>455</v>
      </c>
    </row>
    <row r="157" spans="1:43" ht="15.75" customHeight="1" thickBot="1">
      <c r="A157" s="248"/>
      <c r="B157" s="248"/>
      <c r="C157" s="248"/>
      <c r="D157" s="248"/>
      <c r="E157" s="248"/>
      <c r="F157" s="248"/>
      <c r="G157" s="248"/>
      <c r="H157" s="248"/>
      <c r="I157" s="248"/>
      <c r="J157" s="248"/>
      <c r="K157" s="248"/>
      <c r="L157" s="248"/>
      <c r="M157" s="248"/>
      <c r="N157" s="248"/>
      <c r="O157" s="248"/>
      <c r="P157" s="248"/>
      <c r="Q157" s="248"/>
      <c r="R157" s="248"/>
      <c r="S157" s="248"/>
      <c r="T157" s="248"/>
      <c r="U157" s="248"/>
      <c r="V157" s="248"/>
      <c r="W157" s="240"/>
      <c r="AB157" s="398">
        <f t="shared" si="14"/>
        <v>5.0086850806606096</v>
      </c>
      <c r="AC157" s="399">
        <f t="shared" si="15"/>
        <v>0.70218030148865607</v>
      </c>
      <c r="AD157" s="398">
        <f t="shared" si="17"/>
        <v>135.4561914056064</v>
      </c>
      <c r="AE157" s="398">
        <f t="shared" si="16"/>
        <v>476.39942517351773</v>
      </c>
      <c r="AF157" s="400">
        <v>95.114669319693803</v>
      </c>
      <c r="AG157" s="398">
        <f t="shared" si="18"/>
        <v>4.3519058086510407</v>
      </c>
      <c r="AH157" s="398">
        <f t="shared" si="19"/>
        <v>36.757794139570244</v>
      </c>
      <c r="AI157" s="398">
        <f t="shared" si="20"/>
        <v>11</v>
      </c>
      <c r="AJ157" s="402">
        <f t="shared" si="21"/>
        <v>7</v>
      </c>
      <c r="AK157" s="398">
        <f t="shared" si="22"/>
        <v>34</v>
      </c>
      <c r="AL157" s="402">
        <v>30</v>
      </c>
      <c r="AM157" s="398">
        <v>0.8</v>
      </c>
      <c r="AN157" s="391"/>
      <c r="AO157" s="404">
        <f>AI155-AJ155</f>
        <v>5</v>
      </c>
      <c r="AP157" s="404">
        <f>(AK155-AL155)</f>
        <v>5</v>
      </c>
    </row>
    <row r="158" spans="1:43" ht="15.75" customHeight="1">
      <c r="A158" s="248"/>
      <c r="B158" s="248"/>
      <c r="C158" s="248"/>
      <c r="D158" s="248"/>
      <c r="E158" s="248"/>
      <c r="F158" s="248"/>
      <c r="G158" s="248"/>
      <c r="H158" s="248"/>
      <c r="I158" s="248"/>
      <c r="J158" s="248"/>
      <c r="K158" s="248"/>
      <c r="L158" s="248"/>
      <c r="M158" s="248"/>
      <c r="N158" s="248"/>
      <c r="O158" s="248"/>
      <c r="P158" s="248"/>
      <c r="Q158" s="248"/>
      <c r="R158" s="248"/>
      <c r="S158" s="248"/>
      <c r="T158" s="248"/>
      <c r="U158" s="248"/>
      <c r="V158" s="248"/>
      <c r="W158" s="240"/>
      <c r="AB158" s="398">
        <f t="shared" si="14"/>
        <v>4.0868857860127017</v>
      </c>
      <c r="AC158" s="399">
        <f t="shared" si="15"/>
        <v>0.86055744744246931</v>
      </c>
      <c r="AD158" s="398">
        <f t="shared" si="17"/>
        <v>126.99017944275599</v>
      </c>
      <c r="AE158" s="398">
        <f t="shared" si="16"/>
        <v>446.62446110017282</v>
      </c>
      <c r="AF158" s="400">
        <v>109.28234467151923</v>
      </c>
      <c r="AG158" s="398">
        <f t="shared" si="18"/>
        <v>4.5174116956103507</v>
      </c>
      <c r="AH158" s="398">
        <f t="shared" si="19"/>
        <v>36.335432005847103</v>
      </c>
      <c r="AI158" s="398">
        <f t="shared" si="20"/>
        <v>10.75</v>
      </c>
      <c r="AJ158" s="402">
        <f t="shared" si="21"/>
        <v>7</v>
      </c>
      <c r="AK158" s="398">
        <f t="shared" si="22"/>
        <v>33.75</v>
      </c>
      <c r="AL158" s="402">
        <v>30</v>
      </c>
      <c r="AM158" s="398">
        <v>0.75</v>
      </c>
      <c r="AN158" s="391"/>
      <c r="AO158" s="391"/>
      <c r="AP158" s="393"/>
    </row>
    <row r="159" spans="1:43" ht="15.75" customHeight="1" thickBot="1">
      <c r="A159" s="248"/>
      <c r="B159" s="248"/>
      <c r="C159" s="248"/>
      <c r="D159" s="248"/>
      <c r="E159" s="248"/>
      <c r="F159" s="248"/>
      <c r="G159" s="248"/>
      <c r="H159" s="248"/>
      <c r="I159" s="248"/>
      <c r="J159" s="248"/>
      <c r="K159" s="248"/>
      <c r="L159" s="248"/>
      <c r="M159" s="248"/>
      <c r="N159" s="248"/>
      <c r="O159" s="248"/>
      <c r="P159" s="248"/>
      <c r="Q159" s="248"/>
      <c r="R159" s="248"/>
      <c r="S159" s="248"/>
      <c r="T159" s="248"/>
      <c r="U159" s="248"/>
      <c r="V159" s="248"/>
      <c r="W159" s="240"/>
      <c r="AB159" s="398">
        <f t="shared" si="14"/>
        <v>4.6947245569995166</v>
      </c>
      <c r="AC159" s="399">
        <f t="shared" si="15"/>
        <v>0.74913873163365696</v>
      </c>
      <c r="AD159" s="398">
        <f t="shared" si="17"/>
        <v>118.52416747990559</v>
      </c>
      <c r="AE159" s="398">
        <f t="shared" si="16"/>
        <v>416.84949702682792</v>
      </c>
      <c r="AF159" s="400">
        <v>88.791044493831606</v>
      </c>
      <c r="AG159" s="398">
        <f t="shared" si="18"/>
        <v>4.6829175825696607</v>
      </c>
      <c r="AH159" s="398">
        <f t="shared" si="19"/>
        <v>35.913069872123963</v>
      </c>
      <c r="AI159" s="398">
        <f t="shared" si="20"/>
        <v>10.5</v>
      </c>
      <c r="AJ159" s="402">
        <f t="shared" si="21"/>
        <v>7</v>
      </c>
      <c r="AK159" s="398">
        <f t="shared" si="22"/>
        <v>33.5</v>
      </c>
      <c r="AL159" s="402">
        <v>30</v>
      </c>
      <c r="AM159" s="398">
        <v>0.7</v>
      </c>
      <c r="AN159" s="391"/>
      <c r="AO159" s="391"/>
      <c r="AP159" s="393"/>
    </row>
    <row r="160" spans="1:43" ht="15.75" customHeight="1">
      <c r="A160" s="248"/>
      <c r="B160" s="248"/>
      <c r="C160" s="248"/>
      <c r="D160" s="248"/>
      <c r="E160" s="248"/>
      <c r="F160" s="248"/>
      <c r="G160" s="248"/>
      <c r="H160" s="248"/>
      <c r="I160" s="248"/>
      <c r="J160" s="248"/>
      <c r="K160" s="248"/>
      <c r="L160" s="248"/>
      <c r="M160" s="248"/>
      <c r="N160" s="248"/>
      <c r="O160" s="248"/>
      <c r="P160" s="248"/>
      <c r="Q160" s="248"/>
      <c r="R160" s="248"/>
      <c r="S160" s="248"/>
      <c r="T160" s="248"/>
      <c r="U160" s="248"/>
      <c r="V160" s="248"/>
      <c r="W160" s="240"/>
      <c r="AB160" s="398">
        <f t="shared" si="14"/>
        <v>4.0024260598170711</v>
      </c>
      <c r="AC160" s="399">
        <f t="shared" si="15"/>
        <v>0.87871704497165481</v>
      </c>
      <c r="AD160" s="398">
        <f t="shared" si="17"/>
        <v>101.59214355420478</v>
      </c>
      <c r="AE160" s="398">
        <f t="shared" si="16"/>
        <v>357.29956888013822</v>
      </c>
      <c r="AF160" s="400">
        <v>89.270748176286972</v>
      </c>
      <c r="AG160" s="398">
        <f t="shared" si="18"/>
        <v>5.0139293564882808</v>
      </c>
      <c r="AH160" s="398">
        <f t="shared" si="19"/>
        <v>35.068345604677681</v>
      </c>
      <c r="AI160" s="398">
        <f t="shared" si="20"/>
        <v>10</v>
      </c>
      <c r="AJ160" s="402">
        <f t="shared" si="21"/>
        <v>7</v>
      </c>
      <c r="AK160" s="398">
        <f t="shared" si="22"/>
        <v>33</v>
      </c>
      <c r="AL160" s="402">
        <v>30</v>
      </c>
      <c r="AM160" s="398">
        <v>0.6</v>
      </c>
      <c r="AN160" s="391"/>
      <c r="AO160" s="484" t="s">
        <v>443</v>
      </c>
      <c r="AP160" s="484" t="s">
        <v>450</v>
      </c>
    </row>
    <row r="161" spans="1:42" ht="15.75" customHeight="1" thickBot="1">
      <c r="A161" s="248"/>
      <c r="B161" s="248"/>
      <c r="C161" s="248"/>
      <c r="D161" s="248"/>
      <c r="E161" s="248"/>
      <c r="F161" s="248"/>
      <c r="G161" s="248"/>
      <c r="H161" s="248"/>
      <c r="I161" s="248"/>
      <c r="J161" s="248"/>
      <c r="K161" s="248"/>
      <c r="L161" s="248"/>
      <c r="M161" s="248"/>
      <c r="N161" s="248"/>
      <c r="O161" s="248"/>
      <c r="P161" s="248"/>
      <c r="Q161" s="248"/>
      <c r="R161" s="248"/>
      <c r="S161" s="248"/>
      <c r="T161" s="248"/>
      <c r="U161" s="248"/>
      <c r="V161" s="248"/>
      <c r="W161" s="240"/>
      <c r="AB161" s="398">
        <f t="shared" si="14"/>
        <v>4.0745470846466212</v>
      </c>
      <c r="AC161" s="399">
        <f t="shared" si="15"/>
        <v>0.86316342085049769</v>
      </c>
      <c r="AD161" s="398">
        <f t="shared" si="17"/>
        <v>84.660119628503992</v>
      </c>
      <c r="AE161" s="398">
        <f t="shared" si="16"/>
        <v>297.74964073344853</v>
      </c>
      <c r="AF161" s="400">
        <v>73.07551846815187</v>
      </c>
      <c r="AG161" s="398">
        <f t="shared" si="18"/>
        <v>5.3449411304069008</v>
      </c>
      <c r="AH161" s="398">
        <f t="shared" si="19"/>
        <v>34.223621337231407</v>
      </c>
      <c r="AI161" s="398">
        <f t="shared" si="20"/>
        <v>9.5</v>
      </c>
      <c r="AJ161" s="402">
        <f t="shared" si="21"/>
        <v>7</v>
      </c>
      <c r="AK161" s="398">
        <f t="shared" si="22"/>
        <v>32.5</v>
      </c>
      <c r="AL161" s="402">
        <v>30</v>
      </c>
      <c r="AM161" s="398">
        <v>0.5</v>
      </c>
      <c r="AN161" s="391"/>
      <c r="AO161" s="485"/>
      <c r="AP161" s="485"/>
    </row>
    <row r="162" spans="1:42" ht="15.75" customHeight="1">
      <c r="A162" s="248"/>
      <c r="B162" s="248"/>
      <c r="C162" s="248"/>
      <c r="D162" s="248"/>
      <c r="E162" s="248"/>
      <c r="F162" s="248"/>
      <c r="G162" s="248"/>
      <c r="H162" s="248"/>
      <c r="I162" s="248"/>
      <c r="J162" s="248"/>
      <c r="K162" s="248"/>
      <c r="L162" s="248"/>
      <c r="M162" s="248"/>
      <c r="N162" s="248"/>
      <c r="O162" s="248"/>
      <c r="P162" s="248"/>
      <c r="Q162" s="248"/>
      <c r="R162" s="248"/>
      <c r="S162" s="248"/>
      <c r="T162" s="248"/>
      <c r="U162" s="248"/>
      <c r="V162" s="248"/>
      <c r="W162" s="240"/>
      <c r="AB162" s="398">
        <f t="shared" si="14"/>
        <v>3.4187314983081243</v>
      </c>
      <c r="AC162" s="399">
        <f t="shared" si="15"/>
        <v>1.0287441414280434</v>
      </c>
      <c r="AD162" s="398">
        <f t="shared" si="17"/>
        <v>67.728095702803202</v>
      </c>
      <c r="AE162" s="398">
        <f t="shared" si="16"/>
        <v>238.19971258675886</v>
      </c>
      <c r="AF162" s="400">
        <v>69.674881664336638</v>
      </c>
      <c r="AG162" s="398">
        <f t="shared" si="18"/>
        <v>5.6759529043255199</v>
      </c>
      <c r="AH162" s="398">
        <f t="shared" si="19"/>
        <v>33.378897069785125</v>
      </c>
      <c r="AI162" s="398">
        <f t="shared" si="20"/>
        <v>9</v>
      </c>
      <c r="AJ162" s="402">
        <f t="shared" si="21"/>
        <v>7</v>
      </c>
      <c r="AK162" s="398">
        <f t="shared" si="22"/>
        <v>32</v>
      </c>
      <c r="AL162" s="402">
        <v>30</v>
      </c>
      <c r="AM162" s="398">
        <v>0.4</v>
      </c>
      <c r="AN162" s="391"/>
      <c r="AO162" s="405">
        <v>100</v>
      </c>
      <c r="AP162" s="406">
        <f t="shared" ref="AP162:AP173" si="23">AC155</f>
        <v>0.74952576700661977</v>
      </c>
    </row>
    <row r="163" spans="1:42" ht="15.75" customHeight="1">
      <c r="A163" s="248"/>
      <c r="B163" s="248"/>
      <c r="C163" s="248"/>
      <c r="D163" s="248"/>
      <c r="E163" s="248"/>
      <c r="F163" s="248"/>
      <c r="G163" s="248"/>
      <c r="H163" s="248"/>
      <c r="I163" s="248"/>
      <c r="J163" s="248"/>
      <c r="K163" s="248"/>
      <c r="L163" s="248"/>
      <c r="M163" s="248"/>
      <c r="N163" s="248"/>
      <c r="O163" s="248"/>
      <c r="P163" s="248"/>
      <c r="Q163" s="248"/>
      <c r="R163" s="248"/>
      <c r="S163" s="248"/>
      <c r="T163" s="248"/>
      <c r="U163" s="248"/>
      <c r="V163" s="248"/>
      <c r="W163" s="240"/>
      <c r="AB163" s="398">
        <f t="shared" si="14"/>
        <v>0.70504760208287776</v>
      </c>
      <c r="AC163" s="399">
        <f t="shared" si="15"/>
        <v>1.0817252370370363</v>
      </c>
      <c r="AD163" s="398">
        <f t="shared" si="17"/>
        <v>50.796071777102391</v>
      </c>
      <c r="AE163" s="398">
        <v>38.740527522808861</v>
      </c>
      <c r="AF163" s="400">
        <v>54.947392783636396</v>
      </c>
      <c r="AG163" s="398">
        <f t="shared" si="18"/>
        <v>6.0069646782441399</v>
      </c>
      <c r="AH163" s="398">
        <f t="shared" si="19"/>
        <v>32.534172802338844</v>
      </c>
      <c r="AI163" s="398">
        <f t="shared" si="20"/>
        <v>8.5</v>
      </c>
      <c r="AJ163" s="402">
        <f t="shared" si="21"/>
        <v>7</v>
      </c>
      <c r="AK163" s="398">
        <f t="shared" si="22"/>
        <v>31.5</v>
      </c>
      <c r="AL163" s="402">
        <v>30</v>
      </c>
      <c r="AM163" s="398">
        <v>0.3</v>
      </c>
      <c r="AN163" s="391"/>
      <c r="AO163" s="407">
        <v>90</v>
      </c>
      <c r="AP163" s="408">
        <f t="shared" si="23"/>
        <v>0.82015962201443093</v>
      </c>
    </row>
    <row r="164" spans="1:42" ht="15.75" customHeight="1">
      <c r="A164" s="248"/>
      <c r="B164" s="248"/>
      <c r="C164" s="248"/>
      <c r="D164" s="248"/>
      <c r="E164" s="248"/>
      <c r="F164" s="248"/>
      <c r="G164" s="248"/>
      <c r="H164" s="248"/>
      <c r="I164" s="248"/>
      <c r="J164" s="248"/>
      <c r="K164" s="248"/>
      <c r="L164" s="248"/>
      <c r="M164" s="248"/>
      <c r="N164" s="248"/>
      <c r="O164" s="248"/>
      <c r="P164" s="248"/>
      <c r="Q164" s="248"/>
      <c r="R164" s="248"/>
      <c r="S164" s="248"/>
      <c r="T164" s="248"/>
      <c r="U164" s="248"/>
      <c r="V164" s="248"/>
      <c r="W164" s="240"/>
      <c r="AB164" s="398">
        <f t="shared" si="14"/>
        <v>0.55530893034587936</v>
      </c>
      <c r="AC164" s="399">
        <f t="shared" si="15"/>
        <v>1.333489840689098</v>
      </c>
      <c r="AD164" s="398">
        <f t="shared" si="17"/>
        <v>42.330059814251996</v>
      </c>
      <c r="AE164" s="398">
        <v>31.345359218539421</v>
      </c>
      <c r="AF164" s="400">
        <v>56.446704718066883</v>
      </c>
      <c r="AG164" s="398">
        <f t="shared" si="18"/>
        <v>6.1724705652034499</v>
      </c>
      <c r="AH164" s="398">
        <f t="shared" si="19"/>
        <v>32.111810668615703</v>
      </c>
      <c r="AI164" s="398">
        <f t="shared" si="20"/>
        <v>8.25</v>
      </c>
      <c r="AJ164" s="402">
        <f t="shared" si="21"/>
        <v>7</v>
      </c>
      <c r="AK164" s="398">
        <f t="shared" si="22"/>
        <v>31.25</v>
      </c>
      <c r="AL164" s="402">
        <v>30</v>
      </c>
      <c r="AM164" s="398">
        <v>0.25</v>
      </c>
      <c r="AN164" s="391"/>
      <c r="AO164" s="407">
        <v>80</v>
      </c>
      <c r="AP164" s="408">
        <f t="shared" si="23"/>
        <v>0.70218030148865607</v>
      </c>
    </row>
    <row r="165" spans="1:42" ht="15.75" customHeight="1">
      <c r="A165" s="248"/>
      <c r="B165" s="248"/>
      <c r="C165" s="248"/>
      <c r="D165" s="248"/>
      <c r="E165" s="248"/>
      <c r="F165" s="248"/>
      <c r="G165" s="248"/>
      <c r="H165" s="248"/>
      <c r="I165" s="248"/>
      <c r="J165" s="248"/>
      <c r="K165" s="248"/>
      <c r="L165" s="248"/>
      <c r="M165" s="248"/>
      <c r="N165" s="248"/>
      <c r="O165" s="248"/>
      <c r="P165" s="248"/>
      <c r="Q165" s="248"/>
      <c r="R165" s="248"/>
      <c r="S165" s="248"/>
      <c r="T165" s="248"/>
      <c r="U165" s="248"/>
      <c r="V165" s="248"/>
      <c r="W165" s="240"/>
      <c r="AB165" s="398">
        <f t="shared" si="14"/>
        <v>0.99404608900201974</v>
      </c>
      <c r="AC165" s="399">
        <f t="shared" si="15"/>
        <v>1.3157607591495959</v>
      </c>
      <c r="AD165" s="398">
        <f t="shared" si="17"/>
        <v>33.864047851401601</v>
      </c>
      <c r="AE165" s="398">
        <v>44.291696983971278</v>
      </c>
      <c r="AF165" s="400">
        <v>44.556985308838414</v>
      </c>
      <c r="AG165" s="398">
        <f t="shared" si="18"/>
        <v>6.33797645216276</v>
      </c>
      <c r="AH165" s="398">
        <f t="shared" si="19"/>
        <v>31.689448534892563</v>
      </c>
      <c r="AI165" s="398">
        <f t="shared" si="20"/>
        <v>8</v>
      </c>
      <c r="AJ165" s="402">
        <f t="shared" si="21"/>
        <v>7</v>
      </c>
      <c r="AK165" s="398">
        <f t="shared" si="22"/>
        <v>31</v>
      </c>
      <c r="AL165" s="402">
        <v>30</v>
      </c>
      <c r="AM165" s="398">
        <v>0.2</v>
      </c>
      <c r="AN165" s="391"/>
      <c r="AO165" s="407">
        <v>75</v>
      </c>
      <c r="AP165" s="408">
        <f t="shared" si="23"/>
        <v>0.86055744744246931</v>
      </c>
    </row>
    <row r="166" spans="1:42" ht="15.75" customHeight="1" thickBot="1">
      <c r="A166" s="248"/>
      <c r="B166" s="248"/>
      <c r="C166" s="248"/>
      <c r="D166" s="248"/>
      <c r="E166" s="248"/>
      <c r="F166" s="248"/>
      <c r="G166" s="248"/>
      <c r="H166" s="248"/>
      <c r="I166" s="248"/>
      <c r="J166" s="248"/>
      <c r="K166" s="248"/>
      <c r="L166" s="248"/>
      <c r="M166" s="248"/>
      <c r="N166" s="248"/>
      <c r="O166" s="248"/>
      <c r="P166" s="248"/>
      <c r="Q166" s="248"/>
      <c r="R166" s="248"/>
      <c r="S166" s="248"/>
      <c r="T166" s="248"/>
      <c r="U166" s="248"/>
      <c r="V166" s="248"/>
      <c r="W166" s="240"/>
      <c r="AB166" s="398">
        <f t="shared" si="14"/>
        <v>2.014188308474897</v>
      </c>
      <c r="AC166" s="399">
        <f t="shared" si="15"/>
        <v>1.7461128064351645</v>
      </c>
      <c r="AD166" s="398">
        <f t="shared" si="17"/>
        <v>20.318428710840958</v>
      </c>
      <c r="AE166" s="398">
        <f t="shared" si="16"/>
        <v>71.459913776027648</v>
      </c>
      <c r="AF166" s="400">
        <v>35.47826857863933</v>
      </c>
      <c r="AG166" s="398">
        <f t="shared" si="18"/>
        <v>6.6027858712976562</v>
      </c>
      <c r="AH166" s="398">
        <f t="shared" si="19"/>
        <v>31.013669120935539</v>
      </c>
      <c r="AI166" s="398">
        <f t="shared" si="20"/>
        <v>7.6</v>
      </c>
      <c r="AJ166" s="402">
        <f t="shared" si="21"/>
        <v>7</v>
      </c>
      <c r="AK166" s="398">
        <f t="shared" si="22"/>
        <v>30.6</v>
      </c>
      <c r="AL166" s="402">
        <v>30</v>
      </c>
      <c r="AM166" s="398">
        <v>0.12</v>
      </c>
      <c r="AN166" s="391"/>
      <c r="AO166" s="407">
        <v>70</v>
      </c>
      <c r="AP166" s="408">
        <f t="shared" si="23"/>
        <v>0.74913873163365696</v>
      </c>
    </row>
    <row r="167" spans="1:42" ht="15.75" customHeight="1" thickBot="1">
      <c r="A167" s="248"/>
      <c r="B167" s="248"/>
      <c r="C167" s="248"/>
      <c r="D167" s="248"/>
      <c r="E167" s="248"/>
      <c r="F167" s="248"/>
      <c r="G167" s="248"/>
      <c r="H167" s="248"/>
      <c r="I167" s="248"/>
      <c r="J167" s="248"/>
      <c r="K167" s="248"/>
      <c r="L167" s="248"/>
      <c r="M167" s="248"/>
      <c r="N167" s="248"/>
      <c r="O167" s="248"/>
      <c r="P167" s="248"/>
      <c r="Q167" s="248"/>
      <c r="R167" s="248"/>
      <c r="S167" s="248"/>
      <c r="T167" s="248"/>
      <c r="U167" s="248"/>
      <c r="V167" s="248"/>
      <c r="W167" s="240"/>
      <c r="AB167" s="409"/>
      <c r="AC167" s="410">
        <f>(1/((0.01/AC155)+(0.42/AC158)+(0.45/AC161)+(0.12/AC164)))</f>
        <v>0.89869458944957614</v>
      </c>
      <c r="AD167" s="391"/>
      <c r="AE167" s="391"/>
      <c r="AF167" s="391"/>
      <c r="AG167" s="391"/>
      <c r="AH167" s="391"/>
      <c r="AI167" s="391"/>
      <c r="AJ167" s="391"/>
      <c r="AK167" s="391"/>
      <c r="AL167" s="391"/>
      <c r="AM167" s="391"/>
      <c r="AN167" s="391"/>
      <c r="AO167" s="407">
        <v>60</v>
      </c>
      <c r="AP167" s="408">
        <f t="shared" si="23"/>
        <v>0.87871704497165481</v>
      </c>
    </row>
    <row r="168" spans="1:42" ht="15.75" customHeight="1" thickBot="1">
      <c r="A168" s="248"/>
      <c r="B168" s="248"/>
      <c r="C168" s="248"/>
      <c r="D168" s="248"/>
      <c r="E168" s="248"/>
      <c r="F168" s="248"/>
      <c r="G168" s="248"/>
      <c r="H168" s="248"/>
      <c r="I168" s="248"/>
      <c r="J168" s="248"/>
      <c r="K168" s="248"/>
      <c r="L168" s="248"/>
      <c r="M168" s="248"/>
      <c r="N168" s="248"/>
      <c r="O168" s="248"/>
      <c r="P168" s="248"/>
      <c r="Q168" s="248"/>
      <c r="R168" s="248"/>
      <c r="S168" s="248"/>
      <c r="T168" s="248"/>
      <c r="U168" s="248"/>
      <c r="V168" s="248"/>
      <c r="W168" s="240"/>
      <c r="AB168" s="409"/>
      <c r="AC168" s="391"/>
      <c r="AD168" s="391"/>
      <c r="AE168" s="411">
        <f>AE155/2</f>
        <v>297.74964073344853</v>
      </c>
      <c r="AF168" s="391"/>
      <c r="AG168" s="391"/>
      <c r="AH168" s="391"/>
      <c r="AI168" s="391"/>
      <c r="AJ168" s="391"/>
      <c r="AK168" s="412" t="s">
        <v>449</v>
      </c>
      <c r="AL168" s="413" t="s">
        <v>450</v>
      </c>
      <c r="AM168" s="391"/>
      <c r="AN168" s="391" t="s">
        <v>450</v>
      </c>
      <c r="AO168" s="407">
        <v>50</v>
      </c>
      <c r="AP168" s="408">
        <f t="shared" si="23"/>
        <v>0.86316342085049769</v>
      </c>
    </row>
    <row r="169" spans="1:42" ht="15.75" customHeight="1">
      <c r="A169" s="248"/>
      <c r="B169" s="248"/>
      <c r="C169" s="248"/>
      <c r="D169" s="248"/>
      <c r="E169" s="248"/>
      <c r="F169" s="248"/>
      <c r="G169" s="248"/>
      <c r="H169" s="248"/>
      <c r="I169" s="248"/>
      <c r="J169" s="248"/>
      <c r="K169" s="248"/>
      <c r="L169" s="248"/>
      <c r="M169" s="248"/>
      <c r="N169" s="248"/>
      <c r="O169" s="248"/>
      <c r="P169" s="248"/>
      <c r="Q169" s="248"/>
      <c r="R169" s="248"/>
      <c r="S169" s="248"/>
      <c r="T169" s="248"/>
      <c r="U169" s="248"/>
      <c r="V169" s="248"/>
      <c r="W169" s="240"/>
      <c r="AB169" s="409"/>
      <c r="AC169" s="391"/>
      <c r="AD169" s="391"/>
      <c r="AE169" s="411">
        <f>AE156/2</f>
        <v>267.97467666010368</v>
      </c>
      <c r="AF169" s="391"/>
      <c r="AG169" s="391"/>
      <c r="AH169" s="391"/>
      <c r="AI169" s="391"/>
      <c r="AJ169" s="391"/>
      <c r="AK169" s="414">
        <v>100</v>
      </c>
      <c r="AL169" s="415">
        <f>AC155</f>
        <v>0.74952576700661977</v>
      </c>
      <c r="AM169" s="391"/>
      <c r="AN169" s="391">
        <v>0.65439999999999998</v>
      </c>
      <c r="AO169" s="407">
        <v>40</v>
      </c>
      <c r="AP169" s="408">
        <f t="shared" si="23"/>
        <v>1.0287441414280434</v>
      </c>
    </row>
    <row r="170" spans="1:42" ht="15.75" customHeight="1">
      <c r="A170" s="248"/>
      <c r="B170" s="248"/>
      <c r="C170" s="248"/>
      <c r="D170" s="248"/>
      <c r="E170" s="248"/>
      <c r="F170" s="248"/>
      <c r="G170" s="248"/>
      <c r="H170" s="248"/>
      <c r="I170" s="248"/>
      <c r="J170" s="248"/>
      <c r="K170" s="248"/>
      <c r="L170" s="248"/>
      <c r="M170" s="248"/>
      <c r="N170" s="248"/>
      <c r="O170" s="248"/>
      <c r="P170" s="248"/>
      <c r="Q170" s="248"/>
      <c r="R170" s="248"/>
      <c r="S170" s="248"/>
      <c r="T170" s="248"/>
      <c r="U170" s="248"/>
      <c r="V170" s="248"/>
      <c r="W170" s="240"/>
      <c r="AB170" s="409"/>
      <c r="AC170" s="391"/>
      <c r="AD170" s="391"/>
      <c r="AE170" s="411">
        <f>AE157/2</f>
        <v>238.19971258675886</v>
      </c>
      <c r="AF170" s="391"/>
      <c r="AG170" s="391"/>
      <c r="AH170" s="391"/>
      <c r="AI170" s="391"/>
      <c r="AJ170" s="391"/>
      <c r="AK170" s="416">
        <v>75</v>
      </c>
      <c r="AL170" s="415">
        <f>AC158</f>
        <v>0.86055744744246931</v>
      </c>
      <c r="AM170" s="391"/>
      <c r="AN170" s="391">
        <v>0.50666666666666671</v>
      </c>
      <c r="AO170" s="407">
        <v>30</v>
      </c>
      <c r="AP170" s="408">
        <f t="shared" si="23"/>
        <v>1.0817252370370363</v>
      </c>
    </row>
    <row r="171" spans="1:42" ht="15.75" customHeight="1">
      <c r="A171" s="248"/>
      <c r="B171" s="248"/>
      <c r="C171" s="248"/>
      <c r="D171" s="248"/>
      <c r="E171" s="248"/>
      <c r="F171" s="248"/>
      <c r="G171" s="248"/>
      <c r="H171" s="248"/>
      <c r="I171" s="248"/>
      <c r="J171" s="248"/>
      <c r="K171" s="248"/>
      <c r="L171" s="248"/>
      <c r="M171" s="248"/>
      <c r="N171" s="248"/>
      <c r="O171" s="248"/>
      <c r="P171" s="248"/>
      <c r="Q171" s="248"/>
      <c r="R171" s="248"/>
      <c r="S171" s="248"/>
      <c r="T171" s="248"/>
      <c r="U171" s="248"/>
      <c r="V171" s="248"/>
      <c r="W171" s="240"/>
      <c r="AB171" s="409"/>
      <c r="AC171" s="391"/>
      <c r="AD171" s="391"/>
      <c r="AE171" s="417" t="s">
        <v>988</v>
      </c>
      <c r="AF171" s="417"/>
      <c r="AG171" s="391"/>
      <c r="AH171" s="391"/>
      <c r="AI171" s="391"/>
      <c r="AJ171" s="391"/>
      <c r="AK171" s="416">
        <v>50</v>
      </c>
      <c r="AL171" s="415">
        <f>AC161</f>
        <v>0.86316342085049769</v>
      </c>
      <c r="AM171" s="391"/>
      <c r="AN171" s="391">
        <v>0.42</v>
      </c>
      <c r="AO171" s="407">
        <v>25</v>
      </c>
      <c r="AP171" s="408">
        <f t="shared" si="23"/>
        <v>1.333489840689098</v>
      </c>
    </row>
    <row r="172" spans="1:42" ht="15.75" customHeight="1" thickBot="1">
      <c r="A172" s="248"/>
      <c r="B172" s="248"/>
      <c r="C172" s="248"/>
      <c r="D172" s="248"/>
      <c r="E172" s="248"/>
      <c r="F172" s="248"/>
      <c r="G172" s="248"/>
      <c r="H172" s="248"/>
      <c r="I172" s="248"/>
      <c r="J172" s="248"/>
      <c r="K172" s="248"/>
      <c r="L172" s="248"/>
      <c r="M172" s="248"/>
      <c r="N172" s="248"/>
      <c r="O172" s="248"/>
      <c r="P172" s="248"/>
      <c r="Q172" s="248"/>
      <c r="R172" s="248"/>
      <c r="S172" s="248"/>
      <c r="T172" s="248"/>
      <c r="U172" s="248"/>
      <c r="V172" s="248"/>
      <c r="W172" s="240"/>
      <c r="AB172" s="409" t="s">
        <v>987</v>
      </c>
      <c r="AC172" s="418">
        <v>45271</v>
      </c>
      <c r="AD172" s="391"/>
      <c r="AE172" s="391"/>
      <c r="AF172" s="391"/>
      <c r="AG172" s="391"/>
      <c r="AH172" s="391"/>
      <c r="AI172" s="391"/>
      <c r="AJ172" s="391"/>
      <c r="AK172" s="419">
        <v>25</v>
      </c>
      <c r="AL172" s="415">
        <f>AC164</f>
        <v>1.333489840689098</v>
      </c>
      <c r="AM172" s="391"/>
      <c r="AN172" s="391">
        <v>0.48</v>
      </c>
      <c r="AO172" s="407">
        <v>20</v>
      </c>
      <c r="AP172" s="408">
        <f t="shared" si="23"/>
        <v>1.3157607591495959</v>
      </c>
    </row>
    <row r="173" spans="1:42" ht="15.75" customHeight="1" thickBot="1">
      <c r="A173" s="248"/>
      <c r="B173" s="248"/>
      <c r="C173" s="248"/>
      <c r="D173" s="248"/>
      <c r="E173" s="248"/>
      <c r="F173" s="248"/>
      <c r="G173" s="248"/>
      <c r="H173" s="248"/>
      <c r="I173" s="248"/>
      <c r="J173" s="248"/>
      <c r="K173" s="248"/>
      <c r="L173" s="248"/>
      <c r="M173" s="248"/>
      <c r="N173" s="248"/>
      <c r="O173" s="248"/>
      <c r="P173" s="248"/>
      <c r="Q173" s="248"/>
      <c r="R173" s="248"/>
      <c r="S173" s="248"/>
      <c r="T173" s="248"/>
      <c r="U173" s="248"/>
      <c r="V173" s="248"/>
      <c r="W173" s="240"/>
      <c r="AB173" s="409"/>
      <c r="AC173" s="391"/>
      <c r="AD173" s="391"/>
      <c r="AE173" s="391"/>
      <c r="AF173" s="391"/>
      <c r="AG173" s="391"/>
      <c r="AH173" s="391"/>
      <c r="AI173" s="391"/>
      <c r="AJ173" s="391"/>
      <c r="AK173" s="420" t="s">
        <v>986</v>
      </c>
      <c r="AL173" s="421">
        <f>AC167</f>
        <v>0.89869458944957614</v>
      </c>
      <c r="AM173" s="391"/>
      <c r="AN173" s="391">
        <v>0.46175361454604102</v>
      </c>
      <c r="AO173" s="407">
        <v>10</v>
      </c>
      <c r="AP173" s="408">
        <f t="shared" si="23"/>
        <v>1.7461128064351645</v>
      </c>
    </row>
    <row r="174" spans="1:42" ht="15.75" customHeight="1" thickBot="1">
      <c r="A174" s="248"/>
      <c r="B174" s="248"/>
      <c r="C174" s="248"/>
      <c r="D174" s="248"/>
      <c r="E174" s="248"/>
      <c r="F174" s="248"/>
      <c r="G174" s="248"/>
      <c r="H174" s="248"/>
      <c r="I174" s="248"/>
      <c r="J174" s="248"/>
      <c r="K174" s="248"/>
      <c r="L174" s="248"/>
      <c r="M174" s="248"/>
      <c r="N174" s="248"/>
      <c r="O174" s="248"/>
      <c r="P174" s="248"/>
      <c r="Q174" s="248"/>
      <c r="R174" s="248"/>
      <c r="S174" s="248"/>
      <c r="T174" s="248"/>
      <c r="U174" s="248"/>
      <c r="V174" s="248"/>
      <c r="W174" s="240"/>
      <c r="AB174" s="422"/>
      <c r="AC174" s="423"/>
      <c r="AD174" s="423"/>
      <c r="AE174" s="423"/>
      <c r="AF174" s="423"/>
      <c r="AG174" s="423"/>
      <c r="AH174" s="423"/>
      <c r="AI174" s="423"/>
      <c r="AJ174" s="423"/>
      <c r="AK174" s="423"/>
      <c r="AL174" s="423"/>
      <c r="AM174" s="423"/>
      <c r="AN174" s="423"/>
      <c r="AO174" s="482" t="s">
        <v>991</v>
      </c>
      <c r="AP174" s="483"/>
    </row>
    <row r="175" spans="1:42" ht="15.75" customHeight="1">
      <c r="A175" s="248"/>
      <c r="B175" s="248"/>
      <c r="C175" s="248"/>
      <c r="D175" s="248"/>
      <c r="E175" s="248"/>
      <c r="F175" s="248"/>
      <c r="G175" s="248"/>
      <c r="H175" s="248"/>
      <c r="I175" s="248"/>
      <c r="J175" s="248"/>
      <c r="K175" s="248"/>
      <c r="L175" s="248"/>
      <c r="M175" s="248"/>
      <c r="N175" s="248"/>
      <c r="O175" s="248"/>
      <c r="P175" s="248"/>
      <c r="Q175" s="248"/>
      <c r="R175" s="248"/>
      <c r="S175" s="248"/>
      <c r="T175" s="248"/>
      <c r="U175" s="248"/>
      <c r="V175" s="248"/>
      <c r="W175" s="240"/>
    </row>
    <row r="176" spans="1:42" ht="15.75" customHeight="1">
      <c r="A176" s="248"/>
      <c r="B176" s="248"/>
      <c r="C176" s="248"/>
      <c r="D176" s="248"/>
      <c r="E176" s="248"/>
      <c r="F176" s="248"/>
      <c r="G176" s="248"/>
      <c r="H176" s="248"/>
      <c r="I176" s="248"/>
      <c r="J176" s="248"/>
      <c r="K176" s="248"/>
      <c r="L176" s="248"/>
      <c r="M176" s="248"/>
      <c r="N176" s="248"/>
      <c r="O176" s="248"/>
      <c r="P176" s="248"/>
      <c r="Q176" s="248"/>
      <c r="R176" s="248"/>
      <c r="S176" s="248"/>
      <c r="T176" s="248"/>
      <c r="U176" s="248"/>
      <c r="V176" s="248"/>
      <c r="W176" s="240"/>
      <c r="AB176" s="390"/>
      <c r="AC176" s="390"/>
      <c r="AD176" s="390"/>
      <c r="AE176" s="390"/>
      <c r="AF176" s="390"/>
      <c r="AG176" s="390"/>
      <c r="AH176" s="390"/>
      <c r="AI176" s="390"/>
      <c r="AJ176" s="390"/>
      <c r="AK176" s="390"/>
      <c r="AL176" s="390"/>
      <c r="AM176" s="390"/>
      <c r="AN176" s="390"/>
      <c r="AO176" s="390"/>
      <c r="AP176" s="390"/>
    </row>
    <row r="177" spans="1:42" ht="15.75" customHeight="1">
      <c r="A177" s="248"/>
      <c r="B177" s="248"/>
      <c r="C177" s="248"/>
      <c r="D177" s="248"/>
      <c r="E177" s="248"/>
      <c r="F177" s="248"/>
      <c r="G177" s="248"/>
      <c r="H177" s="248"/>
      <c r="I177" s="248"/>
      <c r="J177" s="248"/>
      <c r="K177" s="248"/>
      <c r="L177" s="248"/>
      <c r="M177" s="248"/>
      <c r="N177" s="248"/>
      <c r="O177" s="248"/>
      <c r="P177" s="248"/>
      <c r="Q177" s="248"/>
      <c r="R177" s="248"/>
      <c r="S177" s="248"/>
      <c r="T177" s="248"/>
      <c r="U177" s="248"/>
      <c r="V177" s="248"/>
      <c r="W177" s="240"/>
      <c r="AB177" s="390"/>
      <c r="AC177" s="390"/>
      <c r="AD177" s="390"/>
      <c r="AE177" s="390"/>
      <c r="AF177" s="390"/>
      <c r="AG177" s="390"/>
      <c r="AH177" s="390"/>
      <c r="AI177" s="390"/>
      <c r="AJ177" s="390"/>
      <c r="AK177" s="390"/>
      <c r="AL177" s="390"/>
      <c r="AM177" s="390"/>
      <c r="AN177" s="390"/>
      <c r="AO177" s="390"/>
      <c r="AP177" s="390"/>
    </row>
    <row r="178" spans="1:42" ht="15.75" customHeight="1">
      <c r="A178" s="248"/>
      <c r="B178" s="248"/>
      <c r="C178" s="248"/>
      <c r="D178" s="248"/>
      <c r="E178" s="248"/>
      <c r="F178" s="248"/>
      <c r="G178" s="248"/>
      <c r="H178" s="248"/>
      <c r="I178" s="248"/>
      <c r="J178" s="248"/>
      <c r="K178" s="248"/>
      <c r="L178" s="248"/>
      <c r="M178" s="248"/>
      <c r="N178" s="248"/>
      <c r="O178" s="248"/>
      <c r="P178" s="248"/>
      <c r="Q178" s="248"/>
      <c r="R178" s="248"/>
      <c r="S178" s="248"/>
      <c r="T178" s="248"/>
      <c r="U178" s="248"/>
      <c r="V178" s="248"/>
      <c r="W178" s="240"/>
      <c r="AB178" s="390"/>
      <c r="AC178" s="390"/>
      <c r="AD178" s="390"/>
      <c r="AE178" s="390"/>
      <c r="AF178" s="390"/>
      <c r="AG178" s="390"/>
      <c r="AH178" s="390"/>
      <c r="AI178" s="390"/>
      <c r="AJ178" s="390"/>
      <c r="AK178" s="390"/>
      <c r="AL178" s="390"/>
      <c r="AM178" s="390"/>
      <c r="AN178" s="390"/>
      <c r="AO178" s="390"/>
      <c r="AP178" s="390"/>
    </row>
    <row r="179" spans="1:42" ht="15.75" customHeight="1">
      <c r="A179" s="248"/>
      <c r="B179" s="248"/>
      <c r="C179" s="248"/>
      <c r="D179" s="248"/>
      <c r="E179" s="248"/>
      <c r="F179" s="248"/>
      <c r="G179" s="248"/>
      <c r="H179" s="248"/>
      <c r="I179" s="248"/>
      <c r="J179" s="248"/>
      <c r="K179" s="248"/>
      <c r="L179" s="248"/>
      <c r="M179" s="248"/>
      <c r="N179" s="248"/>
      <c r="O179" s="248"/>
      <c r="P179" s="248"/>
      <c r="Q179" s="248"/>
      <c r="R179" s="248"/>
      <c r="S179" s="248"/>
      <c r="T179" s="248"/>
      <c r="U179" s="248"/>
      <c r="V179" s="248"/>
      <c r="W179" s="240"/>
      <c r="AB179" s="390"/>
      <c r="AC179" s="390"/>
      <c r="AD179" s="390"/>
      <c r="AE179" s="390"/>
      <c r="AF179" s="390"/>
      <c r="AG179" s="390"/>
      <c r="AH179" s="390"/>
      <c r="AI179" s="390"/>
      <c r="AJ179" s="390"/>
      <c r="AK179" s="390"/>
      <c r="AL179" s="390"/>
      <c r="AM179" s="390"/>
      <c r="AN179" s="390"/>
      <c r="AO179" s="390"/>
      <c r="AP179" s="390"/>
    </row>
    <row r="180" spans="1:42" ht="15.75" customHeight="1">
      <c r="A180" s="248"/>
      <c r="B180" s="248"/>
      <c r="C180" s="248"/>
      <c r="D180" s="248"/>
      <c r="E180" s="248"/>
      <c r="F180" s="248"/>
      <c r="G180" s="248"/>
      <c r="H180" s="248"/>
      <c r="I180" s="248"/>
      <c r="J180" s="248"/>
      <c r="K180" s="248"/>
      <c r="L180" s="248"/>
      <c r="M180" s="248"/>
      <c r="N180" s="248"/>
      <c r="O180" s="248"/>
      <c r="P180" s="248"/>
      <c r="Q180" s="248"/>
      <c r="R180" s="248"/>
      <c r="S180" s="248"/>
      <c r="T180" s="248"/>
      <c r="U180" s="248"/>
      <c r="V180" s="248"/>
      <c r="W180" s="240"/>
      <c r="AB180" s="390"/>
      <c r="AC180" s="390"/>
      <c r="AD180" s="390"/>
      <c r="AE180" s="390"/>
      <c r="AF180" s="390"/>
      <c r="AG180" s="390"/>
      <c r="AH180" s="390"/>
      <c r="AI180" s="390"/>
      <c r="AJ180" s="390"/>
      <c r="AK180" s="390"/>
      <c r="AL180" s="390"/>
      <c r="AM180" s="390"/>
      <c r="AN180" s="390"/>
      <c r="AO180" s="390"/>
      <c r="AP180" s="390"/>
    </row>
    <row r="181" spans="1:42" ht="15.75" customHeight="1">
      <c r="A181" s="248"/>
      <c r="B181" s="248"/>
      <c r="C181" s="248"/>
      <c r="D181" s="248"/>
      <c r="E181" s="248"/>
      <c r="F181" s="248"/>
      <c r="G181" s="248"/>
      <c r="H181" s="248"/>
      <c r="I181" s="248"/>
      <c r="J181" s="248"/>
      <c r="K181" s="248"/>
      <c r="L181" s="248"/>
      <c r="M181" s="248"/>
      <c r="N181" s="248"/>
      <c r="O181" s="248"/>
      <c r="P181" s="248"/>
      <c r="Q181" s="248"/>
      <c r="R181" s="248"/>
      <c r="S181" s="248"/>
      <c r="T181" s="248"/>
      <c r="U181" s="248"/>
      <c r="V181" s="248"/>
      <c r="W181" s="240"/>
      <c r="AB181" s="390"/>
      <c r="AC181" s="390"/>
      <c r="AD181" s="390"/>
      <c r="AE181" s="390"/>
      <c r="AF181" s="390"/>
      <c r="AG181" s="390"/>
      <c r="AH181" s="390"/>
      <c r="AI181" s="390"/>
      <c r="AJ181" s="390"/>
      <c r="AK181" s="390"/>
      <c r="AL181" s="390"/>
      <c r="AM181" s="390"/>
      <c r="AN181" s="390"/>
      <c r="AO181" s="390"/>
      <c r="AP181" s="390"/>
    </row>
    <row r="182" spans="1:42" ht="15.75" customHeight="1">
      <c r="A182" s="248"/>
      <c r="B182" s="248"/>
      <c r="C182" s="248"/>
      <c r="D182" s="248"/>
      <c r="E182" s="248"/>
      <c r="F182" s="248"/>
      <c r="G182" s="248"/>
      <c r="H182" s="248"/>
      <c r="I182" s="248"/>
      <c r="J182" s="248"/>
      <c r="K182" s="248"/>
      <c r="L182" s="248"/>
      <c r="M182" s="248"/>
      <c r="N182" s="248"/>
      <c r="O182" s="248"/>
      <c r="P182" s="248"/>
      <c r="Q182" s="248"/>
      <c r="R182" s="248"/>
      <c r="S182" s="248"/>
      <c r="T182" s="248"/>
      <c r="U182" s="248"/>
      <c r="V182" s="248"/>
      <c r="W182" s="240"/>
      <c r="AB182" s="390"/>
      <c r="AC182" s="390"/>
      <c r="AD182" s="390"/>
      <c r="AE182" s="390"/>
      <c r="AF182" s="390"/>
      <c r="AG182" s="390"/>
      <c r="AH182" s="390"/>
      <c r="AI182" s="390"/>
      <c r="AJ182" s="390"/>
      <c r="AK182" s="390"/>
      <c r="AL182" s="390"/>
      <c r="AM182" s="390"/>
      <c r="AN182" s="390"/>
      <c r="AO182" s="390"/>
      <c r="AP182" s="390"/>
    </row>
    <row r="183" spans="1:42" ht="15.75" customHeight="1">
      <c r="A183" s="248"/>
      <c r="B183" s="248"/>
      <c r="C183" s="248"/>
      <c r="D183" s="248"/>
      <c r="E183" s="248"/>
      <c r="F183" s="248"/>
      <c r="G183" s="248"/>
      <c r="H183" s="248"/>
      <c r="I183" s="248"/>
      <c r="J183" s="248"/>
      <c r="K183" s="248"/>
      <c r="L183" s="248"/>
      <c r="M183" s="248"/>
      <c r="N183" s="248"/>
      <c r="O183" s="248"/>
      <c r="P183" s="248"/>
      <c r="Q183" s="248"/>
      <c r="R183" s="248"/>
      <c r="S183" s="248"/>
      <c r="T183" s="248"/>
      <c r="U183" s="248"/>
      <c r="V183" s="248"/>
      <c r="W183" s="240"/>
      <c r="AB183" s="390"/>
      <c r="AC183" s="390"/>
      <c r="AD183" s="390"/>
      <c r="AE183" s="390"/>
      <c r="AF183" s="390"/>
      <c r="AG183" s="390"/>
      <c r="AH183" s="390"/>
      <c r="AI183" s="390"/>
      <c r="AJ183" s="390"/>
      <c r="AK183" s="390"/>
      <c r="AL183" s="390"/>
      <c r="AM183" s="390"/>
      <c r="AN183" s="390"/>
      <c r="AO183" s="390"/>
      <c r="AP183" s="390"/>
    </row>
    <row r="184" spans="1:42" ht="15.75" customHeight="1">
      <c r="A184" s="248"/>
      <c r="B184" s="248"/>
      <c r="C184" s="248"/>
      <c r="D184" s="248"/>
      <c r="E184" s="248"/>
      <c r="F184" s="248"/>
      <c r="G184" s="248"/>
      <c r="H184" s="248"/>
      <c r="I184" s="248"/>
      <c r="J184" s="248"/>
      <c r="K184" s="248"/>
      <c r="L184" s="248"/>
      <c r="M184" s="248"/>
      <c r="N184" s="248"/>
      <c r="O184" s="248"/>
      <c r="P184" s="248"/>
      <c r="Q184" s="248"/>
      <c r="R184" s="248"/>
      <c r="S184" s="248"/>
      <c r="T184" s="248"/>
      <c r="U184" s="248"/>
      <c r="V184" s="248"/>
      <c r="W184" s="240"/>
      <c r="AB184" s="390"/>
      <c r="AC184" s="390"/>
      <c r="AD184" s="390"/>
      <c r="AE184" s="390"/>
      <c r="AF184" s="390"/>
      <c r="AG184" s="390"/>
      <c r="AH184" s="390"/>
      <c r="AI184" s="390"/>
      <c r="AJ184" s="390"/>
      <c r="AK184" s="390"/>
      <c r="AL184" s="390"/>
      <c r="AM184" s="390"/>
      <c r="AN184" s="390"/>
      <c r="AO184" s="390"/>
      <c r="AP184" s="390"/>
    </row>
    <row r="185" spans="1:42" ht="15.75" customHeight="1">
      <c r="A185" s="248"/>
      <c r="B185" s="248"/>
      <c r="C185" s="248"/>
      <c r="D185" s="248"/>
      <c r="E185" s="248"/>
      <c r="F185" s="248"/>
      <c r="G185" s="248"/>
      <c r="H185" s="248"/>
      <c r="I185" s="248"/>
      <c r="J185" s="248"/>
      <c r="K185" s="248"/>
      <c r="L185" s="248"/>
      <c r="M185" s="248"/>
      <c r="N185" s="248"/>
      <c r="O185" s="248"/>
      <c r="P185" s="248"/>
      <c r="Q185" s="248"/>
      <c r="R185" s="248"/>
      <c r="S185" s="248"/>
      <c r="T185" s="248"/>
      <c r="U185" s="248"/>
      <c r="V185" s="248"/>
      <c r="W185" s="240"/>
      <c r="AB185" s="390"/>
      <c r="AC185" s="390"/>
      <c r="AD185" s="390"/>
      <c r="AE185" s="390"/>
      <c r="AF185" s="390"/>
      <c r="AG185" s="390"/>
      <c r="AH185" s="390"/>
      <c r="AI185" s="390"/>
      <c r="AJ185" s="390"/>
      <c r="AK185" s="390"/>
      <c r="AL185" s="390"/>
      <c r="AM185" s="390"/>
      <c r="AN185" s="390"/>
      <c r="AO185" s="390"/>
      <c r="AP185" s="390"/>
    </row>
    <row r="186" spans="1:42" ht="15.75" customHeight="1">
      <c r="A186" s="248"/>
      <c r="B186" s="248"/>
      <c r="C186" s="248"/>
      <c r="D186" s="248"/>
      <c r="E186" s="248"/>
      <c r="F186" s="248"/>
      <c r="G186" s="248"/>
      <c r="H186" s="248"/>
      <c r="I186" s="248"/>
      <c r="J186" s="248"/>
      <c r="K186" s="248"/>
      <c r="L186" s="248"/>
      <c r="M186" s="248"/>
      <c r="N186" s="248"/>
      <c r="O186" s="248"/>
      <c r="P186" s="248"/>
      <c r="Q186" s="248"/>
      <c r="R186" s="248"/>
      <c r="S186" s="248"/>
      <c r="T186" s="248"/>
      <c r="U186" s="248"/>
      <c r="V186" s="248"/>
      <c r="W186" s="240"/>
      <c r="AB186" s="390"/>
      <c r="AC186" s="390"/>
      <c r="AD186" s="390"/>
      <c r="AE186" s="390"/>
      <c r="AF186" s="390"/>
      <c r="AG186" s="390"/>
      <c r="AH186" s="390"/>
      <c r="AI186" s="390"/>
      <c r="AJ186" s="390"/>
      <c r="AK186" s="390"/>
      <c r="AL186" s="390"/>
      <c r="AM186" s="390"/>
      <c r="AN186" s="390"/>
      <c r="AO186" s="390"/>
      <c r="AP186" s="390"/>
    </row>
    <row r="187" spans="1:42" ht="15.75" customHeight="1">
      <c r="A187" s="248"/>
      <c r="B187" s="248"/>
      <c r="C187" s="248"/>
      <c r="D187" s="248"/>
      <c r="E187" s="248"/>
      <c r="F187" s="248"/>
      <c r="G187" s="248"/>
      <c r="H187" s="248"/>
      <c r="I187" s="248"/>
      <c r="J187" s="248"/>
      <c r="K187" s="248"/>
      <c r="L187" s="248"/>
      <c r="M187" s="248"/>
      <c r="N187" s="248"/>
      <c r="O187" s="248"/>
      <c r="P187" s="248"/>
      <c r="Q187" s="248"/>
      <c r="R187" s="248"/>
      <c r="S187" s="248"/>
      <c r="T187" s="248"/>
      <c r="U187" s="248"/>
      <c r="V187" s="248"/>
      <c r="W187" s="240"/>
      <c r="AB187" s="390"/>
      <c r="AC187" s="390"/>
      <c r="AD187" s="390"/>
      <c r="AE187" s="390"/>
      <c r="AF187" s="390"/>
      <c r="AG187" s="390"/>
      <c r="AH187" s="390"/>
      <c r="AI187" s="390"/>
      <c r="AJ187" s="390"/>
      <c r="AK187" s="390"/>
      <c r="AL187" s="390"/>
      <c r="AM187" s="390"/>
      <c r="AN187" s="390"/>
      <c r="AO187" s="390"/>
      <c r="AP187" s="390"/>
    </row>
    <row r="188" spans="1:42" ht="15.75" customHeight="1">
      <c r="A188" s="248"/>
      <c r="B188" s="248"/>
      <c r="C188" s="248"/>
      <c r="D188" s="248"/>
      <c r="E188" s="248"/>
      <c r="F188" s="248"/>
      <c r="G188" s="248"/>
      <c r="H188" s="248"/>
      <c r="I188" s="248"/>
      <c r="J188" s="248"/>
      <c r="K188" s="248"/>
      <c r="L188" s="248"/>
      <c r="M188" s="248"/>
      <c r="N188" s="248"/>
      <c r="O188" s="248"/>
      <c r="P188" s="248"/>
      <c r="Q188" s="248"/>
      <c r="R188" s="248"/>
      <c r="S188" s="248"/>
      <c r="T188" s="248"/>
      <c r="U188" s="248"/>
      <c r="V188" s="248"/>
      <c r="W188" s="240"/>
      <c r="AB188" s="390"/>
      <c r="AC188" s="390"/>
      <c r="AD188" s="390"/>
      <c r="AE188" s="390"/>
      <c r="AF188" s="390"/>
      <c r="AG188" s="390"/>
      <c r="AH188" s="390"/>
      <c r="AI188" s="390"/>
      <c r="AJ188" s="390"/>
      <c r="AK188" s="390"/>
      <c r="AL188" s="390"/>
      <c r="AM188" s="390"/>
      <c r="AN188" s="390"/>
      <c r="AO188" s="390"/>
      <c r="AP188" s="390"/>
    </row>
    <row r="189" spans="1:42" ht="15.75" customHeight="1">
      <c r="A189" s="248"/>
      <c r="B189" s="248"/>
      <c r="C189" s="248"/>
      <c r="D189" s="248"/>
      <c r="E189" s="248"/>
      <c r="F189" s="248"/>
      <c r="G189" s="248"/>
      <c r="H189" s="248"/>
      <c r="I189" s="248"/>
      <c r="J189" s="248"/>
      <c r="K189" s="248"/>
      <c r="L189" s="248"/>
      <c r="M189" s="248"/>
      <c r="N189" s="248"/>
      <c r="O189" s="248"/>
      <c r="P189" s="248"/>
      <c r="Q189" s="248"/>
      <c r="R189" s="248"/>
      <c r="S189" s="248"/>
      <c r="T189" s="248"/>
      <c r="U189" s="248"/>
      <c r="V189" s="248"/>
      <c r="W189" s="240"/>
      <c r="AB189" s="390"/>
      <c r="AC189" s="390"/>
      <c r="AD189" s="390"/>
      <c r="AE189" s="390"/>
      <c r="AF189" s="390"/>
      <c r="AG189" s="390"/>
      <c r="AH189" s="390"/>
      <c r="AI189" s="390"/>
      <c r="AJ189" s="390"/>
      <c r="AK189" s="390"/>
      <c r="AL189" s="390"/>
      <c r="AM189" s="390"/>
      <c r="AN189" s="390"/>
      <c r="AO189" s="390"/>
      <c r="AP189" s="390"/>
    </row>
    <row r="190" spans="1:42" ht="15.75" customHeight="1">
      <c r="A190" s="248"/>
      <c r="B190" s="248"/>
      <c r="C190" s="248"/>
      <c r="D190" s="248"/>
      <c r="E190" s="248"/>
      <c r="F190" s="248"/>
      <c r="G190" s="248"/>
      <c r="H190" s="248"/>
      <c r="I190" s="248"/>
      <c r="J190" s="248"/>
      <c r="K190" s="248"/>
      <c r="L190" s="248"/>
      <c r="M190" s="248"/>
      <c r="N190" s="248"/>
      <c r="O190" s="248"/>
      <c r="P190" s="248"/>
      <c r="Q190" s="248"/>
      <c r="R190" s="248"/>
      <c r="S190" s="248"/>
      <c r="T190" s="248"/>
      <c r="U190" s="248"/>
      <c r="V190" s="248"/>
      <c r="W190" s="240"/>
      <c r="AB190" s="390"/>
      <c r="AC190" s="390"/>
      <c r="AD190" s="390"/>
      <c r="AE190" s="390"/>
      <c r="AF190" s="390"/>
      <c r="AG190" s="390"/>
      <c r="AH190" s="390"/>
      <c r="AI190" s="390"/>
      <c r="AJ190" s="390"/>
      <c r="AK190" s="390"/>
      <c r="AL190" s="390"/>
      <c r="AM190" s="390"/>
      <c r="AN190" s="390"/>
      <c r="AO190" s="390"/>
      <c r="AP190" s="390"/>
    </row>
    <row r="191" spans="1:42" ht="15.75" customHeight="1">
      <c r="A191" s="248"/>
      <c r="B191" s="248"/>
      <c r="C191" s="248"/>
      <c r="D191" s="248"/>
      <c r="E191" s="248"/>
      <c r="F191" s="248"/>
      <c r="G191" s="248"/>
      <c r="H191" s="248"/>
      <c r="I191" s="248"/>
      <c r="J191" s="248"/>
      <c r="K191" s="248"/>
      <c r="L191" s="248"/>
      <c r="M191" s="248"/>
      <c r="N191" s="248"/>
      <c r="O191" s="248"/>
      <c r="P191" s="248"/>
      <c r="Q191" s="248"/>
      <c r="R191" s="248"/>
      <c r="S191" s="248"/>
      <c r="T191" s="248"/>
      <c r="U191" s="248"/>
      <c r="V191" s="248"/>
      <c r="W191" s="240"/>
      <c r="AB191" s="390"/>
      <c r="AC191" s="390"/>
      <c r="AD191" s="390"/>
      <c r="AE191" s="390"/>
      <c r="AF191" s="390"/>
      <c r="AG191" s="390"/>
      <c r="AH191" s="390"/>
      <c r="AI191" s="390"/>
      <c r="AJ191" s="390"/>
      <c r="AK191" s="390"/>
      <c r="AL191" s="390"/>
      <c r="AM191" s="390"/>
      <c r="AN191" s="390"/>
      <c r="AO191" s="390"/>
      <c r="AP191" s="390"/>
    </row>
    <row r="192" spans="1:42" ht="15.75" customHeight="1">
      <c r="A192" s="248"/>
      <c r="B192" s="248"/>
      <c r="C192" s="248"/>
      <c r="D192" s="248"/>
      <c r="E192" s="248"/>
      <c r="F192" s="248"/>
      <c r="G192" s="248"/>
      <c r="H192" s="248"/>
      <c r="I192" s="248"/>
      <c r="J192" s="248"/>
      <c r="K192" s="248"/>
      <c r="L192" s="248"/>
      <c r="M192" s="248"/>
      <c r="N192" s="248"/>
      <c r="O192" s="248"/>
      <c r="P192" s="248"/>
      <c r="Q192" s="248"/>
      <c r="R192" s="248"/>
      <c r="S192" s="248"/>
      <c r="T192" s="248"/>
      <c r="U192" s="248"/>
      <c r="V192" s="248"/>
      <c r="W192" s="240"/>
      <c r="AB192" s="390"/>
      <c r="AC192" s="390"/>
      <c r="AD192" s="390"/>
      <c r="AE192" s="390"/>
      <c r="AF192" s="390"/>
      <c r="AG192" s="390"/>
      <c r="AH192" s="390"/>
      <c r="AI192" s="390"/>
      <c r="AJ192" s="390"/>
      <c r="AK192" s="390"/>
      <c r="AL192" s="390"/>
      <c r="AM192" s="390"/>
      <c r="AN192" s="390"/>
      <c r="AO192" s="390"/>
      <c r="AP192" s="390"/>
    </row>
    <row r="193" spans="1:42" ht="15.75" customHeight="1">
      <c r="A193" s="248"/>
      <c r="B193" s="248"/>
      <c r="C193" s="248"/>
      <c r="D193" s="248"/>
      <c r="E193" s="248"/>
      <c r="F193" s="248"/>
      <c r="G193" s="248"/>
      <c r="H193" s="248"/>
      <c r="I193" s="248"/>
      <c r="J193" s="248"/>
      <c r="K193" s="248"/>
      <c r="L193" s="248"/>
      <c r="M193" s="248"/>
      <c r="N193" s="248"/>
      <c r="O193" s="248"/>
      <c r="P193" s="248"/>
      <c r="Q193" s="248"/>
      <c r="R193" s="248"/>
      <c r="S193" s="248"/>
      <c r="T193" s="248"/>
      <c r="U193" s="248"/>
      <c r="V193" s="248"/>
      <c r="W193" s="240"/>
      <c r="AB193" s="390"/>
      <c r="AC193" s="390"/>
      <c r="AD193" s="390"/>
      <c r="AE193" s="390"/>
      <c r="AF193" s="390"/>
      <c r="AG193" s="390"/>
      <c r="AH193" s="390"/>
      <c r="AI193" s="390"/>
      <c r="AJ193" s="390"/>
      <c r="AK193" s="390"/>
      <c r="AL193" s="390"/>
      <c r="AM193" s="390"/>
      <c r="AN193" s="390"/>
      <c r="AO193" s="390"/>
      <c r="AP193" s="390"/>
    </row>
    <row r="194" spans="1:42" ht="15.75" customHeight="1">
      <c r="A194" s="248"/>
      <c r="B194" s="248"/>
      <c r="C194" s="248"/>
      <c r="D194" s="248"/>
      <c r="E194" s="248"/>
      <c r="F194" s="248"/>
      <c r="G194" s="248"/>
      <c r="H194" s="248"/>
      <c r="I194" s="248"/>
      <c r="J194" s="248"/>
      <c r="K194" s="248"/>
      <c r="L194" s="248"/>
      <c r="M194" s="248"/>
      <c r="N194" s="248"/>
      <c r="O194" s="248"/>
      <c r="P194" s="248"/>
      <c r="Q194" s="248"/>
      <c r="R194" s="248"/>
      <c r="S194" s="248"/>
      <c r="T194" s="248"/>
      <c r="U194" s="248"/>
      <c r="V194" s="248"/>
      <c r="W194" s="240"/>
      <c r="AB194" s="390"/>
      <c r="AC194" s="390"/>
      <c r="AD194" s="390"/>
      <c r="AE194" s="390"/>
      <c r="AF194" s="390"/>
      <c r="AG194" s="390"/>
      <c r="AH194" s="390"/>
      <c r="AI194" s="390"/>
      <c r="AJ194" s="390"/>
      <c r="AK194" s="390"/>
      <c r="AL194" s="390"/>
      <c r="AM194" s="390"/>
      <c r="AN194" s="390"/>
      <c r="AO194" s="390"/>
      <c r="AP194" s="390"/>
    </row>
    <row r="195" spans="1:42" ht="15.75" customHeight="1">
      <c r="A195" s="248"/>
      <c r="B195" s="248"/>
      <c r="C195" s="248"/>
      <c r="D195" s="248"/>
      <c r="E195" s="248"/>
      <c r="F195" s="248"/>
      <c r="G195" s="248"/>
      <c r="H195" s="248"/>
      <c r="I195" s="248"/>
      <c r="J195" s="248"/>
      <c r="K195" s="248"/>
      <c r="L195" s="248"/>
      <c r="M195" s="248"/>
      <c r="N195" s="248"/>
      <c r="O195" s="248"/>
      <c r="P195" s="248"/>
      <c r="Q195" s="248"/>
      <c r="R195" s="248"/>
      <c r="S195" s="248"/>
      <c r="T195" s="248"/>
      <c r="U195" s="248"/>
      <c r="V195" s="248"/>
      <c r="W195" s="240"/>
      <c r="AB195" s="390"/>
      <c r="AC195" s="390"/>
      <c r="AD195" s="390"/>
      <c r="AE195" s="390"/>
      <c r="AF195" s="390"/>
      <c r="AG195" s="390"/>
      <c r="AH195" s="390"/>
      <c r="AI195" s="390"/>
      <c r="AJ195" s="390"/>
      <c r="AK195" s="390"/>
      <c r="AL195" s="390"/>
      <c r="AM195" s="390"/>
      <c r="AN195" s="390"/>
      <c r="AO195" s="390"/>
      <c r="AP195" s="390"/>
    </row>
    <row r="196" spans="1:42" ht="15.75" customHeight="1">
      <c r="A196" s="248"/>
      <c r="B196" s="248"/>
      <c r="C196" s="248"/>
      <c r="D196" s="248"/>
      <c r="E196" s="248"/>
      <c r="F196" s="248"/>
      <c r="G196" s="248"/>
      <c r="H196" s="248"/>
      <c r="I196" s="248"/>
      <c r="J196" s="248"/>
      <c r="K196" s="248"/>
      <c r="L196" s="248"/>
      <c r="M196" s="248"/>
      <c r="N196" s="248"/>
      <c r="O196" s="248"/>
      <c r="P196" s="248"/>
      <c r="Q196" s="248"/>
      <c r="R196" s="248"/>
      <c r="S196" s="248"/>
      <c r="T196" s="248"/>
      <c r="U196" s="248"/>
      <c r="V196" s="248"/>
      <c r="W196" s="240"/>
      <c r="AB196" s="390"/>
      <c r="AC196" s="390"/>
      <c r="AD196" s="390"/>
      <c r="AE196" s="390"/>
      <c r="AF196" s="390"/>
      <c r="AG196" s="390"/>
      <c r="AH196" s="390"/>
      <c r="AI196" s="390"/>
      <c r="AJ196" s="390"/>
      <c r="AK196" s="390"/>
      <c r="AL196" s="390"/>
      <c r="AM196" s="390"/>
      <c r="AN196" s="390"/>
      <c r="AO196" s="390"/>
      <c r="AP196" s="390"/>
    </row>
    <row r="197" spans="1:42" ht="15.75" customHeight="1">
      <c r="A197" s="248"/>
      <c r="B197" s="248"/>
      <c r="C197" s="248"/>
      <c r="D197" s="248"/>
      <c r="E197" s="248"/>
      <c r="F197" s="248"/>
      <c r="G197" s="248"/>
      <c r="H197" s="248"/>
      <c r="I197" s="248"/>
      <c r="J197" s="248"/>
      <c r="K197" s="248"/>
      <c r="L197" s="248"/>
      <c r="M197" s="248"/>
      <c r="N197" s="248"/>
      <c r="O197" s="248"/>
      <c r="P197" s="248"/>
      <c r="Q197" s="248"/>
      <c r="R197" s="248"/>
      <c r="S197" s="248"/>
      <c r="T197" s="248"/>
      <c r="U197" s="248"/>
      <c r="V197" s="248"/>
      <c r="W197" s="240"/>
      <c r="AB197" s="390"/>
      <c r="AC197" s="390"/>
      <c r="AD197" s="390"/>
      <c r="AE197" s="390"/>
      <c r="AF197" s="390"/>
      <c r="AG197" s="390"/>
      <c r="AH197" s="390"/>
      <c r="AI197" s="390"/>
      <c r="AJ197" s="390"/>
      <c r="AK197" s="390"/>
      <c r="AL197" s="390"/>
      <c r="AM197" s="390"/>
      <c r="AN197" s="390"/>
      <c r="AO197" s="390"/>
      <c r="AP197" s="390"/>
    </row>
    <row r="198" spans="1:42" ht="15.75" customHeight="1">
      <c r="A198" s="248"/>
      <c r="B198" s="248"/>
      <c r="C198" s="248"/>
      <c r="D198" s="248"/>
      <c r="E198" s="248"/>
      <c r="F198" s="248"/>
      <c r="G198" s="248"/>
      <c r="H198" s="248"/>
      <c r="I198" s="248"/>
      <c r="J198" s="248"/>
      <c r="K198" s="248"/>
      <c r="L198" s="248"/>
      <c r="M198" s="248"/>
      <c r="N198" s="248"/>
      <c r="O198" s="248"/>
      <c r="P198" s="248"/>
      <c r="Q198" s="248"/>
      <c r="R198" s="248"/>
      <c r="S198" s="248"/>
      <c r="T198" s="248"/>
      <c r="U198" s="248"/>
      <c r="V198" s="248"/>
      <c r="W198" s="240"/>
      <c r="AB198" s="390"/>
      <c r="AC198" s="390"/>
      <c r="AD198" s="390"/>
      <c r="AE198" s="390"/>
      <c r="AF198" s="390"/>
      <c r="AG198" s="390"/>
      <c r="AH198" s="390"/>
      <c r="AI198" s="390"/>
      <c r="AJ198" s="390"/>
      <c r="AK198" s="390"/>
      <c r="AL198" s="390"/>
      <c r="AM198" s="390"/>
      <c r="AN198" s="390"/>
      <c r="AO198" s="390"/>
      <c r="AP198" s="390"/>
    </row>
    <row r="199" spans="1:42" ht="15.75" customHeight="1">
      <c r="A199" s="248"/>
      <c r="B199" s="248"/>
      <c r="C199" s="248"/>
      <c r="D199" s="248"/>
      <c r="E199" s="248"/>
      <c r="F199" s="248"/>
      <c r="G199" s="248"/>
      <c r="H199" s="248"/>
      <c r="I199" s="248"/>
      <c r="J199" s="248"/>
      <c r="K199" s="248"/>
      <c r="L199" s="248"/>
      <c r="M199" s="248"/>
      <c r="N199" s="248"/>
      <c r="O199" s="248"/>
      <c r="P199" s="248"/>
      <c r="Q199" s="248"/>
      <c r="R199" s="248"/>
      <c r="S199" s="248"/>
      <c r="T199" s="248"/>
      <c r="U199" s="248"/>
      <c r="V199" s="248"/>
      <c r="W199" s="240"/>
      <c r="AB199" s="390"/>
      <c r="AC199" s="390"/>
      <c r="AD199" s="390"/>
      <c r="AE199" s="390"/>
      <c r="AF199" s="390"/>
      <c r="AG199" s="390"/>
      <c r="AH199" s="390"/>
      <c r="AI199" s="390"/>
      <c r="AJ199" s="390"/>
      <c r="AK199" s="390"/>
      <c r="AL199" s="390"/>
      <c r="AM199" s="390"/>
      <c r="AN199" s="390"/>
      <c r="AO199" s="390"/>
      <c r="AP199" s="390"/>
    </row>
    <row r="200" spans="1:42" ht="15.75" customHeight="1">
      <c r="A200" s="248"/>
      <c r="B200" s="248"/>
      <c r="C200" s="248"/>
      <c r="D200" s="248"/>
      <c r="E200" s="248"/>
      <c r="F200" s="248"/>
      <c r="G200" s="248"/>
      <c r="H200" s="248"/>
      <c r="I200" s="248"/>
      <c r="J200" s="248"/>
      <c r="K200" s="248"/>
      <c r="L200" s="248"/>
      <c r="M200" s="248"/>
      <c r="N200" s="248"/>
      <c r="O200" s="248"/>
      <c r="P200" s="248"/>
      <c r="Q200" s="248"/>
      <c r="R200" s="248"/>
      <c r="S200" s="248"/>
      <c r="T200" s="248"/>
      <c r="U200" s="248"/>
      <c r="V200" s="248"/>
      <c r="W200" s="240"/>
      <c r="AB200" s="390"/>
      <c r="AC200" s="390"/>
      <c r="AD200" s="390"/>
      <c r="AE200" s="390"/>
      <c r="AF200" s="390"/>
      <c r="AG200" s="390"/>
      <c r="AH200" s="390"/>
      <c r="AI200" s="390"/>
      <c r="AJ200" s="390"/>
      <c r="AK200" s="390"/>
      <c r="AL200" s="390"/>
      <c r="AM200" s="390"/>
      <c r="AN200" s="390"/>
      <c r="AO200" s="390"/>
      <c r="AP200" s="390"/>
    </row>
    <row r="201" spans="1:42" ht="15.75" customHeight="1">
      <c r="A201" s="248"/>
      <c r="B201" s="248"/>
      <c r="C201" s="248"/>
      <c r="D201" s="248"/>
      <c r="E201" s="248"/>
      <c r="F201" s="248"/>
      <c r="G201" s="248"/>
      <c r="H201" s="248"/>
      <c r="I201" s="248"/>
      <c r="J201" s="248"/>
      <c r="K201" s="248"/>
      <c r="L201" s="248"/>
      <c r="M201" s="248"/>
      <c r="N201" s="248"/>
      <c r="O201" s="248"/>
      <c r="P201" s="248"/>
      <c r="Q201" s="248"/>
      <c r="R201" s="248"/>
      <c r="S201" s="248"/>
      <c r="T201" s="248"/>
      <c r="U201" s="248"/>
      <c r="V201" s="248"/>
      <c r="W201" s="240"/>
      <c r="AB201" s="390"/>
      <c r="AC201" s="390"/>
      <c r="AD201" s="390"/>
      <c r="AE201" s="390"/>
      <c r="AF201" s="390"/>
      <c r="AG201" s="390"/>
      <c r="AH201" s="390"/>
      <c r="AI201" s="390"/>
      <c r="AJ201" s="390"/>
      <c r="AK201" s="390"/>
      <c r="AL201" s="390"/>
      <c r="AM201" s="390"/>
      <c r="AN201" s="390"/>
      <c r="AO201" s="390"/>
      <c r="AP201" s="390"/>
    </row>
    <row r="202" spans="1:42" ht="15.75" customHeight="1">
      <c r="A202" s="248"/>
      <c r="B202" s="248"/>
      <c r="C202" s="248"/>
      <c r="D202" s="248"/>
      <c r="E202" s="248"/>
      <c r="F202" s="248"/>
      <c r="G202" s="248"/>
      <c r="H202" s="248"/>
      <c r="I202" s="248"/>
      <c r="J202" s="248"/>
      <c r="K202" s="248"/>
      <c r="L202" s="248"/>
      <c r="M202" s="248"/>
      <c r="N202" s="248"/>
      <c r="O202" s="248"/>
      <c r="P202" s="248"/>
      <c r="Q202" s="248"/>
      <c r="R202" s="248"/>
      <c r="S202" s="248"/>
      <c r="T202" s="248"/>
      <c r="U202" s="248"/>
      <c r="V202" s="248"/>
      <c r="W202" s="240"/>
    </row>
    <row r="203" spans="1:42" ht="15.75" customHeight="1">
      <c r="A203" s="248"/>
      <c r="B203" s="248"/>
      <c r="C203" s="248"/>
      <c r="D203" s="248"/>
      <c r="E203" s="248"/>
      <c r="F203" s="248"/>
      <c r="G203" s="248"/>
      <c r="H203" s="248"/>
      <c r="I203" s="248"/>
      <c r="J203" s="248"/>
      <c r="K203" s="248"/>
      <c r="L203" s="248"/>
      <c r="M203" s="248"/>
      <c r="N203" s="248"/>
      <c r="O203" s="248"/>
      <c r="P203" s="248"/>
      <c r="Q203" s="248"/>
      <c r="R203" s="248"/>
      <c r="S203" s="248"/>
      <c r="T203" s="248"/>
      <c r="U203" s="248"/>
      <c r="V203" s="248"/>
      <c r="W203" s="240"/>
    </row>
    <row r="204" spans="1:42" ht="15.75" customHeight="1">
      <c r="A204" s="248"/>
      <c r="B204" s="248"/>
      <c r="C204" s="248"/>
      <c r="D204" s="248"/>
      <c r="E204" s="248"/>
      <c r="F204" s="248"/>
      <c r="G204" s="248"/>
      <c r="H204" s="248"/>
      <c r="I204" s="248"/>
      <c r="J204" s="248"/>
      <c r="K204" s="248"/>
      <c r="L204" s="248"/>
      <c r="M204" s="248"/>
      <c r="N204" s="248"/>
      <c r="O204" s="248"/>
      <c r="P204" s="248"/>
      <c r="Q204" s="248"/>
      <c r="R204" s="248"/>
      <c r="S204" s="248"/>
      <c r="T204" s="248"/>
      <c r="U204" s="248"/>
      <c r="V204" s="248"/>
      <c r="W204" s="240"/>
    </row>
    <row r="205" spans="1:42" ht="15.75" customHeight="1">
      <c r="A205" s="248"/>
      <c r="B205" s="248"/>
      <c r="C205" s="248"/>
      <c r="D205" s="248"/>
      <c r="E205" s="248"/>
      <c r="F205" s="248"/>
      <c r="G205" s="248"/>
      <c r="H205" s="248"/>
      <c r="I205" s="248"/>
      <c r="J205" s="248"/>
      <c r="K205" s="248"/>
      <c r="L205" s="248"/>
      <c r="M205" s="248"/>
      <c r="N205" s="248"/>
      <c r="O205" s="248"/>
      <c r="P205" s="248"/>
      <c r="Q205" s="248"/>
      <c r="R205" s="248"/>
      <c r="S205" s="248"/>
      <c r="T205" s="248"/>
      <c r="U205" s="248"/>
      <c r="V205" s="248"/>
      <c r="W205" s="240"/>
    </row>
    <row r="206" spans="1:42" ht="15.75" customHeight="1">
      <c r="A206" s="248"/>
      <c r="B206" s="248"/>
      <c r="C206" s="248"/>
      <c r="D206" s="248"/>
      <c r="E206" s="248"/>
      <c r="F206" s="248"/>
      <c r="G206" s="248"/>
      <c r="H206" s="248"/>
      <c r="I206" s="248"/>
      <c r="J206" s="248"/>
      <c r="K206" s="248"/>
      <c r="L206" s="248"/>
      <c r="M206" s="248"/>
      <c r="N206" s="248"/>
      <c r="O206" s="248"/>
      <c r="P206" s="248"/>
      <c r="Q206" s="248"/>
      <c r="R206" s="248"/>
      <c r="S206" s="248"/>
      <c r="T206" s="248"/>
      <c r="U206" s="248"/>
      <c r="V206" s="248"/>
      <c r="W206" s="240"/>
    </row>
    <row r="207" spans="1:42" ht="15.75" customHeight="1">
      <c r="A207" s="248"/>
      <c r="B207" s="248"/>
      <c r="C207" s="248"/>
      <c r="D207" s="248"/>
      <c r="E207" s="248"/>
      <c r="F207" s="248"/>
      <c r="G207" s="248"/>
      <c r="H207" s="248"/>
      <c r="I207" s="248"/>
      <c r="J207" s="248"/>
      <c r="K207" s="248"/>
      <c r="L207" s="248"/>
      <c r="M207" s="248"/>
      <c r="N207" s="248"/>
      <c r="O207" s="248"/>
      <c r="P207" s="248"/>
      <c r="Q207" s="248"/>
      <c r="R207" s="248"/>
      <c r="S207" s="248"/>
      <c r="T207" s="248"/>
      <c r="U207" s="248"/>
      <c r="V207" s="248"/>
      <c r="W207" s="240"/>
    </row>
    <row r="208" spans="1:42" ht="15.75" customHeight="1">
      <c r="A208" s="248"/>
      <c r="B208" s="248"/>
      <c r="C208" s="248"/>
      <c r="D208" s="248"/>
      <c r="E208" s="248"/>
      <c r="F208" s="248"/>
      <c r="G208" s="248"/>
      <c r="H208" s="248"/>
      <c r="I208" s="248"/>
      <c r="J208" s="248"/>
      <c r="K208" s="248"/>
      <c r="L208" s="248"/>
      <c r="M208" s="248"/>
      <c r="N208" s="248"/>
      <c r="O208" s="248"/>
      <c r="P208" s="248"/>
      <c r="Q208" s="248"/>
      <c r="R208" s="248"/>
      <c r="S208" s="248"/>
      <c r="T208" s="248"/>
      <c r="U208" s="248"/>
      <c r="V208" s="248"/>
      <c r="W208" s="240"/>
    </row>
    <row r="209" spans="1:23" ht="15.75" customHeight="1">
      <c r="A209" s="248"/>
      <c r="B209" s="248"/>
      <c r="C209" s="248"/>
      <c r="D209" s="248"/>
      <c r="E209" s="248"/>
      <c r="F209" s="248"/>
      <c r="G209" s="248"/>
      <c r="H209" s="248"/>
      <c r="I209" s="248"/>
      <c r="J209" s="248"/>
      <c r="K209" s="248"/>
      <c r="L209" s="248"/>
      <c r="M209" s="248"/>
      <c r="N209" s="248"/>
      <c r="O209" s="248"/>
      <c r="P209" s="248"/>
      <c r="Q209" s="248"/>
      <c r="R209" s="248"/>
      <c r="S209" s="248"/>
      <c r="T209" s="248"/>
      <c r="U209" s="248"/>
      <c r="V209" s="248"/>
      <c r="W209" s="240"/>
    </row>
    <row r="210" spans="1:23" ht="15.75" customHeight="1">
      <c r="A210" s="248"/>
      <c r="B210" s="248"/>
      <c r="C210" s="248"/>
      <c r="D210" s="248"/>
      <c r="E210" s="248"/>
      <c r="F210" s="248"/>
      <c r="G210" s="248"/>
      <c r="H210" s="248"/>
      <c r="I210" s="248"/>
      <c r="J210" s="248"/>
      <c r="K210" s="248"/>
      <c r="L210" s="248"/>
      <c r="M210" s="248"/>
      <c r="N210" s="248"/>
      <c r="O210" s="248"/>
      <c r="P210" s="248"/>
      <c r="Q210" s="248"/>
      <c r="R210" s="248"/>
      <c r="S210" s="248"/>
      <c r="T210" s="248"/>
      <c r="U210" s="248"/>
      <c r="V210" s="248"/>
      <c r="W210" s="240"/>
    </row>
    <row r="211" spans="1:23" ht="15.75" customHeight="1">
      <c r="A211" s="248"/>
      <c r="B211" s="248"/>
      <c r="C211" s="248"/>
      <c r="D211" s="248"/>
      <c r="E211" s="248"/>
      <c r="F211" s="248"/>
      <c r="G211" s="248"/>
      <c r="H211" s="248"/>
      <c r="I211" s="248"/>
      <c r="J211" s="248"/>
      <c r="K211" s="248"/>
      <c r="L211" s="248"/>
      <c r="M211" s="248"/>
      <c r="N211" s="248"/>
      <c r="O211" s="248"/>
      <c r="P211" s="248"/>
      <c r="Q211" s="248"/>
      <c r="R211" s="248"/>
      <c r="S211" s="248"/>
      <c r="T211" s="248"/>
      <c r="U211" s="248"/>
      <c r="V211" s="248"/>
      <c r="W211" s="240"/>
    </row>
    <row r="212" spans="1:23" ht="15.75" customHeight="1">
      <c r="A212" s="248"/>
      <c r="B212" s="248"/>
      <c r="C212" s="248"/>
      <c r="D212" s="248"/>
      <c r="E212" s="248"/>
      <c r="F212" s="248"/>
      <c r="G212" s="248"/>
      <c r="H212" s="248"/>
      <c r="I212" s="248"/>
      <c r="J212" s="248"/>
      <c r="K212" s="248"/>
      <c r="L212" s="248"/>
      <c r="M212" s="248"/>
      <c r="N212" s="248"/>
      <c r="O212" s="248"/>
      <c r="P212" s="248"/>
      <c r="Q212" s="248"/>
      <c r="R212" s="248"/>
      <c r="S212" s="248"/>
      <c r="T212" s="248"/>
      <c r="U212" s="248"/>
      <c r="V212" s="248"/>
      <c r="W212" s="240"/>
    </row>
    <row r="213" spans="1:23" ht="15.75" customHeight="1">
      <c r="A213" s="248"/>
      <c r="B213" s="248"/>
      <c r="C213" s="248"/>
      <c r="D213" s="248"/>
      <c r="E213" s="248"/>
      <c r="F213" s="248"/>
      <c r="G213" s="248"/>
      <c r="H213" s="248"/>
      <c r="I213" s="248"/>
      <c r="J213" s="248"/>
      <c r="K213" s="248"/>
      <c r="L213" s="248"/>
      <c r="M213" s="248"/>
      <c r="N213" s="248"/>
      <c r="O213" s="248"/>
      <c r="P213" s="248"/>
      <c r="Q213" s="248"/>
      <c r="R213" s="248"/>
      <c r="S213" s="248"/>
      <c r="T213" s="248"/>
      <c r="U213" s="248"/>
      <c r="V213" s="248"/>
      <c r="W213" s="240"/>
    </row>
    <row r="214" spans="1:23" ht="15.75" customHeight="1">
      <c r="A214" s="248"/>
      <c r="B214" s="248"/>
      <c r="C214" s="248"/>
      <c r="D214" s="248"/>
      <c r="E214" s="248"/>
      <c r="F214" s="248"/>
      <c r="G214" s="248"/>
      <c r="H214" s="248"/>
      <c r="I214" s="248"/>
      <c r="J214" s="248"/>
      <c r="K214" s="248"/>
      <c r="L214" s="248"/>
      <c r="M214" s="248"/>
      <c r="N214" s="248"/>
      <c r="O214" s="248"/>
      <c r="P214" s="248"/>
      <c r="Q214" s="248"/>
      <c r="R214" s="248"/>
      <c r="S214" s="248"/>
      <c r="T214" s="248"/>
      <c r="U214" s="248"/>
      <c r="V214" s="248"/>
      <c r="W214" s="240"/>
    </row>
    <row r="215" spans="1:23" ht="15.75" customHeight="1">
      <c r="A215" s="248"/>
      <c r="B215" s="248"/>
      <c r="C215" s="248"/>
      <c r="D215" s="248"/>
      <c r="E215" s="248"/>
      <c r="F215" s="248"/>
      <c r="G215" s="248"/>
      <c r="H215" s="248"/>
      <c r="I215" s="248"/>
      <c r="J215" s="248"/>
      <c r="K215" s="248"/>
      <c r="L215" s="248"/>
      <c r="M215" s="248"/>
      <c r="N215" s="248"/>
      <c r="O215" s="248"/>
      <c r="P215" s="248"/>
      <c r="Q215" s="248"/>
      <c r="R215" s="248"/>
      <c r="S215" s="248"/>
      <c r="T215" s="248"/>
      <c r="U215" s="248"/>
      <c r="V215" s="248"/>
      <c r="W215" s="240"/>
    </row>
    <row r="216" spans="1:23" ht="15.75" customHeight="1">
      <c r="A216" s="248"/>
      <c r="B216" s="248"/>
      <c r="C216" s="248"/>
      <c r="D216" s="248"/>
      <c r="E216" s="248"/>
      <c r="F216" s="248"/>
      <c r="G216" s="248"/>
      <c r="H216" s="248"/>
      <c r="I216" s="248"/>
      <c r="J216" s="248"/>
      <c r="K216" s="248"/>
      <c r="L216" s="248"/>
      <c r="M216" s="248"/>
      <c r="N216" s="248"/>
      <c r="O216" s="248"/>
      <c r="P216" s="248"/>
      <c r="Q216" s="248"/>
      <c r="R216" s="248"/>
      <c r="S216" s="248"/>
      <c r="T216" s="248"/>
      <c r="U216" s="248"/>
      <c r="V216" s="248"/>
      <c r="W216" s="240"/>
    </row>
    <row r="217" spans="1:23" ht="15.75" customHeight="1">
      <c r="A217" s="248"/>
      <c r="B217" s="248"/>
      <c r="C217" s="248"/>
      <c r="D217" s="248"/>
      <c r="E217" s="248"/>
      <c r="F217" s="248"/>
      <c r="G217" s="248"/>
      <c r="H217" s="248"/>
      <c r="I217" s="248"/>
      <c r="J217" s="248"/>
      <c r="K217" s="248"/>
      <c r="L217" s="248"/>
      <c r="M217" s="248"/>
      <c r="N217" s="248"/>
      <c r="O217" s="248"/>
      <c r="P217" s="248"/>
      <c r="Q217" s="248"/>
      <c r="R217" s="248"/>
      <c r="S217" s="248"/>
      <c r="T217" s="248"/>
      <c r="U217" s="248"/>
      <c r="V217" s="248"/>
      <c r="W217" s="240"/>
    </row>
    <row r="218" spans="1:23" ht="15.75" customHeight="1">
      <c r="A218" s="248"/>
      <c r="B218" s="248"/>
      <c r="C218" s="248"/>
      <c r="D218" s="248"/>
      <c r="E218" s="248"/>
      <c r="F218" s="248"/>
      <c r="G218" s="248"/>
      <c r="H218" s="248"/>
      <c r="I218" s="248"/>
      <c r="J218" s="248"/>
      <c r="K218" s="248"/>
      <c r="L218" s="248"/>
      <c r="M218" s="248"/>
      <c r="N218" s="248"/>
      <c r="O218" s="248"/>
      <c r="P218" s="248"/>
      <c r="Q218" s="248"/>
      <c r="R218" s="248"/>
      <c r="S218" s="248"/>
      <c r="T218" s="248"/>
      <c r="U218" s="248"/>
      <c r="V218" s="248"/>
      <c r="W218" s="240"/>
    </row>
    <row r="219" spans="1:23" ht="15.75" customHeight="1">
      <c r="A219" s="248"/>
      <c r="B219" s="248"/>
      <c r="C219" s="248"/>
      <c r="D219" s="248"/>
      <c r="E219" s="248"/>
      <c r="F219" s="248"/>
      <c r="G219" s="248"/>
      <c r="H219" s="248"/>
      <c r="I219" s="248"/>
      <c r="J219" s="248"/>
      <c r="K219" s="248"/>
      <c r="L219" s="248"/>
      <c r="M219" s="248"/>
      <c r="N219" s="248"/>
      <c r="O219" s="248"/>
      <c r="P219" s="248"/>
      <c r="Q219" s="248"/>
      <c r="R219" s="248"/>
      <c r="S219" s="248"/>
      <c r="T219" s="248"/>
      <c r="U219" s="248"/>
      <c r="V219" s="248"/>
      <c r="W219" s="240"/>
    </row>
    <row r="220" spans="1:23" ht="15.75" customHeight="1">
      <c r="A220" s="248"/>
      <c r="B220" s="248"/>
      <c r="C220" s="248"/>
      <c r="D220" s="248"/>
      <c r="E220" s="248"/>
      <c r="F220" s="248"/>
      <c r="G220" s="248"/>
      <c r="H220" s="248"/>
      <c r="I220" s="248"/>
      <c r="J220" s="248"/>
      <c r="K220" s="248"/>
      <c r="L220" s="248"/>
      <c r="M220" s="248"/>
      <c r="N220" s="248"/>
      <c r="O220" s="248"/>
      <c r="P220" s="248"/>
      <c r="Q220" s="248"/>
      <c r="R220" s="248"/>
      <c r="S220" s="248"/>
      <c r="T220" s="248"/>
      <c r="U220" s="248"/>
      <c r="V220" s="248"/>
      <c r="W220" s="240"/>
    </row>
    <row r="221" spans="1:23" ht="15.75" customHeight="1">
      <c r="A221" s="248"/>
      <c r="B221" s="248"/>
      <c r="C221" s="248"/>
      <c r="D221" s="248"/>
      <c r="E221" s="248"/>
      <c r="F221" s="248"/>
      <c r="G221" s="248"/>
      <c r="H221" s="248"/>
      <c r="I221" s="248"/>
      <c r="J221" s="248"/>
      <c r="K221" s="248"/>
      <c r="L221" s="248"/>
      <c r="M221" s="248"/>
      <c r="N221" s="248"/>
      <c r="O221" s="248"/>
      <c r="P221" s="248"/>
      <c r="Q221" s="248"/>
      <c r="R221" s="248"/>
      <c r="S221" s="248"/>
      <c r="T221" s="248"/>
      <c r="U221" s="248"/>
      <c r="V221" s="248"/>
      <c r="W221" s="240"/>
    </row>
    <row r="222" spans="1:23" ht="15.75" customHeight="1">
      <c r="A222" s="248"/>
      <c r="B222" s="248"/>
      <c r="C222" s="248"/>
      <c r="D222" s="248"/>
      <c r="E222" s="248"/>
      <c r="F222" s="248"/>
      <c r="G222" s="248"/>
      <c r="H222" s="248"/>
      <c r="I222" s="248"/>
      <c r="J222" s="248"/>
      <c r="K222" s="248"/>
      <c r="L222" s="248"/>
      <c r="M222" s="248"/>
      <c r="N222" s="248"/>
      <c r="O222" s="248"/>
      <c r="P222" s="248"/>
      <c r="Q222" s="248"/>
      <c r="R222" s="248"/>
      <c r="S222" s="248"/>
      <c r="T222" s="248"/>
      <c r="U222" s="248"/>
      <c r="V222" s="248"/>
      <c r="W222" s="240"/>
    </row>
    <row r="223" spans="1:23" ht="15.75" customHeight="1">
      <c r="A223" s="248"/>
      <c r="B223" s="248"/>
      <c r="C223" s="248"/>
      <c r="D223" s="248"/>
      <c r="E223" s="248"/>
      <c r="F223" s="248"/>
      <c r="G223" s="248"/>
      <c r="H223" s="248"/>
      <c r="I223" s="248"/>
      <c r="J223" s="248"/>
      <c r="K223" s="248"/>
      <c r="L223" s="248"/>
      <c r="M223" s="248"/>
      <c r="N223" s="248"/>
      <c r="O223" s="248"/>
      <c r="P223" s="248"/>
      <c r="Q223" s="248"/>
      <c r="R223" s="248"/>
      <c r="S223" s="248"/>
      <c r="T223" s="248"/>
      <c r="U223" s="248"/>
      <c r="V223" s="248"/>
      <c r="W223" s="240"/>
    </row>
    <row r="224" spans="1:23" ht="15.75" customHeight="1">
      <c r="A224" s="248"/>
      <c r="B224" s="248"/>
      <c r="C224" s="248"/>
      <c r="D224" s="248"/>
      <c r="E224" s="248"/>
      <c r="F224" s="248"/>
      <c r="G224" s="248"/>
      <c r="H224" s="248"/>
      <c r="I224" s="248"/>
      <c r="J224" s="248"/>
      <c r="K224" s="248"/>
      <c r="L224" s="248"/>
      <c r="M224" s="248"/>
      <c r="N224" s="248"/>
      <c r="O224" s="248"/>
      <c r="P224" s="248"/>
      <c r="Q224" s="248"/>
      <c r="R224" s="248"/>
      <c r="S224" s="248"/>
      <c r="T224" s="248"/>
      <c r="U224" s="248"/>
      <c r="V224" s="248"/>
      <c r="W224" s="240"/>
    </row>
    <row r="225" spans="1:23" ht="15.75" customHeight="1">
      <c r="A225" s="248"/>
      <c r="B225" s="248"/>
      <c r="C225" s="248"/>
      <c r="D225" s="248"/>
      <c r="E225" s="248"/>
      <c r="F225" s="248"/>
      <c r="G225" s="248"/>
      <c r="H225" s="248"/>
      <c r="I225" s="248"/>
      <c r="J225" s="248"/>
      <c r="K225" s="248"/>
      <c r="L225" s="248"/>
      <c r="M225" s="248"/>
      <c r="N225" s="248"/>
      <c r="O225" s="248"/>
      <c r="P225" s="248"/>
      <c r="Q225" s="248"/>
      <c r="R225" s="248"/>
      <c r="S225" s="248"/>
      <c r="T225" s="248"/>
      <c r="U225" s="248"/>
      <c r="V225" s="248"/>
      <c r="W225" s="240"/>
    </row>
    <row r="226" spans="1:23" ht="15.75" customHeight="1">
      <c r="A226" s="248"/>
      <c r="B226" s="248"/>
      <c r="C226" s="248"/>
      <c r="D226" s="248"/>
      <c r="E226" s="248"/>
      <c r="F226" s="248"/>
      <c r="G226" s="248"/>
      <c r="H226" s="248"/>
      <c r="I226" s="248"/>
      <c r="J226" s="248"/>
      <c r="K226" s="248"/>
      <c r="L226" s="248"/>
      <c r="M226" s="248"/>
      <c r="N226" s="248"/>
      <c r="O226" s="248"/>
      <c r="P226" s="248"/>
      <c r="Q226" s="248"/>
      <c r="R226" s="248"/>
      <c r="S226" s="248"/>
      <c r="T226" s="248"/>
      <c r="U226" s="248"/>
      <c r="V226" s="248"/>
      <c r="W226" s="240"/>
    </row>
    <row r="227" spans="1:23" ht="15.75" customHeight="1">
      <c r="A227" s="248"/>
      <c r="B227" s="248"/>
      <c r="C227" s="248"/>
      <c r="D227" s="248"/>
      <c r="E227" s="248"/>
      <c r="F227" s="248"/>
      <c r="G227" s="248"/>
      <c r="H227" s="248"/>
      <c r="I227" s="248"/>
      <c r="J227" s="248"/>
      <c r="K227" s="248"/>
      <c r="L227" s="248"/>
      <c r="M227" s="248"/>
      <c r="N227" s="248"/>
      <c r="O227" s="248"/>
      <c r="P227" s="248"/>
      <c r="Q227" s="248"/>
      <c r="R227" s="248"/>
      <c r="S227" s="248"/>
      <c r="T227" s="248"/>
      <c r="U227" s="248"/>
      <c r="V227" s="248"/>
      <c r="W227" s="240"/>
    </row>
    <row r="228" spans="1:23" ht="15.75" customHeight="1">
      <c r="A228" s="248"/>
      <c r="B228" s="248"/>
      <c r="C228" s="248"/>
      <c r="D228" s="248"/>
      <c r="E228" s="248"/>
      <c r="F228" s="248"/>
      <c r="G228" s="248"/>
      <c r="H228" s="248"/>
      <c r="I228" s="248"/>
      <c r="J228" s="248"/>
      <c r="K228" s="248"/>
      <c r="L228" s="248"/>
      <c r="M228" s="248"/>
      <c r="N228" s="248"/>
      <c r="O228" s="248"/>
      <c r="P228" s="248"/>
      <c r="Q228" s="248"/>
      <c r="R228" s="248"/>
      <c r="S228" s="248"/>
      <c r="T228" s="248"/>
      <c r="U228" s="248"/>
      <c r="V228" s="248"/>
      <c r="W228" s="240"/>
    </row>
    <row r="229" spans="1:23" ht="15.75" customHeight="1">
      <c r="A229" s="248"/>
      <c r="B229" s="248"/>
      <c r="C229" s="248"/>
      <c r="D229" s="248"/>
      <c r="E229" s="248"/>
      <c r="F229" s="248"/>
      <c r="G229" s="248"/>
      <c r="H229" s="248"/>
      <c r="I229" s="248"/>
      <c r="J229" s="248"/>
      <c r="K229" s="248"/>
      <c r="L229" s="248"/>
      <c r="M229" s="248"/>
      <c r="N229" s="248"/>
      <c r="O229" s="248"/>
      <c r="P229" s="248"/>
      <c r="Q229" s="248"/>
      <c r="R229" s="248"/>
      <c r="S229" s="248"/>
      <c r="T229" s="248"/>
      <c r="U229" s="248"/>
      <c r="V229" s="248"/>
      <c r="W229" s="240"/>
    </row>
    <row r="230" spans="1:23" ht="15.75" customHeight="1">
      <c r="A230" s="248"/>
      <c r="B230" s="248"/>
      <c r="C230" s="248"/>
      <c r="D230" s="248"/>
      <c r="E230" s="248"/>
      <c r="F230" s="248"/>
      <c r="G230" s="248"/>
      <c r="H230" s="248"/>
      <c r="I230" s="248"/>
      <c r="J230" s="248"/>
      <c r="K230" s="248"/>
      <c r="L230" s="248"/>
      <c r="M230" s="248"/>
      <c r="N230" s="248"/>
      <c r="O230" s="248"/>
      <c r="P230" s="248"/>
      <c r="Q230" s="248"/>
      <c r="R230" s="248"/>
      <c r="S230" s="248"/>
      <c r="T230" s="248"/>
      <c r="U230" s="248"/>
      <c r="V230" s="248"/>
      <c r="W230" s="240"/>
    </row>
    <row r="231" spans="1:23" ht="15.75" customHeight="1">
      <c r="A231" s="248"/>
      <c r="B231" s="248"/>
      <c r="C231" s="248"/>
      <c r="D231" s="248"/>
      <c r="E231" s="248"/>
      <c r="F231" s="248"/>
      <c r="G231" s="248"/>
      <c r="H231" s="248"/>
      <c r="I231" s="248"/>
      <c r="J231" s="248"/>
      <c r="K231" s="248"/>
      <c r="L231" s="248"/>
      <c r="M231" s="248"/>
      <c r="N231" s="248"/>
      <c r="O231" s="248"/>
      <c r="P231" s="248"/>
      <c r="Q231" s="248"/>
      <c r="R231" s="248"/>
      <c r="S231" s="248"/>
      <c r="T231" s="248"/>
      <c r="U231" s="248"/>
      <c r="V231" s="248"/>
      <c r="W231" s="240"/>
    </row>
    <row r="232" spans="1:23" ht="15.75" customHeight="1">
      <c r="A232" s="248"/>
      <c r="B232" s="248"/>
      <c r="C232" s="248"/>
      <c r="D232" s="248"/>
      <c r="E232" s="248"/>
      <c r="F232" s="248"/>
      <c r="G232" s="248"/>
      <c r="H232" s="248"/>
      <c r="I232" s="248"/>
      <c r="J232" s="248"/>
      <c r="K232" s="248"/>
      <c r="L232" s="248"/>
      <c r="M232" s="248"/>
      <c r="N232" s="248"/>
      <c r="O232" s="248"/>
      <c r="P232" s="248"/>
      <c r="Q232" s="248"/>
      <c r="R232" s="248"/>
      <c r="S232" s="248"/>
      <c r="T232" s="248"/>
      <c r="U232" s="248"/>
      <c r="V232" s="248"/>
      <c r="W232" s="240"/>
    </row>
    <row r="233" spans="1:23" ht="15.75" customHeight="1">
      <c r="A233" s="248"/>
      <c r="B233" s="248"/>
      <c r="C233" s="248"/>
      <c r="D233" s="248"/>
      <c r="E233" s="248"/>
      <c r="F233" s="248"/>
      <c r="G233" s="248"/>
      <c r="H233" s="248"/>
      <c r="I233" s="248"/>
      <c r="J233" s="248"/>
      <c r="K233" s="248"/>
      <c r="L233" s="248"/>
      <c r="M233" s="248"/>
      <c r="N233" s="248"/>
      <c r="O233" s="248"/>
      <c r="P233" s="248"/>
      <c r="Q233" s="248"/>
      <c r="R233" s="248"/>
      <c r="S233" s="248"/>
      <c r="T233" s="248"/>
      <c r="U233" s="248"/>
      <c r="V233" s="248"/>
      <c r="W233" s="240"/>
    </row>
    <row r="234" spans="1:23" ht="15.75" customHeight="1">
      <c r="A234" s="248"/>
      <c r="B234" s="248"/>
      <c r="C234" s="248"/>
      <c r="D234" s="248"/>
      <c r="E234" s="248"/>
      <c r="F234" s="248"/>
      <c r="G234" s="248"/>
      <c r="H234" s="248"/>
      <c r="I234" s="248"/>
      <c r="J234" s="248"/>
      <c r="K234" s="248"/>
      <c r="L234" s="248"/>
      <c r="M234" s="248"/>
      <c r="N234" s="248"/>
      <c r="O234" s="248"/>
      <c r="P234" s="248"/>
      <c r="Q234" s="248"/>
      <c r="R234" s="248"/>
      <c r="S234" s="248"/>
      <c r="T234" s="248"/>
      <c r="U234" s="248"/>
      <c r="V234" s="248"/>
      <c r="W234" s="240"/>
    </row>
    <row r="235" spans="1:23" ht="15.75" customHeight="1">
      <c r="A235" s="248"/>
      <c r="B235" s="248"/>
      <c r="C235" s="248"/>
      <c r="D235" s="248"/>
      <c r="E235" s="248"/>
      <c r="F235" s="248"/>
      <c r="G235" s="248"/>
      <c r="H235" s="248"/>
      <c r="I235" s="248"/>
      <c r="J235" s="248"/>
      <c r="K235" s="248"/>
      <c r="L235" s="248"/>
      <c r="M235" s="248"/>
      <c r="N235" s="248"/>
      <c r="O235" s="248"/>
      <c r="P235" s="248"/>
      <c r="Q235" s="248"/>
      <c r="R235" s="248"/>
      <c r="S235" s="248"/>
      <c r="T235" s="248"/>
      <c r="U235" s="248"/>
      <c r="V235" s="248"/>
      <c r="W235" s="240"/>
    </row>
    <row r="236" spans="1:23" ht="15.75" customHeight="1">
      <c r="A236" s="248"/>
      <c r="B236" s="248"/>
      <c r="C236" s="248"/>
      <c r="D236" s="248"/>
      <c r="E236" s="248"/>
      <c r="F236" s="248"/>
      <c r="G236" s="248"/>
      <c r="H236" s="248"/>
      <c r="I236" s="248"/>
      <c r="J236" s="248"/>
      <c r="K236" s="248"/>
      <c r="L236" s="248"/>
      <c r="M236" s="248"/>
      <c r="N236" s="248"/>
      <c r="O236" s="248"/>
      <c r="P236" s="248"/>
      <c r="Q236" s="248"/>
      <c r="R236" s="248"/>
      <c r="S236" s="248"/>
      <c r="T236" s="248"/>
      <c r="U236" s="248"/>
      <c r="V236" s="248"/>
      <c r="W236" s="240"/>
    </row>
    <row r="237" spans="1:23" ht="15.75" customHeight="1">
      <c r="A237" s="248"/>
      <c r="B237" s="248"/>
      <c r="C237" s="248"/>
      <c r="D237" s="248"/>
      <c r="E237" s="248"/>
      <c r="F237" s="248"/>
      <c r="G237" s="248"/>
      <c r="H237" s="248"/>
      <c r="I237" s="248"/>
      <c r="J237" s="248"/>
      <c r="K237" s="248"/>
      <c r="L237" s="248"/>
      <c r="M237" s="248"/>
      <c r="N237" s="248"/>
      <c r="O237" s="248"/>
      <c r="P237" s="248"/>
      <c r="Q237" s="248"/>
      <c r="R237" s="248"/>
      <c r="S237" s="248"/>
      <c r="T237" s="248"/>
      <c r="U237" s="248"/>
      <c r="V237" s="248"/>
      <c r="W237" s="240"/>
    </row>
    <row r="238" spans="1:23" ht="15.75" customHeight="1">
      <c r="A238" s="248"/>
      <c r="B238" s="248"/>
      <c r="C238" s="248"/>
      <c r="D238" s="248"/>
      <c r="E238" s="248"/>
      <c r="F238" s="248"/>
      <c r="G238" s="248"/>
      <c r="H238" s="248"/>
      <c r="I238" s="248"/>
      <c r="J238" s="248"/>
      <c r="K238" s="248"/>
      <c r="L238" s="248"/>
      <c r="M238" s="248"/>
      <c r="N238" s="248"/>
      <c r="O238" s="248"/>
      <c r="P238" s="248"/>
      <c r="Q238" s="248"/>
      <c r="R238" s="248"/>
      <c r="S238" s="248"/>
      <c r="T238" s="248"/>
      <c r="U238" s="248"/>
      <c r="V238" s="248"/>
      <c r="W238" s="240"/>
    </row>
    <row r="239" spans="1:23" ht="15.75" customHeight="1">
      <c r="A239" s="248"/>
      <c r="B239" s="248"/>
      <c r="C239" s="248"/>
      <c r="D239" s="248"/>
      <c r="E239" s="248"/>
      <c r="F239" s="248"/>
      <c r="G239" s="248"/>
      <c r="H239" s="248"/>
      <c r="I239" s="248"/>
      <c r="J239" s="248"/>
      <c r="K239" s="248"/>
      <c r="L239" s="248"/>
      <c r="M239" s="248"/>
      <c r="N239" s="248"/>
      <c r="O239" s="248"/>
      <c r="P239" s="248"/>
      <c r="Q239" s="248"/>
      <c r="R239" s="248"/>
      <c r="S239" s="248"/>
      <c r="T239" s="248"/>
      <c r="U239" s="248"/>
      <c r="V239" s="248"/>
      <c r="W239" s="240"/>
    </row>
    <row r="240" spans="1:23" ht="15.75" customHeight="1">
      <c r="A240" s="248"/>
      <c r="B240" s="248"/>
      <c r="C240" s="248"/>
      <c r="D240" s="248"/>
      <c r="E240" s="248"/>
      <c r="F240" s="248"/>
      <c r="G240" s="248"/>
      <c r="H240" s="248"/>
      <c r="I240" s="248"/>
      <c r="J240" s="248"/>
      <c r="K240" s="248"/>
      <c r="L240" s="248"/>
      <c r="M240" s="248"/>
      <c r="N240" s="248"/>
      <c r="O240" s="248"/>
      <c r="P240" s="248"/>
      <c r="Q240" s="248"/>
      <c r="R240" s="248"/>
      <c r="S240" s="248"/>
      <c r="T240" s="248"/>
      <c r="U240" s="248"/>
      <c r="V240" s="248"/>
      <c r="W240" s="240"/>
    </row>
    <row r="241" spans="1:23" ht="15.75" customHeight="1">
      <c r="A241" s="248"/>
      <c r="B241" s="248"/>
      <c r="C241" s="248"/>
      <c r="D241" s="248"/>
      <c r="E241" s="248"/>
      <c r="F241" s="248"/>
      <c r="G241" s="248"/>
      <c r="H241" s="248"/>
      <c r="I241" s="248"/>
      <c r="J241" s="248"/>
      <c r="K241" s="248"/>
      <c r="L241" s="248"/>
      <c r="M241" s="248"/>
      <c r="N241" s="248"/>
      <c r="O241" s="248"/>
      <c r="P241" s="248"/>
      <c r="Q241" s="248"/>
      <c r="R241" s="248"/>
      <c r="S241" s="248"/>
      <c r="T241" s="248"/>
      <c r="U241" s="248"/>
      <c r="V241" s="248"/>
      <c r="W241" s="240"/>
    </row>
    <row r="242" spans="1:23" ht="15.75" customHeight="1">
      <c r="A242" s="248"/>
      <c r="B242" s="248"/>
      <c r="C242" s="248"/>
      <c r="D242" s="248"/>
      <c r="E242" s="248"/>
      <c r="F242" s="248"/>
      <c r="G242" s="248"/>
      <c r="H242" s="248"/>
      <c r="I242" s="248"/>
      <c r="J242" s="248"/>
      <c r="K242" s="248"/>
      <c r="L242" s="248"/>
      <c r="M242" s="248"/>
      <c r="N242" s="248"/>
      <c r="O242" s="248"/>
      <c r="P242" s="248"/>
      <c r="Q242" s="248"/>
      <c r="R242" s="248"/>
      <c r="S242" s="248"/>
      <c r="T242" s="248"/>
      <c r="U242" s="248"/>
      <c r="V242" s="248"/>
      <c r="W242" s="240"/>
    </row>
    <row r="243" spans="1:23" ht="15.75" customHeight="1">
      <c r="A243" s="248"/>
      <c r="B243" s="248"/>
      <c r="C243" s="248"/>
      <c r="D243" s="248"/>
      <c r="E243" s="248"/>
      <c r="F243" s="248"/>
      <c r="G243" s="248"/>
      <c r="H243" s="248"/>
      <c r="I243" s="248"/>
      <c r="J243" s="248"/>
      <c r="K243" s="248"/>
      <c r="L243" s="248"/>
      <c r="M243" s="248"/>
      <c r="N243" s="248"/>
      <c r="O243" s="248"/>
      <c r="P243" s="248"/>
      <c r="Q243" s="248"/>
      <c r="R243" s="248"/>
      <c r="S243" s="248"/>
      <c r="T243" s="248"/>
      <c r="U243" s="248"/>
      <c r="V243" s="248"/>
      <c r="W243" s="240"/>
    </row>
    <row r="244" spans="1:23" ht="15.75" customHeight="1">
      <c r="A244" s="248"/>
      <c r="B244" s="248"/>
      <c r="C244" s="248"/>
      <c r="D244" s="248"/>
      <c r="E244" s="248"/>
      <c r="F244" s="248"/>
      <c r="G244" s="248"/>
      <c r="H244" s="248"/>
      <c r="I244" s="248"/>
      <c r="J244" s="248"/>
      <c r="K244" s="248"/>
      <c r="L244" s="248"/>
      <c r="M244" s="248"/>
      <c r="N244" s="248"/>
      <c r="O244" s="248"/>
      <c r="P244" s="248"/>
      <c r="Q244" s="248"/>
      <c r="R244" s="248"/>
      <c r="S244" s="248"/>
      <c r="T244" s="248"/>
      <c r="U244" s="248"/>
      <c r="V244" s="248"/>
      <c r="W244" s="240"/>
    </row>
    <row r="245" spans="1:23" ht="15.75" customHeight="1">
      <c r="A245" s="248"/>
      <c r="B245" s="248"/>
      <c r="C245" s="248"/>
      <c r="D245" s="248"/>
      <c r="E245" s="248"/>
      <c r="F245" s="248"/>
      <c r="G245" s="248"/>
      <c r="H245" s="248"/>
      <c r="I245" s="248"/>
      <c r="J245" s="248"/>
      <c r="K245" s="248"/>
      <c r="L245" s="248"/>
      <c r="M245" s="248"/>
      <c r="N245" s="248"/>
      <c r="O245" s="248"/>
      <c r="P245" s="248"/>
      <c r="Q245" s="248"/>
      <c r="R245" s="248"/>
      <c r="S245" s="248"/>
      <c r="T245" s="248"/>
      <c r="U245" s="248"/>
      <c r="V245" s="248"/>
      <c r="W245" s="240"/>
    </row>
    <row r="246" spans="1:23" ht="15.75" customHeight="1">
      <c r="A246" s="248"/>
      <c r="B246" s="248"/>
      <c r="C246" s="248"/>
      <c r="D246" s="248"/>
      <c r="E246" s="248"/>
      <c r="F246" s="248"/>
      <c r="G246" s="248"/>
      <c r="H246" s="248"/>
      <c r="I246" s="248"/>
      <c r="J246" s="248"/>
      <c r="K246" s="248"/>
      <c r="L246" s="248"/>
      <c r="M246" s="248"/>
      <c r="N246" s="248"/>
      <c r="O246" s="248"/>
      <c r="P246" s="248"/>
      <c r="Q246" s="248"/>
      <c r="R246" s="248"/>
      <c r="S246" s="248"/>
      <c r="T246" s="248"/>
      <c r="U246" s="248"/>
      <c r="V246" s="248"/>
      <c r="W246" s="240"/>
    </row>
    <row r="247" spans="1:23" ht="15.75" customHeight="1">
      <c r="A247" s="248"/>
      <c r="B247" s="248"/>
      <c r="C247" s="248"/>
      <c r="D247" s="248"/>
      <c r="E247" s="248"/>
      <c r="F247" s="248"/>
      <c r="G247" s="248"/>
      <c r="H247" s="248"/>
      <c r="I247" s="248"/>
      <c r="J247" s="248"/>
      <c r="K247" s="248"/>
      <c r="L247" s="248"/>
      <c r="M247" s="248"/>
      <c r="N247" s="248"/>
      <c r="O247" s="248"/>
      <c r="P247" s="248"/>
      <c r="Q247" s="248"/>
      <c r="R247" s="248"/>
      <c r="S247" s="248"/>
      <c r="T247" s="248"/>
      <c r="U247" s="248"/>
      <c r="V247" s="248"/>
      <c r="W247" s="240"/>
    </row>
    <row r="248" spans="1:23" ht="15.75" customHeight="1">
      <c r="A248" s="248"/>
      <c r="B248" s="248"/>
      <c r="C248" s="248"/>
      <c r="D248" s="248"/>
      <c r="E248" s="248"/>
      <c r="F248" s="248"/>
      <c r="G248" s="248"/>
      <c r="H248" s="248"/>
      <c r="I248" s="248"/>
      <c r="J248" s="248"/>
      <c r="K248" s="248"/>
      <c r="L248" s="248"/>
      <c r="M248" s="248"/>
      <c r="N248" s="248"/>
      <c r="O248" s="248"/>
      <c r="P248" s="248"/>
      <c r="Q248" s="248"/>
      <c r="R248" s="248"/>
      <c r="S248" s="248"/>
      <c r="T248" s="248"/>
      <c r="U248" s="248"/>
      <c r="V248" s="248"/>
      <c r="W248" s="240"/>
    </row>
    <row r="249" spans="1:23" ht="15.75" customHeight="1">
      <c r="A249" s="248"/>
      <c r="B249" s="248"/>
      <c r="C249" s="248"/>
      <c r="D249" s="248"/>
      <c r="E249" s="248"/>
      <c r="F249" s="248"/>
      <c r="G249" s="248"/>
      <c r="H249" s="248"/>
      <c r="I249" s="248"/>
      <c r="J249" s="248"/>
      <c r="K249" s="248"/>
      <c r="L249" s="248"/>
      <c r="M249" s="248"/>
      <c r="N249" s="248"/>
      <c r="O249" s="248"/>
      <c r="P249" s="248"/>
      <c r="Q249" s="248"/>
      <c r="R249" s="248"/>
      <c r="S249" s="248"/>
      <c r="T249" s="248"/>
      <c r="U249" s="248"/>
      <c r="V249" s="248"/>
      <c r="W249" s="240"/>
    </row>
    <row r="250" spans="1:23" ht="15.75" customHeight="1">
      <c r="A250" s="248"/>
      <c r="B250" s="248"/>
      <c r="C250" s="248"/>
      <c r="D250" s="248"/>
      <c r="E250" s="248"/>
      <c r="F250" s="248"/>
      <c r="G250" s="248"/>
      <c r="H250" s="248"/>
      <c r="I250" s="248"/>
      <c r="J250" s="248"/>
      <c r="K250" s="248"/>
      <c r="L250" s="248"/>
      <c r="M250" s="248"/>
      <c r="N250" s="248"/>
      <c r="O250" s="248"/>
      <c r="P250" s="248"/>
      <c r="Q250" s="248"/>
      <c r="R250" s="248"/>
      <c r="S250" s="248"/>
      <c r="T250" s="248"/>
      <c r="U250" s="248"/>
      <c r="V250" s="248"/>
      <c r="W250" s="240"/>
    </row>
    <row r="251" spans="1:23" ht="15.75" customHeight="1">
      <c r="A251" s="248"/>
      <c r="B251" s="248"/>
      <c r="C251" s="248"/>
      <c r="D251" s="248"/>
      <c r="E251" s="248"/>
      <c r="F251" s="248"/>
      <c r="G251" s="248"/>
      <c r="H251" s="248"/>
      <c r="I251" s="248"/>
      <c r="J251" s="248"/>
      <c r="K251" s="248"/>
      <c r="L251" s="248"/>
      <c r="M251" s="248"/>
      <c r="N251" s="248"/>
      <c r="O251" s="248"/>
      <c r="P251" s="248"/>
      <c r="Q251" s="248"/>
      <c r="R251" s="248"/>
      <c r="S251" s="248"/>
      <c r="T251" s="248"/>
      <c r="U251" s="248"/>
      <c r="V251" s="248"/>
      <c r="W251" s="240"/>
    </row>
    <row r="252" spans="1:23" ht="15.75" customHeight="1">
      <c r="A252" s="248"/>
      <c r="B252" s="248"/>
      <c r="C252" s="248"/>
      <c r="D252" s="248"/>
      <c r="E252" s="248"/>
      <c r="F252" s="248"/>
      <c r="G252" s="248"/>
      <c r="H252" s="248"/>
      <c r="I252" s="248"/>
      <c r="J252" s="248"/>
      <c r="K252" s="248"/>
      <c r="L252" s="248"/>
      <c r="M252" s="248"/>
      <c r="N252" s="248"/>
      <c r="O252" s="248"/>
      <c r="P252" s="248"/>
      <c r="Q252" s="248"/>
      <c r="R252" s="248"/>
      <c r="S252" s="248"/>
      <c r="T252" s="248"/>
      <c r="U252" s="248"/>
      <c r="V252" s="248"/>
      <c r="W252" s="240"/>
    </row>
    <row r="253" spans="1:23" ht="15.75" customHeight="1">
      <c r="L253" s="240"/>
      <c r="W253" s="240"/>
    </row>
    <row r="254" spans="1:23" ht="15.75" customHeight="1">
      <c r="L254" s="240"/>
      <c r="W254" s="240"/>
    </row>
    <row r="255" spans="1:23" ht="15.75" customHeight="1">
      <c r="L255" s="240"/>
      <c r="W255" s="240"/>
    </row>
    <row r="256" spans="1:23" ht="15.75" customHeight="1">
      <c r="L256" s="240"/>
      <c r="W256" s="240"/>
    </row>
    <row r="257" spans="12:23" ht="15.75" customHeight="1">
      <c r="L257" s="240"/>
      <c r="W257" s="240"/>
    </row>
    <row r="258" spans="12:23" ht="15.75" customHeight="1">
      <c r="L258" s="240"/>
      <c r="W258" s="240"/>
    </row>
    <row r="259" spans="12:23" ht="15.75" customHeight="1">
      <c r="L259" s="240"/>
      <c r="W259" s="240"/>
    </row>
    <row r="260" spans="12:23" ht="15.75" customHeight="1">
      <c r="L260" s="240"/>
      <c r="W260" s="240"/>
    </row>
    <row r="261" spans="12:23" ht="15.75" customHeight="1">
      <c r="L261" s="240"/>
      <c r="W261" s="240"/>
    </row>
    <row r="262" spans="12:23" ht="15.75" customHeight="1">
      <c r="L262" s="240"/>
      <c r="W262" s="240"/>
    </row>
    <row r="263" spans="12:23" ht="15.75" customHeight="1">
      <c r="L263" s="240"/>
      <c r="W263" s="240"/>
    </row>
    <row r="264" spans="12:23" ht="15.75" customHeight="1">
      <c r="L264" s="240"/>
      <c r="W264" s="240"/>
    </row>
    <row r="265" spans="12:23" ht="15.75" customHeight="1">
      <c r="L265" s="240"/>
      <c r="W265" s="240"/>
    </row>
    <row r="266" spans="12:23" ht="15.75" customHeight="1">
      <c r="L266" s="240"/>
      <c r="W266" s="240"/>
    </row>
    <row r="267" spans="12:23" ht="15.75" customHeight="1">
      <c r="L267" s="240"/>
      <c r="W267" s="240"/>
    </row>
    <row r="268" spans="12:23" ht="15.75" customHeight="1">
      <c r="L268" s="240"/>
      <c r="W268" s="240"/>
    </row>
    <row r="269" spans="12:23" ht="15.75" customHeight="1">
      <c r="L269" s="240"/>
      <c r="W269" s="240"/>
    </row>
    <row r="270" spans="12:23" ht="15.75" customHeight="1">
      <c r="L270" s="240"/>
      <c r="W270" s="240"/>
    </row>
    <row r="271" spans="12:23" ht="15.75" customHeight="1">
      <c r="L271" s="240"/>
      <c r="W271" s="240"/>
    </row>
    <row r="272" spans="12:23" ht="15.75" customHeight="1">
      <c r="L272" s="240"/>
      <c r="W272" s="240"/>
    </row>
    <row r="273" spans="12:23" ht="15.75" customHeight="1">
      <c r="L273" s="240"/>
      <c r="W273" s="240"/>
    </row>
    <row r="274" spans="12:23" ht="15.75" customHeight="1">
      <c r="L274" s="240"/>
      <c r="W274" s="240"/>
    </row>
    <row r="275" spans="12:23" ht="15.75" customHeight="1">
      <c r="L275" s="240"/>
      <c r="W275" s="240"/>
    </row>
    <row r="276" spans="12:23" ht="15.75" customHeight="1">
      <c r="L276" s="240"/>
      <c r="W276" s="240"/>
    </row>
    <row r="277" spans="12:23" ht="15.75" customHeight="1">
      <c r="L277" s="240"/>
      <c r="W277" s="240"/>
    </row>
    <row r="278" spans="12:23" ht="15.75" customHeight="1">
      <c r="L278" s="240"/>
      <c r="W278" s="240"/>
    </row>
    <row r="279" spans="12:23" ht="15.75" customHeight="1">
      <c r="L279" s="240"/>
      <c r="W279" s="240"/>
    </row>
    <row r="280" spans="12:23" ht="15.75" customHeight="1">
      <c r="L280" s="240"/>
      <c r="W280" s="240"/>
    </row>
    <row r="281" spans="12:23" ht="15.75" customHeight="1">
      <c r="L281" s="240"/>
      <c r="W281" s="240"/>
    </row>
    <row r="282" spans="12:23" ht="15.75" customHeight="1">
      <c r="L282" s="240"/>
      <c r="W282" s="240"/>
    </row>
    <row r="283" spans="12:23" ht="15.75" customHeight="1">
      <c r="L283" s="240"/>
      <c r="W283" s="240"/>
    </row>
    <row r="284" spans="12:23" ht="15.75" customHeight="1">
      <c r="L284" s="240"/>
      <c r="W284" s="240"/>
    </row>
    <row r="285" spans="12:23" ht="15.75" customHeight="1">
      <c r="L285" s="240"/>
      <c r="W285" s="240"/>
    </row>
    <row r="286" spans="12:23" ht="15.75" customHeight="1">
      <c r="L286" s="240"/>
      <c r="W286" s="240"/>
    </row>
    <row r="287" spans="12:23" ht="15.75" customHeight="1">
      <c r="L287" s="240"/>
      <c r="W287" s="240"/>
    </row>
    <row r="288" spans="12:23" ht="15.75" customHeight="1">
      <c r="L288" s="240"/>
      <c r="W288" s="240"/>
    </row>
    <row r="289" spans="12:23" ht="15.75" customHeight="1">
      <c r="L289" s="240"/>
      <c r="W289" s="240"/>
    </row>
    <row r="290" spans="12:23" ht="15.75" customHeight="1">
      <c r="L290" s="240"/>
      <c r="W290" s="240"/>
    </row>
    <row r="291" spans="12:23" ht="15.75" customHeight="1">
      <c r="L291" s="240"/>
      <c r="W291" s="240"/>
    </row>
    <row r="292" spans="12:23" ht="15.75" customHeight="1">
      <c r="L292" s="240"/>
      <c r="W292" s="240"/>
    </row>
    <row r="293" spans="12:23" ht="15.75" customHeight="1">
      <c r="L293" s="240"/>
      <c r="W293" s="240"/>
    </row>
    <row r="294" spans="12:23" ht="15.75" customHeight="1">
      <c r="L294" s="240"/>
      <c r="W294" s="240"/>
    </row>
    <row r="295" spans="12:23" ht="15.75" customHeight="1">
      <c r="L295" s="240"/>
      <c r="W295" s="240"/>
    </row>
    <row r="296" spans="12:23" ht="15.75" customHeight="1">
      <c r="L296" s="240"/>
      <c r="W296" s="240"/>
    </row>
    <row r="297" spans="12:23" ht="15.75" customHeight="1">
      <c r="L297" s="240"/>
      <c r="W297" s="240"/>
    </row>
    <row r="298" spans="12:23" ht="15.75" customHeight="1">
      <c r="L298" s="240"/>
      <c r="W298" s="240"/>
    </row>
    <row r="299" spans="12:23" ht="15.75" customHeight="1">
      <c r="L299" s="240"/>
      <c r="W299" s="240"/>
    </row>
    <row r="300" spans="12:23" ht="15.75" customHeight="1">
      <c r="L300" s="240"/>
      <c r="W300" s="240"/>
    </row>
    <row r="301" spans="12:23" ht="15.75" customHeight="1">
      <c r="L301" s="240"/>
      <c r="W301" s="240"/>
    </row>
    <row r="302" spans="12:23" ht="15.75" customHeight="1">
      <c r="L302" s="240"/>
      <c r="W302" s="240"/>
    </row>
    <row r="303" spans="12:23" ht="15.75" customHeight="1">
      <c r="L303" s="240"/>
      <c r="W303" s="240"/>
    </row>
    <row r="304" spans="12:23" ht="15.75" customHeight="1">
      <c r="L304" s="240"/>
      <c r="W304" s="240"/>
    </row>
    <row r="305" spans="12:23" ht="15.75" customHeight="1">
      <c r="L305" s="240"/>
      <c r="W305" s="240"/>
    </row>
    <row r="306" spans="12:23" ht="15.75" customHeight="1">
      <c r="L306" s="240"/>
      <c r="W306" s="240"/>
    </row>
    <row r="307" spans="12:23" ht="15.75" customHeight="1">
      <c r="L307" s="240"/>
      <c r="W307" s="240"/>
    </row>
    <row r="308" spans="12:23" ht="15.75" customHeight="1">
      <c r="L308" s="240"/>
      <c r="W308" s="240"/>
    </row>
    <row r="309" spans="12:23" ht="15.75" customHeight="1">
      <c r="L309" s="240"/>
      <c r="W309" s="240"/>
    </row>
    <row r="310" spans="12:23" ht="15.75" customHeight="1">
      <c r="L310" s="240"/>
      <c r="W310" s="240"/>
    </row>
    <row r="311" spans="12:23" ht="15.75" customHeight="1">
      <c r="L311" s="240"/>
      <c r="W311" s="240"/>
    </row>
    <row r="312" spans="12:23" ht="15.75" customHeight="1">
      <c r="L312" s="240"/>
      <c r="W312" s="240"/>
    </row>
    <row r="313" spans="12:23" ht="15.75" customHeight="1">
      <c r="L313" s="240"/>
      <c r="W313" s="240"/>
    </row>
    <row r="314" spans="12:23" ht="15.75" customHeight="1">
      <c r="L314" s="240"/>
      <c r="W314" s="240"/>
    </row>
    <row r="315" spans="12:23" ht="15.75" customHeight="1">
      <c r="L315" s="240"/>
      <c r="W315" s="240"/>
    </row>
    <row r="316" spans="12:23" ht="15.75" customHeight="1">
      <c r="L316" s="240"/>
      <c r="W316" s="240"/>
    </row>
    <row r="317" spans="12:23" ht="15.75" customHeight="1">
      <c r="L317" s="240"/>
      <c r="W317" s="240"/>
    </row>
    <row r="318" spans="12:23" ht="15.75" customHeight="1">
      <c r="L318" s="240"/>
      <c r="W318" s="240"/>
    </row>
    <row r="319" spans="12:23" ht="15.75" customHeight="1">
      <c r="L319" s="240"/>
      <c r="W319" s="240"/>
    </row>
    <row r="320" spans="12:23" ht="15.75" customHeight="1">
      <c r="L320" s="240"/>
      <c r="W320" s="240"/>
    </row>
    <row r="321" spans="12:23" ht="15.75" customHeight="1">
      <c r="L321" s="240"/>
      <c r="W321" s="240"/>
    </row>
    <row r="322" spans="12:23" ht="15.75" customHeight="1">
      <c r="L322" s="240"/>
      <c r="W322" s="240"/>
    </row>
    <row r="323" spans="12:23" ht="15.75" customHeight="1">
      <c r="L323" s="240"/>
      <c r="W323" s="240"/>
    </row>
    <row r="324" spans="12:23" ht="15.75" customHeight="1">
      <c r="L324" s="240"/>
      <c r="W324" s="240"/>
    </row>
    <row r="325" spans="12:23" ht="15.75" customHeight="1">
      <c r="L325" s="240"/>
      <c r="W325" s="240"/>
    </row>
    <row r="326" spans="12:23" ht="15.75" customHeight="1">
      <c r="L326" s="240"/>
      <c r="W326" s="240"/>
    </row>
    <row r="327" spans="12:23" ht="15.75" customHeight="1">
      <c r="L327" s="240"/>
      <c r="W327" s="240"/>
    </row>
    <row r="328" spans="12:23" ht="15.75" customHeight="1">
      <c r="L328" s="240"/>
      <c r="W328" s="240"/>
    </row>
    <row r="329" spans="12:23" ht="15.75" customHeight="1">
      <c r="L329" s="240"/>
      <c r="W329" s="240"/>
    </row>
    <row r="330" spans="12:23" ht="15.75" customHeight="1">
      <c r="L330" s="240"/>
      <c r="W330" s="240"/>
    </row>
    <row r="331" spans="12:23" ht="15.75" customHeight="1">
      <c r="L331" s="240"/>
      <c r="W331" s="240"/>
    </row>
    <row r="332" spans="12:23" ht="15.75" customHeight="1">
      <c r="L332" s="240"/>
      <c r="W332" s="240"/>
    </row>
    <row r="333" spans="12:23" ht="15.75" customHeight="1">
      <c r="L333" s="240"/>
      <c r="W333" s="240"/>
    </row>
    <row r="334" spans="12:23" ht="15.75" customHeight="1">
      <c r="L334" s="240"/>
      <c r="W334" s="240"/>
    </row>
    <row r="335" spans="12:23" ht="15.75" customHeight="1">
      <c r="L335" s="240"/>
      <c r="W335" s="240"/>
    </row>
    <row r="336" spans="12:23" ht="15.75" customHeight="1">
      <c r="L336" s="240"/>
      <c r="W336" s="240"/>
    </row>
    <row r="337" spans="12:23" ht="15.75" customHeight="1">
      <c r="L337" s="240"/>
      <c r="W337" s="240"/>
    </row>
    <row r="338" spans="12:23" ht="15.75" customHeight="1">
      <c r="L338" s="240"/>
      <c r="W338" s="240"/>
    </row>
    <row r="339" spans="12:23" ht="15.75" customHeight="1">
      <c r="L339" s="240"/>
      <c r="W339" s="240"/>
    </row>
    <row r="340" spans="12:23" ht="15.75" customHeight="1">
      <c r="L340" s="240"/>
      <c r="W340" s="240"/>
    </row>
    <row r="341" spans="12:23" ht="15.75" customHeight="1">
      <c r="L341" s="240"/>
      <c r="W341" s="240"/>
    </row>
    <row r="342" spans="12:23" ht="15.75" customHeight="1">
      <c r="L342" s="240"/>
      <c r="W342" s="240"/>
    </row>
    <row r="343" spans="12:23" ht="15.75" customHeight="1">
      <c r="L343" s="240"/>
      <c r="W343" s="240"/>
    </row>
    <row r="344" spans="12:23" ht="15.75" customHeight="1">
      <c r="L344" s="240"/>
      <c r="W344" s="240"/>
    </row>
    <row r="345" spans="12:23" ht="15.75" customHeight="1">
      <c r="L345" s="240"/>
      <c r="W345" s="240"/>
    </row>
    <row r="346" spans="12:23" ht="15.75" customHeight="1">
      <c r="L346" s="240"/>
      <c r="W346" s="240"/>
    </row>
    <row r="347" spans="12:23" ht="15.75" customHeight="1">
      <c r="L347" s="240"/>
      <c r="W347" s="240"/>
    </row>
    <row r="348" spans="12:23" ht="15.75" customHeight="1">
      <c r="L348" s="240"/>
      <c r="W348" s="240"/>
    </row>
    <row r="349" spans="12:23" ht="15.75" customHeight="1">
      <c r="L349" s="240"/>
      <c r="W349" s="240"/>
    </row>
    <row r="350" spans="12:23" ht="15.75" customHeight="1">
      <c r="L350" s="240"/>
      <c r="W350" s="240"/>
    </row>
    <row r="351" spans="12:23" ht="15.75" customHeight="1">
      <c r="L351" s="240"/>
      <c r="W351" s="240"/>
    </row>
    <row r="352" spans="12:23" ht="15.75" customHeight="1">
      <c r="L352" s="240"/>
      <c r="W352" s="240"/>
    </row>
    <row r="353" spans="12:23" ht="15.75" customHeight="1">
      <c r="L353" s="240"/>
      <c r="W353" s="240"/>
    </row>
    <row r="354" spans="12:23" ht="15.75" customHeight="1">
      <c r="L354" s="240"/>
      <c r="W354" s="240"/>
    </row>
    <row r="355" spans="12:23" ht="15.75" customHeight="1">
      <c r="L355" s="240"/>
      <c r="W355" s="240"/>
    </row>
    <row r="356" spans="12:23" ht="15.75" customHeight="1">
      <c r="L356" s="240"/>
      <c r="W356" s="240"/>
    </row>
    <row r="357" spans="12:23" ht="15.75" customHeight="1">
      <c r="L357" s="240"/>
      <c r="W357" s="240"/>
    </row>
    <row r="358" spans="12:23" ht="15.75" customHeight="1">
      <c r="L358" s="240"/>
      <c r="W358" s="240"/>
    </row>
    <row r="359" spans="12:23" ht="15.75" customHeight="1">
      <c r="L359" s="240"/>
      <c r="W359" s="240"/>
    </row>
    <row r="360" spans="12:23" ht="15.75" customHeight="1">
      <c r="L360" s="240"/>
      <c r="W360" s="240"/>
    </row>
    <row r="361" spans="12:23" ht="15.75" customHeight="1">
      <c r="L361" s="240"/>
      <c r="W361" s="240"/>
    </row>
    <row r="362" spans="12:23" ht="15.75" customHeight="1">
      <c r="L362" s="240"/>
      <c r="W362" s="240"/>
    </row>
    <row r="363" spans="12:23" ht="15.75" customHeight="1">
      <c r="L363" s="240"/>
      <c r="W363" s="240"/>
    </row>
    <row r="364" spans="12:23" ht="15.75" customHeight="1">
      <c r="L364" s="240"/>
      <c r="W364" s="240"/>
    </row>
    <row r="365" spans="12:23" ht="15.75" customHeight="1">
      <c r="L365" s="240"/>
      <c r="W365" s="240"/>
    </row>
    <row r="366" spans="12:23" ht="15.75" customHeight="1">
      <c r="L366" s="240"/>
      <c r="W366" s="240"/>
    </row>
    <row r="367" spans="12:23" ht="15.75" customHeight="1">
      <c r="L367" s="240"/>
      <c r="W367" s="240"/>
    </row>
    <row r="368" spans="12:23" ht="15.75" customHeight="1">
      <c r="L368" s="240"/>
      <c r="W368" s="240"/>
    </row>
    <row r="369" spans="12:23" ht="15.75" customHeight="1">
      <c r="L369" s="240"/>
      <c r="W369" s="240"/>
    </row>
    <row r="370" spans="12:23" ht="15.75" customHeight="1">
      <c r="L370" s="240"/>
      <c r="W370" s="240"/>
    </row>
    <row r="371" spans="12:23" ht="15.75" customHeight="1">
      <c r="L371" s="240"/>
      <c r="W371" s="240"/>
    </row>
    <row r="372" spans="12:23" ht="15.75" customHeight="1">
      <c r="L372" s="240"/>
      <c r="W372" s="240"/>
    </row>
    <row r="373" spans="12:23" ht="15.75" customHeight="1">
      <c r="L373" s="240"/>
      <c r="W373" s="240"/>
    </row>
    <row r="374" spans="12:23" ht="15.75" customHeight="1">
      <c r="L374" s="240"/>
      <c r="W374" s="240"/>
    </row>
    <row r="375" spans="12:23" ht="15.75" customHeight="1">
      <c r="L375" s="240"/>
      <c r="W375" s="240"/>
    </row>
    <row r="376" spans="12:23" ht="15.75" customHeight="1">
      <c r="L376" s="240"/>
      <c r="W376" s="240"/>
    </row>
    <row r="377" spans="12:23" ht="15.75" customHeight="1">
      <c r="L377" s="240"/>
      <c r="W377" s="240"/>
    </row>
    <row r="378" spans="12:23" ht="15.75" customHeight="1">
      <c r="L378" s="240"/>
      <c r="W378" s="240"/>
    </row>
    <row r="379" spans="12:23" ht="15.75" customHeight="1">
      <c r="L379" s="240"/>
      <c r="W379" s="240"/>
    </row>
    <row r="380" spans="12:23" ht="15.75" customHeight="1">
      <c r="L380" s="240"/>
      <c r="W380" s="240"/>
    </row>
    <row r="381" spans="12:23" ht="15.75" customHeight="1">
      <c r="L381" s="240"/>
      <c r="W381" s="240"/>
    </row>
    <row r="382" spans="12:23" ht="15.75" customHeight="1">
      <c r="L382" s="240"/>
      <c r="W382" s="240"/>
    </row>
    <row r="383" spans="12:23" ht="15.75" customHeight="1">
      <c r="L383" s="240"/>
      <c r="W383" s="240"/>
    </row>
    <row r="384" spans="12:23" ht="15.75" customHeight="1">
      <c r="L384" s="240"/>
      <c r="W384" s="240"/>
    </row>
    <row r="385" spans="12:23" ht="15.75" customHeight="1">
      <c r="L385" s="240"/>
      <c r="W385" s="240"/>
    </row>
    <row r="386" spans="12:23" ht="15.75" customHeight="1">
      <c r="L386" s="240"/>
      <c r="W386" s="240"/>
    </row>
    <row r="387" spans="12:23" ht="15.75" customHeight="1">
      <c r="L387" s="240"/>
      <c r="W387" s="240"/>
    </row>
    <row r="388" spans="12:23" ht="15.75" customHeight="1">
      <c r="L388" s="240"/>
      <c r="W388" s="240"/>
    </row>
    <row r="389" spans="12:23" ht="15.75" customHeight="1">
      <c r="L389" s="240"/>
      <c r="W389" s="240"/>
    </row>
    <row r="390" spans="12:23" ht="15.75" customHeight="1">
      <c r="L390" s="240"/>
      <c r="W390" s="240"/>
    </row>
    <row r="391" spans="12:23" ht="15.75" customHeight="1">
      <c r="L391" s="240"/>
      <c r="W391" s="240"/>
    </row>
    <row r="392" spans="12:23" ht="15.75" customHeight="1">
      <c r="L392" s="240"/>
      <c r="W392" s="240"/>
    </row>
    <row r="393" spans="12:23" ht="15.75" customHeight="1">
      <c r="L393" s="240"/>
      <c r="W393" s="240"/>
    </row>
    <row r="394" spans="12:23" ht="15.75" customHeight="1">
      <c r="L394" s="240"/>
      <c r="W394" s="240"/>
    </row>
    <row r="395" spans="12:23" ht="15.75" customHeight="1">
      <c r="L395" s="240"/>
      <c r="W395" s="240"/>
    </row>
    <row r="396" spans="12:23" ht="15.75" customHeight="1">
      <c r="L396" s="240"/>
      <c r="W396" s="240"/>
    </row>
    <row r="397" spans="12:23" ht="15.75" customHeight="1">
      <c r="L397" s="240"/>
      <c r="W397" s="240"/>
    </row>
    <row r="398" spans="12:23" ht="15.75" customHeight="1">
      <c r="L398" s="240"/>
      <c r="W398" s="240"/>
    </row>
    <row r="399" spans="12:23" ht="15.75" customHeight="1">
      <c r="L399" s="240"/>
      <c r="W399" s="240"/>
    </row>
    <row r="400" spans="12:23" ht="15.75" customHeight="1">
      <c r="L400" s="240"/>
      <c r="W400" s="240"/>
    </row>
    <row r="401" spans="12:23" ht="15.75" customHeight="1">
      <c r="L401" s="240"/>
      <c r="W401" s="240"/>
    </row>
    <row r="402" spans="12:23" ht="15.75" customHeight="1">
      <c r="L402" s="240"/>
      <c r="W402" s="240"/>
    </row>
    <row r="403" spans="12:23" ht="15.75" customHeight="1">
      <c r="L403" s="240"/>
      <c r="W403" s="240"/>
    </row>
    <row r="404" spans="12:23" ht="15.75" customHeight="1">
      <c r="L404" s="240"/>
      <c r="W404" s="240"/>
    </row>
    <row r="405" spans="12:23" ht="15.75" customHeight="1">
      <c r="L405" s="240"/>
      <c r="W405" s="240"/>
    </row>
    <row r="406" spans="12:23" ht="15.75" customHeight="1">
      <c r="L406" s="240"/>
      <c r="W406" s="240"/>
    </row>
    <row r="407" spans="12:23" ht="15.75" customHeight="1">
      <c r="L407" s="240"/>
      <c r="W407" s="240"/>
    </row>
    <row r="408" spans="12:23" ht="15.75" customHeight="1">
      <c r="L408" s="240"/>
      <c r="W408" s="240"/>
    </row>
    <row r="409" spans="12:23" ht="15.75" customHeight="1">
      <c r="L409" s="240"/>
      <c r="W409" s="240"/>
    </row>
    <row r="410" spans="12:23" ht="15.75" customHeight="1">
      <c r="L410" s="240"/>
      <c r="W410" s="240"/>
    </row>
    <row r="411" spans="12:23" ht="15.75" customHeight="1">
      <c r="L411" s="240"/>
      <c r="W411" s="240"/>
    </row>
    <row r="412" spans="12:23" ht="15.75" customHeight="1">
      <c r="L412" s="240"/>
      <c r="W412" s="240"/>
    </row>
    <row r="413" spans="12:23" ht="15.75" customHeight="1">
      <c r="L413" s="240"/>
      <c r="W413" s="240"/>
    </row>
    <row r="414" spans="12:23" ht="15.75" customHeight="1">
      <c r="L414" s="240"/>
      <c r="W414" s="240"/>
    </row>
    <row r="415" spans="12:23" ht="15.75" customHeight="1">
      <c r="L415" s="240"/>
      <c r="W415" s="240"/>
    </row>
    <row r="416" spans="12:23" ht="15.75" customHeight="1">
      <c r="L416" s="240"/>
      <c r="W416" s="240"/>
    </row>
    <row r="417" spans="12:23" ht="15.75" customHeight="1">
      <c r="L417" s="240"/>
      <c r="W417" s="240"/>
    </row>
    <row r="418" spans="12:23" ht="15.75" customHeight="1">
      <c r="L418" s="240"/>
      <c r="W418" s="240"/>
    </row>
    <row r="419" spans="12:23" ht="15.75" customHeight="1">
      <c r="L419" s="240"/>
      <c r="W419" s="240"/>
    </row>
    <row r="420" spans="12:23" ht="15.75" customHeight="1">
      <c r="L420" s="240"/>
      <c r="W420" s="240"/>
    </row>
    <row r="421" spans="12:23" ht="15.75" customHeight="1">
      <c r="L421" s="240"/>
      <c r="W421" s="240"/>
    </row>
    <row r="422" spans="12:23" ht="15.75" customHeight="1">
      <c r="L422" s="240"/>
      <c r="W422" s="240"/>
    </row>
    <row r="423" spans="12:23" ht="15.75" customHeight="1">
      <c r="L423" s="240"/>
      <c r="W423" s="240"/>
    </row>
    <row r="424" spans="12:23" ht="15.75" customHeight="1">
      <c r="L424" s="240"/>
      <c r="W424" s="240"/>
    </row>
    <row r="425" spans="12:23" ht="15.75" customHeight="1">
      <c r="L425" s="240"/>
      <c r="W425" s="240"/>
    </row>
    <row r="426" spans="12:23" ht="15.75" customHeight="1">
      <c r="L426" s="240"/>
      <c r="W426" s="240"/>
    </row>
    <row r="427" spans="12:23" ht="15.75" customHeight="1">
      <c r="L427" s="240"/>
      <c r="W427" s="240"/>
    </row>
    <row r="428" spans="12:23" ht="15.75" customHeight="1">
      <c r="L428" s="240"/>
      <c r="W428" s="240"/>
    </row>
    <row r="429" spans="12:23" ht="15.75" customHeight="1">
      <c r="L429" s="240"/>
      <c r="W429" s="240"/>
    </row>
    <row r="430" spans="12:23" ht="15.75" customHeight="1">
      <c r="L430" s="240"/>
      <c r="W430" s="240"/>
    </row>
    <row r="431" spans="12:23" ht="15.75" customHeight="1">
      <c r="L431" s="240"/>
      <c r="W431" s="240"/>
    </row>
    <row r="432" spans="12:23" ht="15.75" customHeight="1">
      <c r="L432" s="240"/>
      <c r="W432" s="240"/>
    </row>
    <row r="433" spans="12:23" ht="15.75" customHeight="1">
      <c r="L433" s="240"/>
      <c r="W433" s="240"/>
    </row>
    <row r="434" spans="12:23" ht="15.75" customHeight="1">
      <c r="L434" s="240"/>
      <c r="W434" s="240"/>
    </row>
    <row r="435" spans="12:23" ht="15.75" customHeight="1">
      <c r="L435" s="240"/>
      <c r="W435" s="240"/>
    </row>
    <row r="436" spans="12:23" ht="15.75" customHeight="1">
      <c r="L436" s="240"/>
      <c r="W436" s="240"/>
    </row>
    <row r="437" spans="12:23" ht="15.75" customHeight="1">
      <c r="L437" s="240"/>
      <c r="W437" s="240"/>
    </row>
    <row r="438" spans="12:23" ht="15.75" customHeight="1">
      <c r="L438" s="240"/>
      <c r="W438" s="240"/>
    </row>
    <row r="439" spans="12:23" ht="15.75" customHeight="1">
      <c r="L439" s="240"/>
      <c r="W439" s="240"/>
    </row>
    <row r="440" spans="12:23" ht="15.75" customHeight="1">
      <c r="L440" s="240"/>
      <c r="W440" s="240"/>
    </row>
    <row r="441" spans="12:23" ht="15.75" customHeight="1">
      <c r="L441" s="240"/>
      <c r="W441" s="240"/>
    </row>
    <row r="442" spans="12:23" ht="15.75" customHeight="1">
      <c r="L442" s="240"/>
      <c r="W442" s="240"/>
    </row>
    <row r="443" spans="12:23" ht="15.75" customHeight="1">
      <c r="L443" s="240"/>
      <c r="W443" s="240"/>
    </row>
    <row r="444" spans="12:23" ht="15.75" customHeight="1">
      <c r="L444" s="240"/>
      <c r="W444" s="240"/>
    </row>
    <row r="445" spans="12:23" ht="15.75" customHeight="1">
      <c r="L445" s="240"/>
      <c r="W445" s="240"/>
    </row>
    <row r="446" spans="12:23" ht="15.75" customHeight="1">
      <c r="L446" s="240"/>
      <c r="W446" s="240"/>
    </row>
    <row r="447" spans="12:23" ht="15.75" customHeight="1">
      <c r="L447" s="240"/>
      <c r="W447" s="240"/>
    </row>
    <row r="448" spans="12:23" ht="15.75" customHeight="1">
      <c r="L448" s="240"/>
      <c r="W448" s="240"/>
    </row>
    <row r="449" spans="12:23" ht="15.75" customHeight="1">
      <c r="L449" s="240"/>
      <c r="W449" s="240"/>
    </row>
    <row r="450" spans="12:23" ht="15.75" customHeight="1">
      <c r="L450" s="240"/>
      <c r="W450" s="240"/>
    </row>
    <row r="451" spans="12:23" ht="15.75" customHeight="1">
      <c r="L451" s="240"/>
      <c r="W451" s="240"/>
    </row>
    <row r="452" spans="12:23" ht="15.75" customHeight="1">
      <c r="L452" s="240"/>
      <c r="W452" s="240"/>
    </row>
    <row r="453" spans="12:23" ht="15.75" customHeight="1">
      <c r="L453" s="240"/>
      <c r="W453" s="240"/>
    </row>
    <row r="454" spans="12:23" ht="15.75" customHeight="1">
      <c r="L454" s="240"/>
      <c r="W454" s="240"/>
    </row>
    <row r="455" spans="12:23" ht="15.75" customHeight="1">
      <c r="L455" s="240"/>
      <c r="W455" s="240"/>
    </row>
    <row r="456" spans="12:23" ht="15.75" customHeight="1">
      <c r="L456" s="240"/>
      <c r="W456" s="240"/>
    </row>
    <row r="457" spans="12:23" ht="15.75" customHeight="1">
      <c r="L457" s="240"/>
      <c r="W457" s="240"/>
    </row>
    <row r="458" spans="12:23" ht="15.75" customHeight="1">
      <c r="L458" s="240"/>
      <c r="W458" s="240"/>
    </row>
    <row r="459" spans="12:23" ht="15.75" customHeight="1">
      <c r="L459" s="240"/>
      <c r="W459" s="240"/>
    </row>
    <row r="460" spans="12:23" ht="15.75" customHeight="1">
      <c r="L460" s="240"/>
      <c r="W460" s="240"/>
    </row>
    <row r="461" spans="12:23" ht="15.75" customHeight="1">
      <c r="L461" s="240"/>
      <c r="W461" s="240"/>
    </row>
    <row r="462" spans="12:23" ht="15.75" customHeight="1">
      <c r="L462" s="240"/>
      <c r="W462" s="240"/>
    </row>
    <row r="463" spans="12:23" ht="15.75" customHeight="1">
      <c r="L463" s="240"/>
      <c r="W463" s="240"/>
    </row>
    <row r="464" spans="12:23" ht="15.75" customHeight="1">
      <c r="L464" s="240"/>
      <c r="W464" s="240"/>
    </row>
    <row r="465" spans="12:23" ht="15.75" customHeight="1">
      <c r="L465" s="240"/>
      <c r="W465" s="240"/>
    </row>
    <row r="466" spans="12:23" ht="15.75" customHeight="1">
      <c r="L466" s="240"/>
      <c r="W466" s="240"/>
    </row>
    <row r="467" spans="12:23" ht="15.75" customHeight="1">
      <c r="L467" s="240"/>
      <c r="W467" s="240"/>
    </row>
    <row r="468" spans="12:23" ht="15.75" customHeight="1">
      <c r="L468" s="240"/>
      <c r="W468" s="240"/>
    </row>
    <row r="469" spans="12:23" ht="15.75" customHeight="1">
      <c r="L469" s="240"/>
      <c r="W469" s="240"/>
    </row>
    <row r="470" spans="12:23" ht="15.75" customHeight="1">
      <c r="L470" s="240"/>
      <c r="W470" s="240"/>
    </row>
    <row r="471" spans="12:23" ht="15.75" customHeight="1">
      <c r="L471" s="240"/>
      <c r="W471" s="240"/>
    </row>
    <row r="472" spans="12:23" ht="15.75" customHeight="1">
      <c r="L472" s="240"/>
      <c r="W472" s="240"/>
    </row>
    <row r="473" spans="12:23" ht="15.75" customHeight="1">
      <c r="L473" s="240"/>
      <c r="W473" s="240"/>
    </row>
    <row r="474" spans="12:23" ht="15.75" customHeight="1">
      <c r="L474" s="240"/>
      <c r="W474" s="240"/>
    </row>
    <row r="475" spans="12:23" ht="15.75" customHeight="1">
      <c r="L475" s="240"/>
      <c r="W475" s="240"/>
    </row>
    <row r="476" spans="12:23" ht="15.75" customHeight="1">
      <c r="L476" s="240"/>
      <c r="W476" s="240"/>
    </row>
    <row r="477" spans="12:23" ht="15.75" customHeight="1">
      <c r="L477" s="240"/>
      <c r="W477" s="240"/>
    </row>
    <row r="478" spans="12:23" ht="15.75" customHeight="1">
      <c r="L478" s="240"/>
      <c r="W478" s="240"/>
    </row>
    <row r="479" spans="12:23" ht="15.75" customHeight="1">
      <c r="L479" s="240"/>
      <c r="W479" s="240"/>
    </row>
    <row r="480" spans="12:23" ht="15.75" customHeight="1">
      <c r="L480" s="240"/>
      <c r="W480" s="240"/>
    </row>
    <row r="481" spans="12:23" ht="15.75" customHeight="1">
      <c r="L481" s="240"/>
      <c r="W481" s="240"/>
    </row>
    <row r="482" spans="12:23" ht="15.75" customHeight="1">
      <c r="L482" s="240"/>
      <c r="W482" s="240"/>
    </row>
    <row r="483" spans="12:23" ht="15.75" customHeight="1">
      <c r="L483" s="240"/>
      <c r="W483" s="240"/>
    </row>
    <row r="484" spans="12:23" ht="15.75" customHeight="1">
      <c r="L484" s="240"/>
      <c r="W484" s="240"/>
    </row>
    <row r="485" spans="12:23" ht="15.75" customHeight="1">
      <c r="L485" s="240"/>
      <c r="W485" s="240"/>
    </row>
    <row r="486" spans="12:23" ht="15.75" customHeight="1">
      <c r="L486" s="240"/>
      <c r="W486" s="240"/>
    </row>
    <row r="487" spans="12:23" ht="15.75" customHeight="1">
      <c r="L487" s="240"/>
      <c r="W487" s="240"/>
    </row>
    <row r="488" spans="12:23" ht="15.75" customHeight="1">
      <c r="L488" s="240"/>
      <c r="W488" s="240"/>
    </row>
    <row r="489" spans="12:23" ht="15.75" customHeight="1">
      <c r="L489" s="240"/>
      <c r="W489" s="240"/>
    </row>
    <row r="490" spans="12:23" ht="15.75" customHeight="1">
      <c r="L490" s="240"/>
      <c r="W490" s="240"/>
    </row>
    <row r="491" spans="12:23" ht="15.75" customHeight="1">
      <c r="L491" s="240"/>
      <c r="W491" s="240"/>
    </row>
    <row r="492" spans="12:23" ht="15.75" customHeight="1">
      <c r="L492" s="240"/>
      <c r="W492" s="240"/>
    </row>
    <row r="493" spans="12:23" ht="15.75" customHeight="1">
      <c r="L493" s="240"/>
      <c r="W493" s="240"/>
    </row>
    <row r="494" spans="12:23" ht="15.75" customHeight="1">
      <c r="L494" s="240"/>
      <c r="W494" s="240"/>
    </row>
    <row r="495" spans="12:23" ht="15.75" customHeight="1">
      <c r="L495" s="240"/>
      <c r="W495" s="240"/>
    </row>
    <row r="496" spans="12:23" ht="15.75" customHeight="1">
      <c r="L496" s="240"/>
      <c r="W496" s="240"/>
    </row>
    <row r="497" spans="12:23" ht="15.75" customHeight="1">
      <c r="L497" s="240"/>
      <c r="W497" s="240"/>
    </row>
    <row r="498" spans="12:23" ht="15.75" customHeight="1">
      <c r="L498" s="240"/>
      <c r="W498" s="240"/>
    </row>
    <row r="499" spans="12:23" ht="15.75" customHeight="1">
      <c r="L499" s="240"/>
      <c r="W499" s="240"/>
    </row>
    <row r="500" spans="12:23" ht="15.75" customHeight="1">
      <c r="L500" s="240"/>
      <c r="W500" s="240"/>
    </row>
    <row r="501" spans="12:23" ht="15.75" customHeight="1">
      <c r="L501" s="240"/>
      <c r="W501" s="240"/>
    </row>
    <row r="502" spans="12:23" ht="15.75" customHeight="1">
      <c r="L502" s="240"/>
      <c r="W502" s="240"/>
    </row>
    <row r="503" spans="12:23" ht="15.75" customHeight="1">
      <c r="L503" s="240"/>
      <c r="W503" s="240"/>
    </row>
    <row r="504" spans="12:23" ht="15.75" customHeight="1">
      <c r="L504" s="240"/>
      <c r="W504" s="240"/>
    </row>
    <row r="505" spans="12:23" ht="15.75" customHeight="1">
      <c r="L505" s="240"/>
      <c r="W505" s="240"/>
    </row>
    <row r="506" spans="12:23" ht="15.75" customHeight="1">
      <c r="L506" s="240"/>
      <c r="W506" s="240"/>
    </row>
    <row r="507" spans="12:23" ht="15.75" customHeight="1">
      <c r="L507" s="240"/>
      <c r="W507" s="240"/>
    </row>
    <row r="508" spans="12:23" ht="15.75" customHeight="1">
      <c r="L508" s="240"/>
      <c r="W508" s="240"/>
    </row>
    <row r="509" spans="12:23" ht="15.75" customHeight="1">
      <c r="L509" s="240"/>
      <c r="W509" s="240"/>
    </row>
    <row r="510" spans="12:23" ht="15.75" customHeight="1">
      <c r="L510" s="240"/>
      <c r="W510" s="240"/>
    </row>
    <row r="511" spans="12:23" ht="15.75" customHeight="1">
      <c r="L511" s="240"/>
      <c r="W511" s="240"/>
    </row>
    <row r="512" spans="12:23" ht="15.75" customHeight="1">
      <c r="L512" s="240"/>
      <c r="W512" s="240"/>
    </row>
    <row r="513" spans="12:23" ht="15.75" customHeight="1">
      <c r="L513" s="240"/>
      <c r="W513" s="240"/>
    </row>
    <row r="514" spans="12:23" ht="15.75" customHeight="1">
      <c r="L514" s="240"/>
      <c r="W514" s="240"/>
    </row>
    <row r="515" spans="12:23" ht="15.75" customHeight="1">
      <c r="L515" s="240"/>
      <c r="W515" s="240"/>
    </row>
    <row r="516" spans="12:23" ht="15.75" customHeight="1">
      <c r="L516" s="240"/>
      <c r="W516" s="240"/>
    </row>
    <row r="517" spans="12:23" ht="15.75" customHeight="1">
      <c r="L517" s="240"/>
      <c r="W517" s="240"/>
    </row>
    <row r="518" spans="12:23" ht="15.75" customHeight="1">
      <c r="L518" s="240"/>
      <c r="W518" s="240"/>
    </row>
    <row r="519" spans="12:23" ht="15.75" customHeight="1">
      <c r="L519" s="240"/>
      <c r="W519" s="240"/>
    </row>
    <row r="520" spans="12:23" ht="15.75" customHeight="1">
      <c r="L520" s="240"/>
      <c r="W520" s="240"/>
    </row>
    <row r="521" spans="12:23" ht="15.75" customHeight="1">
      <c r="L521" s="240"/>
      <c r="W521" s="240"/>
    </row>
    <row r="522" spans="12:23" ht="15.75" customHeight="1">
      <c r="L522" s="240"/>
      <c r="W522" s="240"/>
    </row>
    <row r="523" spans="12:23" ht="15.75" customHeight="1">
      <c r="L523" s="240"/>
      <c r="W523" s="240"/>
    </row>
    <row r="524" spans="12:23" ht="15.75" customHeight="1">
      <c r="L524" s="240"/>
      <c r="W524" s="240"/>
    </row>
    <row r="525" spans="12:23" ht="15.75" customHeight="1">
      <c r="L525" s="240"/>
      <c r="W525" s="240"/>
    </row>
    <row r="526" spans="12:23" ht="15.75" customHeight="1">
      <c r="L526" s="240"/>
      <c r="W526" s="240"/>
    </row>
    <row r="527" spans="12:23" ht="15.75" customHeight="1">
      <c r="L527" s="240"/>
      <c r="W527" s="240"/>
    </row>
    <row r="528" spans="12:23" ht="15.75" customHeight="1">
      <c r="L528" s="240"/>
      <c r="W528" s="240"/>
    </row>
    <row r="529" spans="12:23" ht="15.75" customHeight="1">
      <c r="L529" s="240"/>
      <c r="W529" s="240"/>
    </row>
    <row r="530" spans="12:23" ht="15.75" customHeight="1">
      <c r="L530" s="240"/>
      <c r="W530" s="240"/>
    </row>
    <row r="531" spans="12:23" ht="15.75" customHeight="1">
      <c r="L531" s="240"/>
      <c r="W531" s="240"/>
    </row>
    <row r="532" spans="12:23" ht="15.75" customHeight="1">
      <c r="L532" s="240"/>
      <c r="W532" s="240"/>
    </row>
    <row r="533" spans="12:23" ht="15.75" customHeight="1">
      <c r="L533" s="240"/>
      <c r="W533" s="240"/>
    </row>
    <row r="534" spans="12:23" ht="15.75" customHeight="1">
      <c r="L534" s="240"/>
      <c r="W534" s="240"/>
    </row>
    <row r="535" spans="12:23" ht="15.75" customHeight="1">
      <c r="L535" s="240"/>
      <c r="W535" s="240"/>
    </row>
    <row r="536" spans="12:23" ht="15.75" customHeight="1">
      <c r="L536" s="240"/>
      <c r="W536" s="240"/>
    </row>
    <row r="537" spans="12:23" ht="15.75" customHeight="1">
      <c r="L537" s="240"/>
      <c r="W537" s="240"/>
    </row>
    <row r="538" spans="12:23" ht="15.75" customHeight="1">
      <c r="L538" s="240"/>
      <c r="W538" s="240"/>
    </row>
    <row r="539" spans="12:23" ht="15.75" customHeight="1">
      <c r="L539" s="240"/>
      <c r="W539" s="240"/>
    </row>
    <row r="540" spans="12:23" ht="15.75" customHeight="1">
      <c r="L540" s="240"/>
      <c r="W540" s="240"/>
    </row>
    <row r="541" spans="12:23" ht="15.75" customHeight="1">
      <c r="L541" s="240"/>
      <c r="W541" s="240"/>
    </row>
    <row r="542" spans="12:23" ht="15.75" customHeight="1">
      <c r="L542" s="240"/>
      <c r="W542" s="240"/>
    </row>
    <row r="543" spans="12:23" ht="15.75" customHeight="1">
      <c r="L543" s="240"/>
      <c r="W543" s="240"/>
    </row>
    <row r="544" spans="12:23" ht="15.75" customHeight="1">
      <c r="L544" s="240"/>
      <c r="W544" s="240"/>
    </row>
    <row r="545" spans="12:23" ht="15.75" customHeight="1">
      <c r="L545" s="240"/>
      <c r="W545" s="240"/>
    </row>
    <row r="546" spans="12:23" ht="15.75" customHeight="1">
      <c r="L546" s="240"/>
      <c r="W546" s="240"/>
    </row>
    <row r="547" spans="12:23" ht="15.75" customHeight="1">
      <c r="L547" s="240"/>
      <c r="W547" s="240"/>
    </row>
    <row r="548" spans="12:23" ht="15.75" customHeight="1">
      <c r="L548" s="240"/>
      <c r="W548" s="240"/>
    </row>
    <row r="549" spans="12:23" ht="15.75" customHeight="1">
      <c r="L549" s="240"/>
      <c r="W549" s="240"/>
    </row>
    <row r="550" spans="12:23" ht="15.75" customHeight="1">
      <c r="L550" s="240"/>
      <c r="W550" s="240"/>
    </row>
    <row r="551" spans="12:23" ht="15.75" customHeight="1">
      <c r="L551" s="240"/>
      <c r="W551" s="240"/>
    </row>
    <row r="552" spans="12:23" ht="15.75" customHeight="1">
      <c r="L552" s="240"/>
      <c r="W552" s="240"/>
    </row>
    <row r="553" spans="12:23" ht="15.75" customHeight="1">
      <c r="L553" s="240"/>
      <c r="W553" s="240"/>
    </row>
    <row r="554" spans="12:23" ht="15.75" customHeight="1">
      <c r="L554" s="240"/>
      <c r="W554" s="240"/>
    </row>
    <row r="555" spans="12:23" ht="15.75" customHeight="1">
      <c r="L555" s="240"/>
      <c r="W555" s="240"/>
    </row>
    <row r="556" spans="12:23" ht="15.75" customHeight="1">
      <c r="L556" s="240"/>
      <c r="W556" s="240"/>
    </row>
    <row r="557" spans="12:23" ht="15.75" customHeight="1">
      <c r="L557" s="240"/>
      <c r="W557" s="240"/>
    </row>
    <row r="558" spans="12:23" ht="15.75" customHeight="1">
      <c r="L558" s="240"/>
      <c r="W558" s="240"/>
    </row>
    <row r="559" spans="12:23" ht="15.75" customHeight="1">
      <c r="L559" s="240"/>
      <c r="W559" s="240"/>
    </row>
    <row r="560" spans="12:23" ht="15.75" customHeight="1">
      <c r="L560" s="240"/>
      <c r="W560" s="240"/>
    </row>
    <row r="561" spans="12:23" ht="15.75" customHeight="1">
      <c r="L561" s="240"/>
      <c r="W561" s="240"/>
    </row>
    <row r="562" spans="12:23" ht="15.75" customHeight="1">
      <c r="L562" s="240"/>
      <c r="W562" s="240"/>
    </row>
    <row r="563" spans="12:23" ht="15.75" customHeight="1">
      <c r="L563" s="240"/>
      <c r="W563" s="240"/>
    </row>
    <row r="564" spans="12:23" ht="15.75" customHeight="1">
      <c r="L564" s="240"/>
      <c r="W564" s="240"/>
    </row>
    <row r="565" spans="12:23" ht="15.75" customHeight="1">
      <c r="L565" s="240"/>
      <c r="W565" s="240"/>
    </row>
    <row r="566" spans="12:23" ht="15.75" customHeight="1">
      <c r="L566" s="240"/>
      <c r="W566" s="240"/>
    </row>
    <row r="567" spans="12:23" ht="15.75" customHeight="1">
      <c r="L567" s="240"/>
      <c r="W567" s="240"/>
    </row>
    <row r="568" spans="12:23" ht="15.75" customHeight="1">
      <c r="L568" s="240"/>
      <c r="W568" s="240"/>
    </row>
    <row r="569" spans="12:23" ht="15.75" customHeight="1">
      <c r="L569" s="240"/>
      <c r="W569" s="240"/>
    </row>
    <row r="570" spans="12:23" ht="15.75" customHeight="1">
      <c r="L570" s="240"/>
      <c r="W570" s="240"/>
    </row>
    <row r="571" spans="12:23" ht="15.75" customHeight="1">
      <c r="L571" s="240"/>
      <c r="W571" s="240"/>
    </row>
    <row r="572" spans="12:23" ht="15.75" customHeight="1">
      <c r="L572" s="240"/>
      <c r="W572" s="240"/>
    </row>
    <row r="573" spans="12:23" ht="15.75" customHeight="1">
      <c r="L573" s="240"/>
      <c r="W573" s="240"/>
    </row>
    <row r="574" spans="12:23" ht="15.75" customHeight="1">
      <c r="L574" s="240"/>
      <c r="W574" s="240"/>
    </row>
    <row r="575" spans="12:23" ht="15.75" customHeight="1">
      <c r="L575" s="240"/>
      <c r="W575" s="240"/>
    </row>
    <row r="576" spans="12:23" ht="15.75" customHeight="1">
      <c r="L576" s="240"/>
      <c r="W576" s="240"/>
    </row>
    <row r="577" spans="12:23" ht="15.75" customHeight="1">
      <c r="L577" s="240"/>
      <c r="W577" s="240"/>
    </row>
    <row r="578" spans="12:23" ht="15.75" customHeight="1">
      <c r="L578" s="240"/>
      <c r="W578" s="240"/>
    </row>
    <row r="579" spans="12:23" ht="15.75" customHeight="1">
      <c r="L579" s="240"/>
      <c r="W579" s="240"/>
    </row>
    <row r="580" spans="12:23" ht="15.75" customHeight="1">
      <c r="L580" s="240"/>
      <c r="W580" s="240"/>
    </row>
    <row r="581" spans="12:23" ht="15.75" customHeight="1">
      <c r="L581" s="240"/>
      <c r="W581" s="240"/>
    </row>
    <row r="582" spans="12:23" ht="15.75" customHeight="1">
      <c r="L582" s="240"/>
      <c r="W582" s="240"/>
    </row>
    <row r="583" spans="12:23" ht="15.75" customHeight="1">
      <c r="L583" s="240"/>
      <c r="W583" s="240"/>
    </row>
    <row r="584" spans="12:23" ht="15.75" customHeight="1">
      <c r="L584" s="240"/>
      <c r="W584" s="240"/>
    </row>
    <row r="585" spans="12:23" ht="15.75" customHeight="1">
      <c r="L585" s="240"/>
      <c r="W585" s="240"/>
    </row>
    <row r="586" spans="12:23" ht="15.75" customHeight="1">
      <c r="L586" s="240"/>
      <c r="W586" s="240"/>
    </row>
    <row r="587" spans="12:23" ht="15.75" customHeight="1">
      <c r="L587" s="240"/>
      <c r="W587" s="240"/>
    </row>
    <row r="588" spans="12:23" ht="15.75" customHeight="1">
      <c r="L588" s="240"/>
      <c r="W588" s="240"/>
    </row>
    <row r="589" spans="12:23" ht="15.75" customHeight="1">
      <c r="L589" s="240"/>
      <c r="W589" s="240"/>
    </row>
    <row r="590" spans="12:23" ht="15.75" customHeight="1">
      <c r="L590" s="240"/>
      <c r="W590" s="240"/>
    </row>
    <row r="591" spans="12:23" ht="15.75" customHeight="1">
      <c r="L591" s="240"/>
      <c r="W591" s="240"/>
    </row>
    <row r="592" spans="12:23" ht="15.75" customHeight="1">
      <c r="L592" s="240"/>
      <c r="W592" s="240"/>
    </row>
    <row r="593" spans="12:23" ht="15.75" customHeight="1">
      <c r="L593" s="240"/>
      <c r="W593" s="240"/>
    </row>
    <row r="594" spans="12:23" ht="15.75" customHeight="1">
      <c r="L594" s="240"/>
      <c r="W594" s="240"/>
    </row>
    <row r="595" spans="12:23" ht="15.75" customHeight="1">
      <c r="L595" s="240"/>
      <c r="W595" s="240"/>
    </row>
    <row r="596" spans="12:23" ht="15.75" customHeight="1">
      <c r="L596" s="240"/>
      <c r="W596" s="240"/>
    </row>
    <row r="597" spans="12:23" ht="15.75" customHeight="1">
      <c r="L597" s="240"/>
      <c r="W597" s="240"/>
    </row>
    <row r="598" spans="12:23" ht="15.75" customHeight="1">
      <c r="L598" s="240"/>
      <c r="W598" s="240"/>
    </row>
    <row r="599" spans="12:23" ht="15.75" customHeight="1">
      <c r="L599" s="240"/>
      <c r="W599" s="240"/>
    </row>
    <row r="600" spans="12:23" ht="15.75" customHeight="1">
      <c r="L600" s="240"/>
      <c r="W600" s="240"/>
    </row>
    <row r="601" spans="12:23" ht="15.75" customHeight="1">
      <c r="L601" s="240"/>
      <c r="W601" s="240"/>
    </row>
    <row r="602" spans="12:23" ht="15.75" customHeight="1">
      <c r="L602" s="240"/>
      <c r="W602" s="240"/>
    </row>
    <row r="603" spans="12:23" ht="15.75" customHeight="1">
      <c r="L603" s="240"/>
      <c r="W603" s="240"/>
    </row>
    <row r="604" spans="12:23" ht="15.75" customHeight="1">
      <c r="L604" s="240"/>
      <c r="W604" s="240"/>
    </row>
    <row r="605" spans="12:23" ht="15.75" customHeight="1">
      <c r="L605" s="240"/>
      <c r="W605" s="240"/>
    </row>
    <row r="606" spans="12:23" ht="15.75" customHeight="1">
      <c r="L606" s="240"/>
      <c r="W606" s="240"/>
    </row>
    <row r="607" spans="12:23" ht="15.75" customHeight="1">
      <c r="L607" s="240"/>
      <c r="W607" s="240"/>
    </row>
    <row r="608" spans="12:23" ht="15.75" customHeight="1">
      <c r="L608" s="240"/>
      <c r="W608" s="240"/>
    </row>
    <row r="609" spans="12:23" ht="15.75" customHeight="1">
      <c r="L609" s="240"/>
      <c r="W609" s="240"/>
    </row>
    <row r="610" spans="12:23" ht="15.75" customHeight="1">
      <c r="L610" s="240"/>
      <c r="W610" s="240"/>
    </row>
    <row r="611" spans="12:23" ht="15.75" customHeight="1">
      <c r="L611" s="240"/>
      <c r="W611" s="240"/>
    </row>
    <row r="612" spans="12:23" ht="15.75" customHeight="1">
      <c r="L612" s="240"/>
      <c r="W612" s="240"/>
    </row>
    <row r="613" spans="12:23" ht="15.75" customHeight="1">
      <c r="L613" s="240"/>
      <c r="W613" s="240"/>
    </row>
    <row r="614" spans="12:23" ht="15.75" customHeight="1">
      <c r="L614" s="240"/>
      <c r="W614" s="240"/>
    </row>
    <row r="615" spans="12:23" ht="15.75" customHeight="1">
      <c r="L615" s="240"/>
      <c r="W615" s="240"/>
    </row>
    <row r="616" spans="12:23" ht="15.75" customHeight="1">
      <c r="L616" s="240"/>
      <c r="W616" s="240"/>
    </row>
    <row r="617" spans="12:23" ht="15.75" customHeight="1">
      <c r="L617" s="240"/>
      <c r="W617" s="240"/>
    </row>
    <row r="618" spans="12:23" ht="15.75" customHeight="1">
      <c r="L618" s="240"/>
      <c r="W618" s="240"/>
    </row>
    <row r="619" spans="12:23" ht="15.75" customHeight="1">
      <c r="L619" s="240"/>
      <c r="W619" s="240"/>
    </row>
    <row r="620" spans="12:23" ht="15.75" customHeight="1">
      <c r="L620" s="240"/>
      <c r="W620" s="240"/>
    </row>
    <row r="621" spans="12:23" ht="15.75" customHeight="1">
      <c r="L621" s="240"/>
      <c r="W621" s="240"/>
    </row>
    <row r="622" spans="12:23" ht="15.75" customHeight="1">
      <c r="L622" s="240"/>
      <c r="W622" s="240"/>
    </row>
    <row r="623" spans="12:23" ht="15.75" customHeight="1">
      <c r="L623" s="240"/>
      <c r="W623" s="240"/>
    </row>
    <row r="624" spans="12:23" ht="15.75" customHeight="1">
      <c r="L624" s="240"/>
      <c r="W624" s="240"/>
    </row>
    <row r="625" spans="12:23" ht="15.75" customHeight="1">
      <c r="L625" s="240"/>
      <c r="W625" s="240"/>
    </row>
    <row r="626" spans="12:23" ht="15.75" customHeight="1">
      <c r="L626" s="240"/>
      <c r="W626" s="240"/>
    </row>
    <row r="627" spans="12:23" ht="15.75" customHeight="1">
      <c r="L627" s="240"/>
      <c r="W627" s="240"/>
    </row>
    <row r="628" spans="12:23" ht="15.75" customHeight="1">
      <c r="L628" s="240"/>
      <c r="W628" s="240"/>
    </row>
    <row r="629" spans="12:23" ht="15.75" customHeight="1">
      <c r="L629" s="240"/>
      <c r="W629" s="240"/>
    </row>
    <row r="630" spans="12:23" ht="15.75" customHeight="1">
      <c r="L630" s="240"/>
      <c r="W630" s="240"/>
    </row>
    <row r="631" spans="12:23" ht="15.75" customHeight="1">
      <c r="L631" s="240"/>
      <c r="W631" s="240"/>
    </row>
    <row r="632" spans="12:23" ht="15.75" customHeight="1">
      <c r="L632" s="240"/>
      <c r="W632" s="240"/>
    </row>
    <row r="633" spans="12:23" ht="15.75" customHeight="1">
      <c r="L633" s="240"/>
      <c r="W633" s="240"/>
    </row>
    <row r="634" spans="12:23" ht="15.75" customHeight="1">
      <c r="L634" s="240"/>
      <c r="W634" s="240"/>
    </row>
    <row r="635" spans="12:23" ht="15.75" customHeight="1">
      <c r="L635" s="240"/>
      <c r="W635" s="240"/>
    </row>
    <row r="636" spans="12:23" ht="15.75" customHeight="1">
      <c r="L636" s="240"/>
      <c r="W636" s="240"/>
    </row>
    <row r="637" spans="12:23" ht="15.75" customHeight="1">
      <c r="L637" s="240"/>
      <c r="W637" s="240"/>
    </row>
    <row r="638" spans="12:23" ht="15.75" customHeight="1">
      <c r="L638" s="240"/>
      <c r="W638" s="240"/>
    </row>
    <row r="639" spans="12:23" ht="15.75" customHeight="1">
      <c r="L639" s="240"/>
      <c r="W639" s="240"/>
    </row>
    <row r="640" spans="12:23" ht="15.75" customHeight="1">
      <c r="L640" s="240"/>
      <c r="W640" s="240"/>
    </row>
    <row r="641" spans="12:23" ht="15.75" customHeight="1">
      <c r="L641" s="240"/>
      <c r="W641" s="240"/>
    </row>
    <row r="642" spans="12:23" ht="15.75" customHeight="1">
      <c r="L642" s="240"/>
      <c r="W642" s="240"/>
    </row>
    <row r="643" spans="12:23" ht="15.75" customHeight="1">
      <c r="L643" s="240"/>
      <c r="W643" s="240"/>
    </row>
    <row r="644" spans="12:23" ht="15.75" customHeight="1">
      <c r="L644" s="240"/>
      <c r="W644" s="240"/>
    </row>
    <row r="645" spans="12:23" ht="15.75" customHeight="1">
      <c r="L645" s="240"/>
      <c r="W645" s="240"/>
    </row>
    <row r="646" spans="12:23" ht="15.75" customHeight="1">
      <c r="L646" s="240"/>
      <c r="W646" s="240"/>
    </row>
    <row r="647" spans="12:23" ht="15.75" customHeight="1">
      <c r="L647" s="240"/>
      <c r="W647" s="240"/>
    </row>
    <row r="648" spans="12:23" ht="15.75" customHeight="1">
      <c r="L648" s="240"/>
      <c r="W648" s="240"/>
    </row>
    <row r="649" spans="12:23" ht="15.75" customHeight="1">
      <c r="L649" s="240"/>
      <c r="W649" s="240"/>
    </row>
    <row r="650" spans="12:23" ht="15.75" customHeight="1">
      <c r="L650" s="240"/>
      <c r="W650" s="240"/>
    </row>
    <row r="651" spans="12:23" ht="15.75" customHeight="1">
      <c r="L651" s="240"/>
      <c r="W651" s="240"/>
    </row>
    <row r="652" spans="12:23" ht="15.75" customHeight="1">
      <c r="L652" s="240"/>
      <c r="W652" s="240"/>
    </row>
    <row r="653" spans="12:23" ht="15.75" customHeight="1">
      <c r="L653" s="240"/>
      <c r="W653" s="240"/>
    </row>
    <row r="654" spans="12:23" ht="15.75" customHeight="1">
      <c r="L654" s="240"/>
      <c r="W654" s="240"/>
    </row>
    <row r="655" spans="12:23" ht="15.75" customHeight="1">
      <c r="L655" s="240"/>
      <c r="W655" s="240"/>
    </row>
    <row r="656" spans="12:23" ht="15.75" customHeight="1">
      <c r="L656" s="240"/>
      <c r="W656" s="240"/>
    </row>
    <row r="657" spans="12:23" ht="15.75" customHeight="1">
      <c r="L657" s="240"/>
      <c r="W657" s="240"/>
    </row>
    <row r="658" spans="12:23" ht="15.75" customHeight="1">
      <c r="L658" s="240"/>
      <c r="W658" s="240"/>
    </row>
    <row r="659" spans="12:23" ht="15.75" customHeight="1">
      <c r="L659" s="240"/>
      <c r="W659" s="240"/>
    </row>
    <row r="660" spans="12:23" ht="15.75" customHeight="1">
      <c r="L660" s="240"/>
      <c r="W660" s="240"/>
    </row>
    <row r="661" spans="12:23" ht="15.75" customHeight="1">
      <c r="L661" s="240"/>
      <c r="W661" s="240"/>
    </row>
    <row r="662" spans="12:23" ht="15.75" customHeight="1">
      <c r="L662" s="240"/>
      <c r="W662" s="240"/>
    </row>
    <row r="663" spans="12:23" ht="15.75" customHeight="1">
      <c r="L663" s="240"/>
      <c r="W663" s="240"/>
    </row>
    <row r="664" spans="12:23" ht="15.75" customHeight="1">
      <c r="L664" s="240"/>
      <c r="W664" s="240"/>
    </row>
    <row r="665" spans="12:23" ht="15.75" customHeight="1">
      <c r="L665" s="240"/>
      <c r="W665" s="240"/>
    </row>
    <row r="666" spans="12:23" ht="15.75" customHeight="1">
      <c r="L666" s="240"/>
      <c r="W666" s="240"/>
    </row>
    <row r="667" spans="12:23" ht="15.75" customHeight="1">
      <c r="L667" s="240"/>
      <c r="W667" s="240"/>
    </row>
    <row r="668" spans="12:23" ht="15.75" customHeight="1">
      <c r="L668" s="240"/>
      <c r="W668" s="240"/>
    </row>
    <row r="669" spans="12:23" ht="15.75" customHeight="1">
      <c r="L669" s="240"/>
      <c r="W669" s="240"/>
    </row>
    <row r="670" spans="12:23" ht="15.75" customHeight="1">
      <c r="L670" s="240"/>
      <c r="W670" s="240"/>
    </row>
    <row r="671" spans="12:23" ht="15.75" customHeight="1">
      <c r="L671" s="240"/>
      <c r="W671" s="240"/>
    </row>
    <row r="672" spans="12:23" ht="15.75" customHeight="1">
      <c r="L672" s="240"/>
      <c r="W672" s="240"/>
    </row>
    <row r="673" spans="12:23" ht="15.75" customHeight="1">
      <c r="L673" s="240"/>
      <c r="W673" s="240"/>
    </row>
    <row r="674" spans="12:23" ht="15.75" customHeight="1">
      <c r="L674" s="240"/>
      <c r="W674" s="240"/>
    </row>
    <row r="675" spans="12:23" ht="15.75" customHeight="1">
      <c r="L675" s="240"/>
      <c r="W675" s="240"/>
    </row>
    <row r="676" spans="12:23" ht="15.75" customHeight="1">
      <c r="L676" s="240"/>
      <c r="W676" s="240"/>
    </row>
    <row r="677" spans="12:23" ht="15.75" customHeight="1">
      <c r="L677" s="240"/>
      <c r="W677" s="240"/>
    </row>
    <row r="678" spans="12:23" ht="15.75" customHeight="1">
      <c r="L678" s="240"/>
      <c r="W678" s="240"/>
    </row>
    <row r="679" spans="12:23" ht="15.75" customHeight="1">
      <c r="L679" s="240"/>
      <c r="W679" s="240"/>
    </row>
    <row r="680" spans="12:23" ht="15.75" customHeight="1">
      <c r="L680" s="240"/>
      <c r="W680" s="240"/>
    </row>
    <row r="681" spans="12:23" ht="15.75" customHeight="1">
      <c r="L681" s="240"/>
      <c r="W681" s="240"/>
    </row>
    <row r="682" spans="12:23" ht="15.75" customHeight="1">
      <c r="L682" s="240"/>
      <c r="W682" s="240"/>
    </row>
    <row r="683" spans="12:23" ht="15.75" customHeight="1">
      <c r="L683" s="240"/>
      <c r="W683" s="240"/>
    </row>
    <row r="684" spans="12:23" ht="15.75" customHeight="1">
      <c r="L684" s="240"/>
      <c r="W684" s="240"/>
    </row>
    <row r="685" spans="12:23" ht="15.75" customHeight="1">
      <c r="L685" s="240"/>
      <c r="W685" s="240"/>
    </row>
    <row r="686" spans="12:23" ht="15.75" customHeight="1">
      <c r="L686" s="240"/>
      <c r="W686" s="240"/>
    </row>
    <row r="687" spans="12:23" ht="15.75" customHeight="1">
      <c r="L687" s="240"/>
      <c r="W687" s="240"/>
    </row>
    <row r="688" spans="12:23" ht="15.75" customHeight="1">
      <c r="L688" s="240"/>
      <c r="W688" s="240"/>
    </row>
    <row r="689" spans="12:23" ht="15.75" customHeight="1">
      <c r="L689" s="240"/>
      <c r="W689" s="240"/>
    </row>
    <row r="690" spans="12:23" ht="15.75" customHeight="1">
      <c r="L690" s="240"/>
      <c r="W690" s="240"/>
    </row>
    <row r="691" spans="12:23" ht="15.75" customHeight="1">
      <c r="L691" s="240"/>
      <c r="W691" s="240"/>
    </row>
    <row r="692" spans="12:23" ht="15.75" customHeight="1">
      <c r="L692" s="240"/>
      <c r="W692" s="240"/>
    </row>
    <row r="693" spans="12:23" ht="15.75" customHeight="1">
      <c r="L693" s="240"/>
      <c r="W693" s="240"/>
    </row>
    <row r="694" spans="12:23" ht="15.75" customHeight="1">
      <c r="L694" s="240"/>
      <c r="W694" s="240"/>
    </row>
    <row r="695" spans="12:23" ht="15.75" customHeight="1">
      <c r="L695" s="240"/>
      <c r="W695" s="240"/>
    </row>
    <row r="696" spans="12:23" ht="15.75" customHeight="1">
      <c r="L696" s="240"/>
      <c r="W696" s="240"/>
    </row>
    <row r="697" spans="12:23" ht="15.75" customHeight="1">
      <c r="L697" s="240"/>
      <c r="W697" s="240"/>
    </row>
    <row r="698" spans="12:23" ht="15.75" customHeight="1">
      <c r="L698" s="240"/>
      <c r="W698" s="240"/>
    </row>
    <row r="699" spans="12:23" ht="15.75" customHeight="1">
      <c r="L699" s="240"/>
      <c r="W699" s="240"/>
    </row>
    <row r="700" spans="12:23" ht="15.75" customHeight="1">
      <c r="L700" s="240"/>
      <c r="W700" s="240"/>
    </row>
    <row r="701" spans="12:23" ht="15.75" customHeight="1">
      <c r="L701" s="240"/>
      <c r="W701" s="240"/>
    </row>
    <row r="702" spans="12:23" ht="15.75" customHeight="1">
      <c r="L702" s="240"/>
      <c r="W702" s="240"/>
    </row>
    <row r="703" spans="12:23" ht="15.75" customHeight="1">
      <c r="L703" s="240"/>
      <c r="W703" s="240"/>
    </row>
    <row r="704" spans="12:23" ht="15.75" customHeight="1">
      <c r="L704" s="240"/>
      <c r="W704" s="240"/>
    </row>
    <row r="705" spans="12:23" ht="15.75" customHeight="1">
      <c r="L705" s="240"/>
      <c r="W705" s="240"/>
    </row>
    <row r="706" spans="12:23" ht="15.75" customHeight="1">
      <c r="L706" s="240"/>
      <c r="W706" s="240"/>
    </row>
    <row r="707" spans="12:23" ht="15.75" customHeight="1">
      <c r="L707" s="240"/>
      <c r="W707" s="240"/>
    </row>
    <row r="708" spans="12:23" ht="15.75" customHeight="1">
      <c r="L708" s="240"/>
      <c r="W708" s="240"/>
    </row>
    <row r="709" spans="12:23" ht="15.75" customHeight="1">
      <c r="L709" s="240"/>
      <c r="W709" s="240"/>
    </row>
    <row r="710" spans="12:23" ht="15.75" customHeight="1">
      <c r="L710" s="240"/>
      <c r="W710" s="240"/>
    </row>
    <row r="711" spans="12:23" ht="15.75" customHeight="1">
      <c r="L711" s="240"/>
      <c r="W711" s="240"/>
    </row>
    <row r="712" spans="12:23" ht="15.75" customHeight="1">
      <c r="L712" s="240"/>
      <c r="W712" s="240"/>
    </row>
    <row r="713" spans="12:23" ht="15.75" customHeight="1">
      <c r="L713" s="240"/>
      <c r="W713" s="240"/>
    </row>
    <row r="714" spans="12:23" ht="15.75" customHeight="1">
      <c r="L714" s="240"/>
      <c r="W714" s="240"/>
    </row>
    <row r="715" spans="12:23" ht="15.75" customHeight="1">
      <c r="L715" s="240"/>
      <c r="W715" s="240"/>
    </row>
    <row r="716" spans="12:23" ht="15.75" customHeight="1">
      <c r="L716" s="240"/>
      <c r="W716" s="240"/>
    </row>
    <row r="717" spans="12:23" ht="15.75" customHeight="1">
      <c r="L717" s="240"/>
      <c r="W717" s="240"/>
    </row>
    <row r="718" spans="12:23" ht="15.75" customHeight="1">
      <c r="L718" s="240"/>
      <c r="W718" s="240"/>
    </row>
    <row r="719" spans="12:23" ht="15.75" customHeight="1">
      <c r="L719" s="240"/>
      <c r="W719" s="240"/>
    </row>
    <row r="720" spans="12:23" ht="15.75" customHeight="1">
      <c r="L720" s="240"/>
      <c r="W720" s="240"/>
    </row>
    <row r="721" spans="12:23" ht="15.75" customHeight="1">
      <c r="L721" s="240"/>
      <c r="W721" s="240"/>
    </row>
    <row r="722" spans="12:23" ht="15.75" customHeight="1">
      <c r="L722" s="240"/>
      <c r="W722" s="240"/>
    </row>
    <row r="723" spans="12:23" ht="15.75" customHeight="1">
      <c r="L723" s="240"/>
      <c r="W723" s="240"/>
    </row>
    <row r="724" spans="12:23" ht="15.75" customHeight="1">
      <c r="L724" s="240"/>
      <c r="W724" s="240"/>
    </row>
    <row r="725" spans="12:23" ht="15.75" customHeight="1">
      <c r="L725" s="240"/>
      <c r="W725" s="240"/>
    </row>
    <row r="726" spans="12:23" ht="15.75" customHeight="1">
      <c r="L726" s="240"/>
      <c r="W726" s="240"/>
    </row>
    <row r="727" spans="12:23" ht="15.75" customHeight="1">
      <c r="L727" s="240"/>
      <c r="W727" s="240"/>
    </row>
    <row r="728" spans="12:23" ht="15.75" customHeight="1">
      <c r="L728" s="240"/>
      <c r="W728" s="240"/>
    </row>
    <row r="729" spans="12:23" ht="15.75" customHeight="1">
      <c r="L729" s="240"/>
      <c r="W729" s="240"/>
    </row>
    <row r="730" spans="12:23" ht="15.75" customHeight="1">
      <c r="L730" s="240"/>
      <c r="W730" s="240"/>
    </row>
    <row r="731" spans="12:23" ht="15.75" customHeight="1">
      <c r="L731" s="240"/>
      <c r="W731" s="240"/>
    </row>
    <row r="732" spans="12:23" ht="15.75" customHeight="1">
      <c r="L732" s="240"/>
      <c r="W732" s="240"/>
    </row>
    <row r="733" spans="12:23" ht="15.75" customHeight="1">
      <c r="L733" s="240"/>
      <c r="W733" s="240"/>
    </row>
    <row r="734" spans="12:23" ht="15.75" customHeight="1">
      <c r="L734" s="240"/>
      <c r="W734" s="240"/>
    </row>
    <row r="735" spans="12:23" ht="15.75" customHeight="1">
      <c r="L735" s="240"/>
      <c r="W735" s="240"/>
    </row>
    <row r="736" spans="12:23" ht="15.75" customHeight="1">
      <c r="L736" s="240"/>
      <c r="W736" s="240"/>
    </row>
    <row r="737" spans="12:23" ht="15.75" customHeight="1">
      <c r="L737" s="240"/>
      <c r="W737" s="240"/>
    </row>
    <row r="738" spans="12:23" ht="15.75" customHeight="1">
      <c r="L738" s="240"/>
      <c r="W738" s="240"/>
    </row>
    <row r="739" spans="12:23" ht="15.75" customHeight="1">
      <c r="L739" s="240"/>
      <c r="W739" s="240"/>
    </row>
    <row r="740" spans="12:23" ht="15.75" customHeight="1">
      <c r="L740" s="240"/>
      <c r="W740" s="240"/>
    </row>
    <row r="741" spans="12:23" ht="15.75" customHeight="1">
      <c r="L741" s="240"/>
      <c r="W741" s="240"/>
    </row>
    <row r="742" spans="12:23" ht="15.75" customHeight="1">
      <c r="L742" s="240"/>
      <c r="W742" s="240"/>
    </row>
    <row r="743" spans="12:23" ht="15.75" customHeight="1">
      <c r="L743" s="240"/>
      <c r="W743" s="240"/>
    </row>
    <row r="744" spans="12:23" ht="15.75" customHeight="1">
      <c r="L744" s="240"/>
      <c r="W744" s="240"/>
    </row>
    <row r="745" spans="12:23" ht="15.75" customHeight="1">
      <c r="L745" s="240"/>
      <c r="W745" s="240"/>
    </row>
    <row r="746" spans="12:23" ht="15.75" customHeight="1">
      <c r="L746" s="240"/>
      <c r="W746" s="240"/>
    </row>
    <row r="747" spans="12:23" ht="15.75" customHeight="1">
      <c r="L747" s="240"/>
      <c r="W747" s="240"/>
    </row>
    <row r="748" spans="12:23" ht="15.75" customHeight="1">
      <c r="L748" s="240"/>
      <c r="W748" s="240"/>
    </row>
    <row r="749" spans="12:23" ht="15.75" customHeight="1">
      <c r="L749" s="240"/>
      <c r="W749" s="240"/>
    </row>
    <row r="750" spans="12:23" ht="15.75" customHeight="1">
      <c r="L750" s="240"/>
      <c r="W750" s="240"/>
    </row>
    <row r="751" spans="12:23" ht="15.75" customHeight="1">
      <c r="L751" s="240"/>
      <c r="W751" s="240"/>
    </row>
    <row r="752" spans="12:23" ht="15.75" customHeight="1">
      <c r="L752" s="240"/>
      <c r="W752" s="240"/>
    </row>
    <row r="753" spans="12:23" ht="15.75" customHeight="1">
      <c r="L753" s="240"/>
      <c r="W753" s="240"/>
    </row>
    <row r="754" spans="12:23" ht="15.75" customHeight="1">
      <c r="L754" s="240"/>
      <c r="W754" s="240"/>
    </row>
    <row r="755" spans="12:23" ht="15.75" customHeight="1">
      <c r="L755" s="240"/>
      <c r="W755" s="240"/>
    </row>
    <row r="756" spans="12:23" ht="15.75" customHeight="1">
      <c r="L756" s="240"/>
      <c r="W756" s="240"/>
    </row>
    <row r="757" spans="12:23" ht="15.75" customHeight="1">
      <c r="L757" s="240"/>
      <c r="W757" s="240"/>
    </row>
    <row r="758" spans="12:23" ht="15.75" customHeight="1">
      <c r="L758" s="240"/>
      <c r="W758" s="240"/>
    </row>
    <row r="759" spans="12:23" ht="15.75" customHeight="1">
      <c r="L759" s="240"/>
      <c r="W759" s="240"/>
    </row>
    <row r="760" spans="12:23" ht="15.75" customHeight="1">
      <c r="L760" s="240"/>
      <c r="W760" s="240"/>
    </row>
    <row r="761" spans="12:23" ht="15.75" customHeight="1">
      <c r="L761" s="240"/>
      <c r="W761" s="240"/>
    </row>
    <row r="762" spans="12:23" ht="15.75" customHeight="1">
      <c r="L762" s="240"/>
      <c r="W762" s="240"/>
    </row>
    <row r="763" spans="12:23" ht="15.75" customHeight="1">
      <c r="L763" s="240"/>
      <c r="W763" s="240"/>
    </row>
    <row r="764" spans="12:23" ht="15.75" customHeight="1">
      <c r="L764" s="240"/>
      <c r="W764" s="240"/>
    </row>
    <row r="765" spans="12:23" ht="15.75" customHeight="1">
      <c r="L765" s="240"/>
      <c r="W765" s="240"/>
    </row>
    <row r="766" spans="12:23" ht="15.75" customHeight="1">
      <c r="L766" s="240"/>
      <c r="W766" s="240"/>
    </row>
    <row r="767" spans="12:23" ht="15.75" customHeight="1">
      <c r="L767" s="240"/>
      <c r="W767" s="240"/>
    </row>
    <row r="768" spans="12:23" ht="15.75" customHeight="1">
      <c r="L768" s="240"/>
      <c r="W768" s="240"/>
    </row>
    <row r="769" spans="12:23" ht="15.75" customHeight="1">
      <c r="L769" s="240"/>
      <c r="W769" s="240"/>
    </row>
    <row r="770" spans="12:23" ht="15.75" customHeight="1">
      <c r="L770" s="240"/>
      <c r="W770" s="240"/>
    </row>
    <row r="771" spans="12:23" ht="15.75" customHeight="1">
      <c r="L771" s="240"/>
      <c r="W771" s="240"/>
    </row>
    <row r="772" spans="12:23" ht="15.75" customHeight="1">
      <c r="L772" s="240"/>
      <c r="W772" s="240"/>
    </row>
    <row r="773" spans="12:23" ht="15.75" customHeight="1">
      <c r="L773" s="240"/>
      <c r="W773" s="240"/>
    </row>
    <row r="774" spans="12:23" ht="15.75" customHeight="1">
      <c r="L774" s="240"/>
      <c r="W774" s="240"/>
    </row>
    <row r="775" spans="12:23" ht="15.75" customHeight="1">
      <c r="L775" s="240"/>
      <c r="W775" s="240"/>
    </row>
    <row r="776" spans="12:23" ht="15.75" customHeight="1">
      <c r="L776" s="240"/>
      <c r="W776" s="240"/>
    </row>
    <row r="777" spans="12:23" ht="15.75" customHeight="1">
      <c r="L777" s="240"/>
      <c r="W777" s="240"/>
    </row>
    <row r="778" spans="12:23" ht="15.75" customHeight="1">
      <c r="L778" s="240"/>
      <c r="W778" s="240"/>
    </row>
    <row r="779" spans="12:23" ht="15.75" customHeight="1">
      <c r="L779" s="240"/>
      <c r="W779" s="240"/>
    </row>
    <row r="780" spans="12:23" ht="15.75" customHeight="1">
      <c r="L780" s="240"/>
      <c r="W780" s="240"/>
    </row>
    <row r="781" spans="12:23" ht="15.75" customHeight="1">
      <c r="L781" s="240"/>
      <c r="W781" s="240"/>
    </row>
    <row r="782" spans="12:23" ht="15.75" customHeight="1">
      <c r="L782" s="240"/>
      <c r="W782" s="240"/>
    </row>
    <row r="783" spans="12:23" ht="15.75" customHeight="1">
      <c r="L783" s="240"/>
      <c r="W783" s="240"/>
    </row>
    <row r="784" spans="12:23" ht="15.75" customHeight="1">
      <c r="L784" s="240"/>
      <c r="W784" s="240"/>
    </row>
    <row r="785" spans="12:23" ht="15.75" customHeight="1">
      <c r="L785" s="240"/>
      <c r="W785" s="240"/>
    </row>
    <row r="786" spans="12:23" ht="15.75" customHeight="1">
      <c r="L786" s="240"/>
      <c r="W786" s="240"/>
    </row>
    <row r="787" spans="12:23" ht="15.75" customHeight="1">
      <c r="L787" s="240"/>
      <c r="W787" s="240"/>
    </row>
    <row r="788" spans="12:23" ht="15.75" customHeight="1">
      <c r="L788" s="240"/>
      <c r="W788" s="240"/>
    </row>
    <row r="789" spans="12:23" ht="15.75" customHeight="1">
      <c r="L789" s="240"/>
      <c r="W789" s="240"/>
    </row>
    <row r="790" spans="12:23" ht="15.75" customHeight="1">
      <c r="L790" s="240"/>
      <c r="W790" s="240"/>
    </row>
    <row r="791" spans="12:23" ht="15.75" customHeight="1">
      <c r="L791" s="240"/>
      <c r="W791" s="240"/>
    </row>
    <row r="792" spans="12:23" ht="15.75" customHeight="1">
      <c r="L792" s="240"/>
      <c r="W792" s="240"/>
    </row>
    <row r="793" spans="12:23" ht="15.75" customHeight="1">
      <c r="L793" s="240"/>
      <c r="W793" s="240"/>
    </row>
    <row r="794" spans="12:23" ht="15.75" customHeight="1">
      <c r="L794" s="240"/>
      <c r="W794" s="240"/>
    </row>
    <row r="795" spans="12:23" ht="15.75" customHeight="1">
      <c r="L795" s="240"/>
      <c r="W795" s="240"/>
    </row>
    <row r="796" spans="12:23" ht="15.75" customHeight="1">
      <c r="L796" s="240"/>
      <c r="W796" s="240"/>
    </row>
    <row r="797" spans="12:23" ht="15.75" customHeight="1">
      <c r="L797" s="240"/>
      <c r="W797" s="240"/>
    </row>
    <row r="798" spans="12:23" ht="15.75" customHeight="1">
      <c r="L798" s="240"/>
      <c r="W798" s="240"/>
    </row>
    <row r="799" spans="12:23" ht="15.75" customHeight="1">
      <c r="L799" s="240"/>
      <c r="W799" s="240"/>
    </row>
    <row r="800" spans="12:23" ht="15.75" customHeight="1">
      <c r="L800" s="240"/>
      <c r="W800" s="240"/>
    </row>
    <row r="801" spans="12:23" ht="15.75" customHeight="1">
      <c r="L801" s="240"/>
      <c r="W801" s="240"/>
    </row>
    <row r="802" spans="12:23" ht="15.75" customHeight="1">
      <c r="L802" s="240"/>
      <c r="W802" s="240"/>
    </row>
    <row r="803" spans="12:23" ht="15.75" customHeight="1">
      <c r="L803" s="240"/>
      <c r="W803" s="240"/>
    </row>
    <row r="804" spans="12:23" ht="15.75" customHeight="1">
      <c r="L804" s="240"/>
      <c r="W804" s="240"/>
    </row>
    <row r="805" spans="12:23" ht="15.75" customHeight="1">
      <c r="L805" s="240"/>
      <c r="W805" s="240"/>
    </row>
    <row r="806" spans="12:23" ht="15.75" customHeight="1">
      <c r="L806" s="240"/>
      <c r="W806" s="240"/>
    </row>
    <row r="807" spans="12:23" ht="15.75" customHeight="1">
      <c r="L807" s="240"/>
      <c r="W807" s="240"/>
    </row>
    <row r="808" spans="12:23" ht="15.75" customHeight="1">
      <c r="L808" s="240"/>
      <c r="W808" s="240"/>
    </row>
    <row r="809" spans="12:23" ht="15.75" customHeight="1">
      <c r="L809" s="240"/>
      <c r="W809" s="240"/>
    </row>
    <row r="810" spans="12:23" ht="15.75" customHeight="1">
      <c r="L810" s="240"/>
      <c r="W810" s="240"/>
    </row>
    <row r="811" spans="12:23" ht="15.75" customHeight="1">
      <c r="L811" s="240"/>
      <c r="W811" s="240"/>
    </row>
    <row r="812" spans="12:23" ht="15.75" customHeight="1">
      <c r="L812" s="240"/>
      <c r="W812" s="240"/>
    </row>
    <row r="813" spans="12:23" ht="15.75" customHeight="1">
      <c r="L813" s="240"/>
      <c r="W813" s="240"/>
    </row>
    <row r="814" spans="12:23" ht="15.75" customHeight="1">
      <c r="L814" s="240"/>
      <c r="W814" s="240"/>
    </row>
    <row r="815" spans="12:23" ht="15.75" customHeight="1">
      <c r="L815" s="240"/>
      <c r="W815" s="240"/>
    </row>
    <row r="816" spans="12:23" ht="15.75" customHeight="1">
      <c r="L816" s="240"/>
      <c r="W816" s="240"/>
    </row>
    <row r="817" spans="12:23" ht="15.75" customHeight="1">
      <c r="L817" s="240"/>
      <c r="W817" s="240"/>
    </row>
    <row r="818" spans="12:23" ht="15.75" customHeight="1">
      <c r="L818" s="240"/>
      <c r="W818" s="240"/>
    </row>
    <row r="819" spans="12:23" ht="15.75" customHeight="1">
      <c r="L819" s="240"/>
      <c r="W819" s="240"/>
    </row>
    <row r="820" spans="12:23" ht="15.75" customHeight="1">
      <c r="L820" s="240"/>
      <c r="W820" s="240"/>
    </row>
    <row r="821" spans="12:23" ht="15.75" customHeight="1">
      <c r="L821" s="240"/>
      <c r="W821" s="240"/>
    </row>
    <row r="822" spans="12:23" ht="15.75" customHeight="1">
      <c r="L822" s="240"/>
      <c r="W822" s="240"/>
    </row>
    <row r="823" spans="12:23" ht="15.75" customHeight="1">
      <c r="L823" s="240"/>
      <c r="W823" s="240"/>
    </row>
    <row r="824" spans="12:23" ht="15.75" customHeight="1">
      <c r="L824" s="240"/>
      <c r="W824" s="240"/>
    </row>
    <row r="825" spans="12:23" ht="15.75" customHeight="1">
      <c r="L825" s="240"/>
      <c r="W825" s="240"/>
    </row>
    <row r="826" spans="12:23" ht="15.75" customHeight="1">
      <c r="L826" s="240"/>
      <c r="W826" s="240"/>
    </row>
    <row r="827" spans="12:23" ht="15.75" customHeight="1">
      <c r="L827" s="240"/>
      <c r="W827" s="240"/>
    </row>
    <row r="828" spans="12:23" ht="15.75" customHeight="1">
      <c r="L828" s="240"/>
      <c r="W828" s="240"/>
    </row>
    <row r="829" spans="12:23" ht="15.75" customHeight="1">
      <c r="L829" s="240"/>
      <c r="W829" s="240"/>
    </row>
    <row r="830" spans="12:23" ht="15.75" customHeight="1">
      <c r="L830" s="240"/>
      <c r="W830" s="240"/>
    </row>
    <row r="831" spans="12:23" ht="15.75" customHeight="1">
      <c r="L831" s="240"/>
      <c r="W831" s="240"/>
    </row>
    <row r="832" spans="12:23" ht="15.75" customHeight="1">
      <c r="L832" s="240"/>
      <c r="W832" s="240"/>
    </row>
    <row r="833" spans="12:23" ht="15.75" customHeight="1">
      <c r="L833" s="240"/>
      <c r="W833" s="240"/>
    </row>
    <row r="834" spans="12:23" ht="15.75" customHeight="1">
      <c r="L834" s="240"/>
      <c r="W834" s="240"/>
    </row>
    <row r="835" spans="12:23" ht="15.75" customHeight="1">
      <c r="L835" s="240"/>
      <c r="W835" s="240"/>
    </row>
    <row r="836" spans="12:23" ht="15.75" customHeight="1">
      <c r="L836" s="240"/>
      <c r="W836" s="240"/>
    </row>
    <row r="837" spans="12:23" ht="15.75" customHeight="1">
      <c r="L837" s="240"/>
      <c r="W837" s="240"/>
    </row>
    <row r="838" spans="12:23" ht="15.75" customHeight="1">
      <c r="L838" s="240"/>
      <c r="W838" s="240"/>
    </row>
    <row r="839" spans="12:23" ht="15.75" customHeight="1">
      <c r="L839" s="240"/>
      <c r="W839" s="240"/>
    </row>
    <row r="840" spans="12:23" ht="15.75" customHeight="1">
      <c r="L840" s="240"/>
      <c r="W840" s="240"/>
    </row>
    <row r="841" spans="12:23" ht="15.75" customHeight="1">
      <c r="L841" s="240"/>
      <c r="W841" s="240"/>
    </row>
    <row r="842" spans="12:23" ht="15.75" customHeight="1">
      <c r="L842" s="240"/>
      <c r="W842" s="240"/>
    </row>
    <row r="843" spans="12:23" ht="15.75" customHeight="1">
      <c r="L843" s="240"/>
      <c r="W843" s="240"/>
    </row>
    <row r="844" spans="12:23" ht="15.75" customHeight="1">
      <c r="L844" s="240"/>
      <c r="W844" s="240"/>
    </row>
    <row r="845" spans="12:23" ht="15.75" customHeight="1">
      <c r="L845" s="240"/>
      <c r="W845" s="240"/>
    </row>
    <row r="846" spans="12:23" ht="15.75" customHeight="1">
      <c r="L846" s="240"/>
      <c r="W846" s="240"/>
    </row>
    <row r="847" spans="12:23" ht="15.75" customHeight="1">
      <c r="L847" s="240"/>
      <c r="W847" s="240"/>
    </row>
    <row r="848" spans="12:23" ht="15.75" customHeight="1">
      <c r="L848" s="240"/>
      <c r="W848" s="240"/>
    </row>
    <row r="849" spans="12:23" ht="15.75" customHeight="1">
      <c r="L849" s="240"/>
      <c r="W849" s="240"/>
    </row>
    <row r="850" spans="12:23" ht="15.75" customHeight="1">
      <c r="L850" s="240"/>
      <c r="W850" s="240"/>
    </row>
    <row r="851" spans="12:23" ht="15.75" customHeight="1">
      <c r="L851" s="240"/>
      <c r="W851" s="240"/>
    </row>
    <row r="852" spans="12:23" ht="15.75" customHeight="1">
      <c r="L852" s="240"/>
      <c r="W852" s="240"/>
    </row>
    <row r="853" spans="12:23" ht="15.75" customHeight="1">
      <c r="L853" s="240"/>
      <c r="W853" s="240"/>
    </row>
    <row r="854" spans="12:23" ht="15.75" customHeight="1">
      <c r="L854" s="240"/>
      <c r="W854" s="240"/>
    </row>
    <row r="855" spans="12:23" ht="15.75" customHeight="1">
      <c r="L855" s="240"/>
      <c r="W855" s="240"/>
    </row>
    <row r="856" spans="12:23" ht="15.75" customHeight="1">
      <c r="L856" s="240"/>
      <c r="W856" s="240"/>
    </row>
    <row r="857" spans="12:23" ht="15.75" customHeight="1">
      <c r="L857" s="240"/>
      <c r="W857" s="240"/>
    </row>
    <row r="858" spans="12:23" ht="15.75" customHeight="1">
      <c r="L858" s="240"/>
      <c r="W858" s="240"/>
    </row>
    <row r="859" spans="12:23" ht="15.75" customHeight="1">
      <c r="L859" s="240"/>
      <c r="W859" s="240"/>
    </row>
    <row r="860" spans="12:23" ht="15.75" customHeight="1">
      <c r="L860" s="240"/>
      <c r="W860" s="240"/>
    </row>
    <row r="861" spans="12:23" ht="15.75" customHeight="1">
      <c r="L861" s="240"/>
      <c r="W861" s="240"/>
    </row>
    <row r="862" spans="12:23" ht="15.75" customHeight="1">
      <c r="L862" s="240"/>
      <c r="W862" s="240"/>
    </row>
    <row r="863" spans="12:23" ht="15.75" customHeight="1">
      <c r="L863" s="240"/>
      <c r="W863" s="240"/>
    </row>
    <row r="864" spans="12:23" ht="15.75" customHeight="1">
      <c r="L864" s="240"/>
      <c r="W864" s="240"/>
    </row>
    <row r="865" spans="12:23" ht="15.75" customHeight="1">
      <c r="L865" s="240"/>
      <c r="W865" s="240"/>
    </row>
    <row r="866" spans="12:23" ht="15.75" customHeight="1">
      <c r="L866" s="240"/>
      <c r="W866" s="240"/>
    </row>
    <row r="867" spans="12:23" ht="15.75" customHeight="1">
      <c r="L867" s="240"/>
      <c r="W867" s="240"/>
    </row>
    <row r="868" spans="12:23" ht="15.75" customHeight="1">
      <c r="L868" s="240"/>
      <c r="W868" s="240"/>
    </row>
    <row r="869" spans="12:23" ht="15.75" customHeight="1">
      <c r="L869" s="240"/>
      <c r="W869" s="240"/>
    </row>
    <row r="870" spans="12:23" ht="15.75" customHeight="1">
      <c r="L870" s="240"/>
      <c r="W870" s="240"/>
    </row>
    <row r="871" spans="12:23" ht="15.75" customHeight="1">
      <c r="L871" s="240"/>
      <c r="W871" s="240"/>
    </row>
    <row r="872" spans="12:23" ht="15.75" customHeight="1">
      <c r="L872" s="240"/>
      <c r="W872" s="240"/>
    </row>
    <row r="873" spans="12:23" ht="15.75" customHeight="1">
      <c r="L873" s="240"/>
      <c r="W873" s="240"/>
    </row>
    <row r="874" spans="12:23" ht="15.75" customHeight="1">
      <c r="L874" s="240"/>
      <c r="W874" s="240"/>
    </row>
    <row r="875" spans="12:23" ht="15.75" customHeight="1">
      <c r="L875" s="240"/>
      <c r="W875" s="240"/>
    </row>
    <row r="876" spans="12:23" ht="15.75" customHeight="1">
      <c r="L876" s="240"/>
      <c r="W876" s="240"/>
    </row>
    <row r="877" spans="12:23" ht="15.75" customHeight="1">
      <c r="L877" s="240"/>
      <c r="W877" s="240"/>
    </row>
    <row r="878" spans="12:23" ht="15.75" customHeight="1">
      <c r="L878" s="240"/>
      <c r="W878" s="240"/>
    </row>
    <row r="879" spans="12:23" ht="15.75" customHeight="1">
      <c r="L879" s="240"/>
      <c r="W879" s="240"/>
    </row>
    <row r="880" spans="12:23" ht="15.75" customHeight="1">
      <c r="L880" s="240"/>
      <c r="W880" s="240"/>
    </row>
    <row r="881" spans="12:23" ht="15.75" customHeight="1">
      <c r="L881" s="240"/>
      <c r="W881" s="240"/>
    </row>
    <row r="882" spans="12:23" ht="15.75" customHeight="1">
      <c r="L882" s="240"/>
      <c r="W882" s="240"/>
    </row>
    <row r="883" spans="12:23" ht="15.75" customHeight="1">
      <c r="L883" s="240"/>
      <c r="W883" s="240"/>
    </row>
    <row r="884" spans="12:23" ht="15.75" customHeight="1">
      <c r="L884" s="240"/>
      <c r="W884" s="240"/>
    </row>
    <row r="885" spans="12:23" ht="15.75" customHeight="1">
      <c r="L885" s="240"/>
      <c r="W885" s="240"/>
    </row>
    <row r="886" spans="12:23" ht="15.75" customHeight="1">
      <c r="L886" s="240"/>
      <c r="W886" s="240"/>
    </row>
    <row r="887" spans="12:23" ht="15.75" customHeight="1">
      <c r="L887" s="240"/>
      <c r="W887" s="240"/>
    </row>
    <row r="888" spans="12:23" ht="15.75" customHeight="1">
      <c r="L888" s="240"/>
      <c r="W888" s="240"/>
    </row>
    <row r="889" spans="12:23" ht="15.75" customHeight="1">
      <c r="L889" s="240"/>
      <c r="W889" s="240"/>
    </row>
    <row r="890" spans="12:23" ht="15.75" customHeight="1">
      <c r="L890" s="240"/>
      <c r="W890" s="240"/>
    </row>
    <row r="891" spans="12:23" ht="15.75" customHeight="1">
      <c r="L891" s="240"/>
      <c r="W891" s="240"/>
    </row>
    <row r="892" spans="12:23" ht="15.75" customHeight="1">
      <c r="L892" s="240"/>
      <c r="W892" s="240"/>
    </row>
    <row r="893" spans="12:23" ht="15.75" customHeight="1">
      <c r="L893" s="240"/>
      <c r="W893" s="240"/>
    </row>
    <row r="894" spans="12:23" ht="15.75" customHeight="1">
      <c r="L894" s="240"/>
      <c r="W894" s="240"/>
    </row>
    <row r="895" spans="12:23" ht="15.75" customHeight="1">
      <c r="L895" s="240"/>
      <c r="W895" s="240"/>
    </row>
    <row r="896" spans="12:23" ht="15.75" customHeight="1">
      <c r="L896" s="240"/>
      <c r="W896" s="240"/>
    </row>
    <row r="897" spans="12:23" ht="15.75" customHeight="1">
      <c r="L897" s="240"/>
      <c r="W897" s="240"/>
    </row>
    <row r="898" spans="12:23" ht="15.75" customHeight="1">
      <c r="L898" s="240"/>
      <c r="W898" s="240"/>
    </row>
    <row r="899" spans="12:23" ht="15.75" customHeight="1">
      <c r="L899" s="240"/>
      <c r="W899" s="240"/>
    </row>
    <row r="900" spans="12:23" ht="15.75" customHeight="1">
      <c r="L900" s="240"/>
      <c r="W900" s="240"/>
    </row>
    <row r="901" spans="12:23" ht="15.75" customHeight="1">
      <c r="L901" s="240"/>
      <c r="W901" s="240"/>
    </row>
    <row r="902" spans="12:23" ht="15.75" customHeight="1">
      <c r="L902" s="240"/>
      <c r="W902" s="240"/>
    </row>
    <row r="903" spans="12:23" ht="15.75" customHeight="1">
      <c r="L903" s="240"/>
      <c r="W903" s="240"/>
    </row>
    <row r="904" spans="12:23" ht="15.75" customHeight="1">
      <c r="L904" s="240"/>
      <c r="W904" s="240"/>
    </row>
    <row r="905" spans="12:23" ht="15.75" customHeight="1">
      <c r="L905" s="240"/>
      <c r="W905" s="240"/>
    </row>
    <row r="906" spans="12:23" ht="15.75" customHeight="1">
      <c r="L906" s="240"/>
      <c r="W906" s="240"/>
    </row>
    <row r="907" spans="12:23" ht="15.75" customHeight="1">
      <c r="L907" s="240"/>
      <c r="W907" s="240"/>
    </row>
    <row r="908" spans="12:23" ht="15.75" customHeight="1">
      <c r="L908" s="240"/>
      <c r="W908" s="240"/>
    </row>
    <row r="909" spans="12:23" ht="15.75" customHeight="1">
      <c r="L909" s="240"/>
      <c r="W909" s="240"/>
    </row>
    <row r="910" spans="12:23" ht="15.75" customHeight="1">
      <c r="L910" s="240"/>
      <c r="W910" s="240"/>
    </row>
    <row r="911" spans="12:23" ht="15.75" customHeight="1">
      <c r="L911" s="240"/>
      <c r="W911" s="240"/>
    </row>
    <row r="912" spans="12:23" ht="15.75" customHeight="1">
      <c r="L912" s="240"/>
      <c r="W912" s="240"/>
    </row>
    <row r="913" spans="12:23" ht="15.75" customHeight="1">
      <c r="L913" s="240"/>
      <c r="W913" s="240"/>
    </row>
    <row r="914" spans="12:23" ht="15.75" customHeight="1">
      <c r="L914" s="240"/>
      <c r="W914" s="240"/>
    </row>
    <row r="915" spans="12:23" ht="15.75" customHeight="1">
      <c r="L915" s="240"/>
      <c r="W915" s="240"/>
    </row>
    <row r="916" spans="12:23" ht="15.75" customHeight="1">
      <c r="L916" s="240"/>
      <c r="W916" s="240"/>
    </row>
    <row r="917" spans="12:23" ht="15.75" customHeight="1">
      <c r="L917" s="240"/>
      <c r="W917" s="240"/>
    </row>
    <row r="918" spans="12:23" ht="15.75" customHeight="1">
      <c r="L918" s="240"/>
      <c r="W918" s="240"/>
    </row>
    <row r="919" spans="12:23" ht="15.75" customHeight="1">
      <c r="L919" s="240"/>
      <c r="W919" s="240"/>
    </row>
    <row r="920" spans="12:23" ht="15.75" customHeight="1">
      <c r="L920" s="240"/>
      <c r="W920" s="240"/>
    </row>
    <row r="921" spans="12:23" ht="15.75" customHeight="1">
      <c r="L921" s="240"/>
      <c r="W921" s="240"/>
    </row>
    <row r="922" spans="12:23" ht="15.75" customHeight="1">
      <c r="L922" s="240"/>
      <c r="W922" s="240"/>
    </row>
    <row r="923" spans="12:23" ht="15.75" customHeight="1">
      <c r="L923" s="240"/>
      <c r="W923" s="240"/>
    </row>
    <row r="924" spans="12:23" ht="15.75" customHeight="1">
      <c r="L924" s="240"/>
      <c r="W924" s="240"/>
    </row>
    <row r="925" spans="12:23" ht="15.75" customHeight="1">
      <c r="L925" s="240"/>
      <c r="W925" s="240"/>
    </row>
    <row r="926" spans="12:23" ht="15.75" customHeight="1">
      <c r="L926" s="240"/>
      <c r="W926" s="240"/>
    </row>
    <row r="927" spans="12:23" ht="15.75" customHeight="1">
      <c r="L927" s="240"/>
      <c r="W927" s="240"/>
    </row>
    <row r="928" spans="12:23" ht="15.75" customHeight="1">
      <c r="L928" s="240"/>
      <c r="W928" s="240"/>
    </row>
    <row r="929" spans="12:23" ht="15.75" customHeight="1">
      <c r="L929" s="240"/>
      <c r="W929" s="240"/>
    </row>
    <row r="930" spans="12:23" ht="15.75" customHeight="1">
      <c r="L930" s="240"/>
      <c r="W930" s="240"/>
    </row>
    <row r="931" spans="12:23" ht="15.75" customHeight="1">
      <c r="L931" s="240"/>
      <c r="W931" s="240"/>
    </row>
    <row r="932" spans="12:23" ht="15.75" customHeight="1">
      <c r="L932" s="240"/>
      <c r="W932" s="240"/>
    </row>
    <row r="933" spans="12:23" ht="15.75" customHeight="1">
      <c r="L933" s="240"/>
      <c r="W933" s="240"/>
    </row>
    <row r="934" spans="12:23" ht="15.75" customHeight="1">
      <c r="L934" s="240"/>
      <c r="W934" s="240"/>
    </row>
    <row r="935" spans="12:23" ht="15.75" customHeight="1">
      <c r="L935" s="240"/>
      <c r="W935" s="240"/>
    </row>
    <row r="936" spans="12:23" ht="15.75" customHeight="1">
      <c r="L936" s="240"/>
      <c r="W936" s="240"/>
    </row>
    <row r="937" spans="12:23" ht="15.75" customHeight="1">
      <c r="L937" s="240"/>
      <c r="W937" s="240"/>
    </row>
    <row r="938" spans="12:23" ht="15.75" customHeight="1">
      <c r="L938" s="240"/>
      <c r="W938" s="240"/>
    </row>
    <row r="939" spans="12:23" ht="15.75" customHeight="1">
      <c r="L939" s="240"/>
      <c r="W939" s="240"/>
    </row>
    <row r="940" spans="12:23" ht="15.75" customHeight="1">
      <c r="L940" s="240"/>
      <c r="W940" s="240"/>
    </row>
    <row r="941" spans="12:23" ht="15.75" customHeight="1">
      <c r="L941" s="240"/>
      <c r="W941" s="240"/>
    </row>
    <row r="942" spans="12:23" ht="15.75" customHeight="1">
      <c r="L942" s="240"/>
      <c r="W942" s="240"/>
    </row>
    <row r="943" spans="12:23" ht="15.75" customHeight="1">
      <c r="L943" s="240"/>
      <c r="W943" s="240"/>
    </row>
    <row r="944" spans="12:23" ht="15.75" customHeight="1">
      <c r="L944" s="240"/>
      <c r="W944" s="240"/>
    </row>
    <row r="945" spans="12:23" ht="15.75" customHeight="1">
      <c r="L945" s="240"/>
      <c r="W945" s="240"/>
    </row>
    <row r="946" spans="12:23" ht="15.75" customHeight="1">
      <c r="L946" s="240"/>
      <c r="W946" s="240"/>
    </row>
    <row r="947" spans="12:23" ht="15.75" customHeight="1">
      <c r="L947" s="240"/>
      <c r="W947" s="240"/>
    </row>
    <row r="948" spans="12:23" ht="15.75" customHeight="1">
      <c r="L948" s="240"/>
      <c r="W948" s="240"/>
    </row>
    <row r="949" spans="12:23" ht="15.75" customHeight="1">
      <c r="L949" s="240"/>
      <c r="W949" s="240"/>
    </row>
    <row r="950" spans="12:23" ht="15.75" customHeight="1">
      <c r="L950" s="240"/>
      <c r="W950" s="240"/>
    </row>
    <row r="951" spans="12:23" ht="15.75" customHeight="1">
      <c r="L951" s="240"/>
      <c r="W951" s="240"/>
    </row>
    <row r="952" spans="12:23" ht="15.75" customHeight="1">
      <c r="L952" s="240"/>
      <c r="W952" s="240"/>
    </row>
    <row r="953" spans="12:23" ht="15.75" customHeight="1">
      <c r="L953" s="240"/>
      <c r="W953" s="240"/>
    </row>
    <row r="954" spans="12:23" ht="15.75" customHeight="1">
      <c r="L954" s="240"/>
      <c r="W954" s="240"/>
    </row>
    <row r="955" spans="12:23" ht="15.75" customHeight="1">
      <c r="L955" s="240"/>
      <c r="W955" s="240"/>
    </row>
    <row r="956" spans="12:23" ht="15.75" customHeight="1">
      <c r="L956" s="240"/>
      <c r="W956" s="240"/>
    </row>
    <row r="957" spans="12:23" ht="15.75" customHeight="1">
      <c r="L957" s="240"/>
      <c r="W957" s="240"/>
    </row>
    <row r="958" spans="12:23" ht="15.75" customHeight="1">
      <c r="L958" s="240"/>
      <c r="W958" s="240"/>
    </row>
    <row r="959" spans="12:23" ht="15.75" customHeight="1">
      <c r="L959" s="240"/>
      <c r="W959" s="240"/>
    </row>
    <row r="960" spans="12:23" ht="15.75" customHeight="1">
      <c r="L960" s="240"/>
      <c r="W960" s="240"/>
    </row>
    <row r="961" spans="12:23" ht="15.75" customHeight="1">
      <c r="L961" s="240"/>
      <c r="W961" s="240"/>
    </row>
    <row r="962" spans="12:23" ht="15.75" customHeight="1">
      <c r="L962" s="240"/>
      <c r="W962" s="240"/>
    </row>
    <row r="963" spans="12:23" ht="15.75" customHeight="1">
      <c r="L963" s="240"/>
      <c r="W963" s="240"/>
    </row>
    <row r="964" spans="12:23" ht="15.75" customHeight="1">
      <c r="L964" s="240"/>
      <c r="W964" s="240"/>
    </row>
    <row r="965" spans="12:23" ht="15.75" customHeight="1">
      <c r="L965" s="240"/>
      <c r="W965" s="240"/>
    </row>
    <row r="966" spans="12:23" ht="15.75" customHeight="1">
      <c r="L966" s="240"/>
      <c r="W966" s="240"/>
    </row>
    <row r="967" spans="12:23" ht="15.75" customHeight="1">
      <c r="L967" s="240"/>
      <c r="W967" s="240"/>
    </row>
    <row r="968" spans="12:23" ht="15.75" customHeight="1">
      <c r="L968" s="240"/>
      <c r="W968" s="240"/>
    </row>
    <row r="969" spans="12:23" ht="15.75" customHeight="1">
      <c r="L969" s="240"/>
      <c r="W969" s="240"/>
    </row>
    <row r="970" spans="12:23" ht="15.75" customHeight="1">
      <c r="L970" s="240"/>
      <c r="W970" s="240"/>
    </row>
    <row r="971" spans="12:23" ht="15.75" customHeight="1">
      <c r="L971" s="240"/>
      <c r="W971" s="240"/>
    </row>
    <row r="972" spans="12:23" ht="15.75" customHeight="1">
      <c r="L972" s="240"/>
      <c r="W972" s="240"/>
    </row>
    <row r="973" spans="12:23" ht="15.75" customHeight="1">
      <c r="L973" s="240"/>
      <c r="W973" s="240"/>
    </row>
    <row r="974" spans="12:23" ht="15.75" customHeight="1">
      <c r="L974" s="240"/>
      <c r="W974" s="240"/>
    </row>
    <row r="975" spans="12:23" ht="15.75" customHeight="1">
      <c r="L975" s="240"/>
      <c r="W975" s="240"/>
    </row>
    <row r="976" spans="12:23" ht="15.75" customHeight="1">
      <c r="L976" s="240"/>
      <c r="W976" s="240"/>
    </row>
    <row r="977" spans="12:23" ht="15.75" customHeight="1">
      <c r="L977" s="240"/>
      <c r="W977" s="240"/>
    </row>
    <row r="978" spans="12:23" ht="15.75" customHeight="1">
      <c r="L978" s="240"/>
      <c r="W978" s="240"/>
    </row>
    <row r="979" spans="12:23" ht="15.75" customHeight="1">
      <c r="L979" s="240"/>
      <c r="W979" s="240"/>
    </row>
    <row r="980" spans="12:23" ht="15.75" customHeight="1">
      <c r="L980" s="240"/>
      <c r="W980" s="240"/>
    </row>
    <row r="981" spans="12:23" ht="15.75" customHeight="1">
      <c r="L981" s="240"/>
      <c r="W981" s="240"/>
    </row>
    <row r="982" spans="12:23" ht="15.75" customHeight="1">
      <c r="L982" s="240"/>
      <c r="W982" s="240"/>
    </row>
    <row r="983" spans="12:23" ht="15.75" customHeight="1">
      <c r="L983" s="240"/>
      <c r="W983" s="240"/>
    </row>
    <row r="984" spans="12:23" ht="15.75" customHeight="1">
      <c r="L984" s="240"/>
      <c r="W984" s="240"/>
    </row>
    <row r="985" spans="12:23" ht="15.75" customHeight="1">
      <c r="L985" s="240"/>
      <c r="W985" s="240"/>
    </row>
    <row r="986" spans="12:23" ht="15.75" customHeight="1">
      <c r="L986" s="240"/>
      <c r="W986" s="240"/>
    </row>
    <row r="987" spans="12:23" ht="15.75" customHeight="1">
      <c r="L987" s="240"/>
      <c r="W987" s="240"/>
    </row>
    <row r="988" spans="12:23" ht="15.75" customHeight="1">
      <c r="L988" s="240"/>
      <c r="W988" s="240"/>
    </row>
    <row r="989" spans="12:23" ht="15.75" customHeight="1">
      <c r="L989" s="240"/>
      <c r="W989" s="240"/>
    </row>
    <row r="990" spans="12:23" ht="15.75" customHeight="1">
      <c r="L990" s="240"/>
      <c r="W990" s="240"/>
    </row>
    <row r="991" spans="12:23" ht="15.75" customHeight="1">
      <c r="L991" s="240"/>
      <c r="W991" s="240"/>
    </row>
    <row r="992" spans="12:23" ht="15.75" customHeight="1">
      <c r="L992" s="240"/>
      <c r="W992" s="240"/>
    </row>
    <row r="993" spans="12:23" ht="15.75" customHeight="1">
      <c r="L993" s="240"/>
      <c r="W993" s="240"/>
    </row>
    <row r="994" spans="12:23" ht="15.75" customHeight="1">
      <c r="L994" s="240"/>
      <c r="W994" s="240"/>
    </row>
    <row r="995" spans="12:23" ht="15.75" customHeight="1">
      <c r="L995" s="240"/>
      <c r="W995" s="240"/>
    </row>
    <row r="996" spans="12:23" ht="15.75" customHeight="1">
      <c r="L996" s="240"/>
      <c r="W996" s="240"/>
    </row>
    <row r="997" spans="12:23" ht="15.75" customHeight="1">
      <c r="L997" s="240"/>
      <c r="W997" s="240"/>
    </row>
    <row r="998" spans="12:23" ht="15.75" customHeight="1">
      <c r="L998" s="240"/>
      <c r="W998" s="240"/>
    </row>
    <row r="999" spans="12:23" ht="15.75" customHeight="1">
      <c r="L999" s="240"/>
      <c r="W999" s="240"/>
    </row>
    <row r="1000" spans="12:23" ht="15" customHeight="1">
      <c r="L1000" s="240"/>
      <c r="W1000" s="240"/>
    </row>
    <row r="1001" spans="12:23" ht="15" customHeight="1">
      <c r="L1001" s="240"/>
      <c r="W1001" s="240"/>
    </row>
    <row r="1002" spans="12:23" ht="15" customHeight="1">
      <c r="L1002" s="240"/>
      <c r="W1002" s="240"/>
    </row>
    <row r="1003" spans="12:23" ht="15" customHeight="1">
      <c r="L1003" s="240"/>
      <c r="W1003" s="240"/>
    </row>
    <row r="1004" spans="12:23" ht="15" customHeight="1">
      <c r="L1004" s="240"/>
      <c r="W1004" s="240"/>
    </row>
    <row r="1005" spans="12:23" ht="15" customHeight="1">
      <c r="L1005" s="240"/>
      <c r="W1005" s="240"/>
    </row>
    <row r="1006" spans="12:23" ht="15" customHeight="1">
      <c r="L1006" s="240"/>
      <c r="W1006" s="240"/>
    </row>
    <row r="1007" spans="12:23" ht="15" customHeight="1">
      <c r="L1007" s="240"/>
      <c r="W1007" s="240"/>
    </row>
    <row r="1008" spans="12:23" ht="15" customHeight="1">
      <c r="L1008" s="240"/>
      <c r="W1008" s="240"/>
    </row>
    <row r="1009" spans="12:23" ht="15" customHeight="1">
      <c r="L1009" s="240"/>
      <c r="W1009" s="240"/>
    </row>
    <row r="1010" spans="12:23" ht="15" customHeight="1">
      <c r="L1010" s="240"/>
      <c r="W1010" s="240"/>
    </row>
    <row r="1011" spans="12:23" ht="15" customHeight="1">
      <c r="L1011" s="240"/>
      <c r="W1011" s="240"/>
    </row>
    <row r="1012" spans="12:23" ht="15" customHeight="1">
      <c r="L1012" s="240"/>
      <c r="W1012" s="240"/>
    </row>
    <row r="1013" spans="12:23" ht="15" customHeight="1">
      <c r="L1013" s="240"/>
      <c r="W1013" s="240"/>
    </row>
    <row r="1014" spans="12:23" ht="15" customHeight="1">
      <c r="L1014" s="240"/>
      <c r="W1014" s="240"/>
    </row>
    <row r="1015" spans="12:23" ht="15" customHeight="1">
      <c r="L1015" s="240"/>
      <c r="W1015" s="240"/>
    </row>
    <row r="1016" spans="12:23" ht="15" customHeight="1">
      <c r="L1016" s="240"/>
      <c r="W1016" s="240"/>
    </row>
    <row r="1017" spans="12:23" ht="15" customHeight="1">
      <c r="L1017" s="240"/>
      <c r="W1017" s="240"/>
    </row>
    <row r="1018" spans="12:23" ht="15" customHeight="1">
      <c r="L1018" s="240"/>
      <c r="W1018" s="240"/>
    </row>
    <row r="1019" spans="12:23" ht="15" customHeight="1">
      <c r="L1019" s="240"/>
      <c r="W1019" s="240"/>
    </row>
    <row r="1020" spans="12:23" ht="15" customHeight="1">
      <c r="L1020" s="240"/>
      <c r="W1020" s="240"/>
    </row>
    <row r="1021" spans="12:23" ht="15" customHeight="1">
      <c r="L1021" s="240"/>
      <c r="W1021" s="240"/>
    </row>
    <row r="1022" spans="12:23" ht="15" customHeight="1">
      <c r="L1022" s="240"/>
      <c r="W1022" s="240"/>
    </row>
    <row r="1023" spans="12:23" ht="15" customHeight="1">
      <c r="L1023" s="240"/>
      <c r="W1023" s="240"/>
    </row>
    <row r="1024" spans="12:23" ht="15" customHeight="1">
      <c r="L1024" s="240"/>
      <c r="W1024" s="240"/>
    </row>
    <row r="1025" spans="12:23" ht="15" customHeight="1">
      <c r="L1025" s="240"/>
      <c r="W1025" s="240"/>
    </row>
    <row r="1026" spans="12:23" ht="15" customHeight="1">
      <c r="L1026" s="240"/>
      <c r="W1026" s="240"/>
    </row>
    <row r="1027" spans="12:23" ht="15" customHeight="1">
      <c r="L1027" s="240"/>
      <c r="W1027" s="240"/>
    </row>
    <row r="1028" spans="12:23" ht="15" customHeight="1">
      <c r="L1028" s="240"/>
      <c r="W1028" s="240"/>
    </row>
    <row r="1029" spans="12:23" ht="15" customHeight="1">
      <c r="L1029" s="240"/>
      <c r="W1029" s="240"/>
    </row>
    <row r="1030" spans="12:23" ht="15" customHeight="1">
      <c r="L1030" s="240"/>
      <c r="W1030" s="240"/>
    </row>
    <row r="1031" spans="12:23" ht="15" customHeight="1">
      <c r="L1031" s="240"/>
      <c r="W1031" s="240"/>
    </row>
    <row r="1032" spans="12:23" ht="15" customHeight="1">
      <c r="L1032" s="240"/>
      <c r="W1032" s="240"/>
    </row>
    <row r="1033" spans="12:23" ht="15" customHeight="1">
      <c r="L1033" s="240"/>
      <c r="W1033" s="240"/>
    </row>
    <row r="1034" spans="12:23" ht="15" customHeight="1">
      <c r="L1034" s="240"/>
      <c r="W1034" s="240"/>
    </row>
    <row r="1035" spans="12:23" ht="15" customHeight="1">
      <c r="L1035" s="240"/>
      <c r="W1035" s="240"/>
    </row>
    <row r="1036" spans="12:23" ht="15" customHeight="1">
      <c r="L1036" s="240"/>
      <c r="W1036" s="240"/>
    </row>
    <row r="1037" spans="12:23" ht="15" customHeight="1">
      <c r="L1037" s="240"/>
      <c r="W1037" s="240"/>
    </row>
    <row r="1038" spans="12:23" ht="15" customHeight="1">
      <c r="L1038" s="240"/>
      <c r="W1038" s="240"/>
    </row>
    <row r="1039" spans="12:23" ht="15" customHeight="1">
      <c r="L1039" s="240"/>
      <c r="W1039" s="240"/>
    </row>
    <row r="1040" spans="12:23" ht="15" customHeight="1">
      <c r="L1040" s="240"/>
      <c r="W1040" s="240"/>
    </row>
    <row r="1041" spans="12:23" ht="15" customHeight="1">
      <c r="L1041" s="240"/>
      <c r="W1041" s="240"/>
    </row>
    <row r="1042" spans="12:23" ht="15" customHeight="1">
      <c r="L1042" s="240"/>
      <c r="W1042" s="240"/>
    </row>
    <row r="1043" spans="12:23" ht="15" customHeight="1">
      <c r="L1043" s="240"/>
      <c r="W1043" s="240"/>
    </row>
    <row r="1044" spans="12:23" ht="15" customHeight="1">
      <c r="L1044" s="240"/>
      <c r="W1044" s="240"/>
    </row>
    <row r="1045" spans="12:23" ht="15" customHeight="1">
      <c r="L1045" s="240"/>
      <c r="W1045" s="240"/>
    </row>
    <row r="1046" spans="12:23" ht="15" customHeight="1">
      <c r="L1046" s="240"/>
      <c r="W1046" s="240"/>
    </row>
    <row r="1047" spans="12:23" ht="15" customHeight="1">
      <c r="L1047" s="240"/>
      <c r="W1047" s="240"/>
    </row>
    <row r="1048" spans="12:23" ht="15" customHeight="1">
      <c r="L1048" s="240"/>
      <c r="W1048" s="240"/>
    </row>
    <row r="1049" spans="12:23" ht="15" customHeight="1">
      <c r="L1049" s="240"/>
      <c r="W1049" s="240"/>
    </row>
    <row r="1050" spans="12:23" ht="15" customHeight="1">
      <c r="L1050" s="240"/>
      <c r="W1050" s="240"/>
    </row>
    <row r="1051" spans="12:23" ht="15" customHeight="1">
      <c r="L1051" s="240"/>
      <c r="W1051" s="240"/>
    </row>
    <row r="1052" spans="12:23" ht="15" customHeight="1">
      <c r="L1052" s="240"/>
      <c r="W1052" s="240"/>
    </row>
    <row r="1053" spans="12:23" ht="15" customHeight="1">
      <c r="L1053" s="240"/>
      <c r="W1053" s="240"/>
    </row>
    <row r="1054" spans="12:23" ht="15" customHeight="1">
      <c r="L1054" s="240"/>
      <c r="W1054" s="240"/>
    </row>
    <row r="1055" spans="12:23" ht="15" customHeight="1">
      <c r="L1055" s="240"/>
      <c r="W1055" s="240"/>
    </row>
    <row r="1056" spans="12:23" ht="15" customHeight="1">
      <c r="L1056" s="240"/>
      <c r="W1056" s="240"/>
    </row>
    <row r="1057" spans="12:23" ht="15" customHeight="1">
      <c r="L1057" s="240"/>
      <c r="W1057" s="240"/>
    </row>
    <row r="1058" spans="12:23" ht="15" customHeight="1">
      <c r="L1058" s="240"/>
      <c r="W1058" s="240"/>
    </row>
    <row r="1059" spans="12:23" ht="15" customHeight="1">
      <c r="L1059" s="240"/>
      <c r="W1059" s="240"/>
    </row>
    <row r="1060" spans="12:23" ht="15" customHeight="1">
      <c r="L1060" s="240"/>
      <c r="W1060" s="240"/>
    </row>
    <row r="1061" spans="12:23" ht="15" customHeight="1">
      <c r="L1061" s="240"/>
      <c r="W1061" s="240"/>
    </row>
    <row r="1062" spans="12:23" ht="15" customHeight="1">
      <c r="L1062" s="240"/>
      <c r="W1062" s="240"/>
    </row>
    <row r="1063" spans="12:23" ht="15" customHeight="1">
      <c r="L1063" s="240"/>
      <c r="W1063" s="240"/>
    </row>
    <row r="1064" spans="12:23" ht="15" customHeight="1">
      <c r="L1064" s="240"/>
      <c r="W1064" s="240"/>
    </row>
    <row r="1065" spans="12:23" ht="15" customHeight="1">
      <c r="L1065" s="240"/>
      <c r="W1065" s="240"/>
    </row>
    <row r="1066" spans="12:23" ht="15" customHeight="1">
      <c r="L1066" s="240"/>
      <c r="W1066" s="240"/>
    </row>
    <row r="1067" spans="12:23" ht="15" customHeight="1">
      <c r="L1067" s="240"/>
      <c r="W1067" s="240"/>
    </row>
    <row r="1068" spans="12:23" ht="15" customHeight="1">
      <c r="L1068" s="240"/>
      <c r="W1068" s="240"/>
    </row>
    <row r="1069" spans="12:23" ht="15" customHeight="1">
      <c r="L1069" s="240"/>
      <c r="W1069" s="240"/>
    </row>
    <row r="1070" spans="12:23" ht="15" customHeight="1">
      <c r="L1070" s="240"/>
      <c r="W1070" s="240"/>
    </row>
    <row r="1071" spans="12:23" ht="15" customHeight="1">
      <c r="L1071" s="240"/>
      <c r="W1071" s="240"/>
    </row>
    <row r="1072" spans="12:23" ht="15" customHeight="1">
      <c r="L1072" s="240"/>
      <c r="W1072" s="240"/>
    </row>
    <row r="1073" spans="12:23" ht="15" customHeight="1">
      <c r="L1073" s="240"/>
      <c r="W1073" s="240"/>
    </row>
    <row r="1074" spans="12:23" ht="15" customHeight="1">
      <c r="L1074" s="240"/>
      <c r="W1074" s="240"/>
    </row>
    <row r="1075" spans="12:23" ht="15" customHeight="1">
      <c r="L1075" s="240"/>
      <c r="W1075" s="240"/>
    </row>
    <row r="1076" spans="12:23" ht="15" customHeight="1">
      <c r="L1076" s="240"/>
      <c r="W1076" s="240"/>
    </row>
    <row r="1077" spans="12:23" ht="15" customHeight="1">
      <c r="L1077" s="240"/>
      <c r="W1077" s="240"/>
    </row>
    <row r="1078" spans="12:23" ht="15" customHeight="1">
      <c r="L1078" s="240"/>
      <c r="W1078" s="240"/>
    </row>
    <row r="1079" spans="12:23" ht="15" customHeight="1">
      <c r="L1079" s="240"/>
      <c r="W1079" s="240"/>
    </row>
    <row r="1080" spans="12:23" ht="15" customHeight="1">
      <c r="L1080" s="240"/>
      <c r="W1080" s="240"/>
    </row>
    <row r="1081" spans="12:23" ht="15" customHeight="1">
      <c r="L1081" s="240"/>
      <c r="W1081" s="240"/>
    </row>
    <row r="1082" spans="12:23" ht="15" customHeight="1">
      <c r="L1082" s="240"/>
      <c r="W1082" s="240"/>
    </row>
    <row r="1083" spans="12:23" ht="15" customHeight="1">
      <c r="L1083" s="240"/>
      <c r="W1083" s="240"/>
    </row>
    <row r="1084" spans="12:23" ht="15" customHeight="1">
      <c r="L1084" s="240"/>
      <c r="W1084" s="240"/>
    </row>
    <row r="1085" spans="12:23" ht="15" customHeight="1">
      <c r="L1085" s="240"/>
      <c r="W1085" s="240"/>
    </row>
    <row r="1086" spans="12:23" ht="15" customHeight="1">
      <c r="L1086" s="240"/>
      <c r="W1086" s="240"/>
    </row>
    <row r="1087" spans="12:23" ht="15" customHeight="1">
      <c r="L1087" s="240"/>
      <c r="W1087" s="240"/>
    </row>
    <row r="1088" spans="12:23" ht="15" customHeight="1">
      <c r="L1088" s="240"/>
      <c r="W1088" s="240"/>
    </row>
    <row r="1089" spans="12:23" ht="15" customHeight="1">
      <c r="L1089" s="240"/>
      <c r="W1089" s="240"/>
    </row>
    <row r="1090" spans="12:23" ht="15" customHeight="1">
      <c r="L1090" s="240"/>
      <c r="W1090" s="240"/>
    </row>
    <row r="1091" spans="12:23" ht="15" customHeight="1">
      <c r="L1091" s="240"/>
      <c r="W1091" s="240"/>
    </row>
    <row r="1092" spans="12:23" ht="15" customHeight="1">
      <c r="L1092" s="240"/>
      <c r="W1092" s="240"/>
    </row>
    <row r="1093" spans="12:23" ht="15" customHeight="1">
      <c r="L1093" s="240"/>
      <c r="W1093" s="240"/>
    </row>
    <row r="1094" spans="12:23" ht="15" customHeight="1">
      <c r="L1094" s="240"/>
      <c r="W1094" s="240"/>
    </row>
    <row r="1095" spans="12:23" ht="15" customHeight="1">
      <c r="L1095" s="240"/>
      <c r="W1095" s="240"/>
    </row>
    <row r="1096" spans="12:23" ht="15" customHeight="1">
      <c r="L1096" s="240"/>
      <c r="W1096" s="240"/>
    </row>
    <row r="1097" spans="12:23" ht="15" customHeight="1">
      <c r="L1097" s="240"/>
      <c r="W1097" s="240"/>
    </row>
    <row r="1098" spans="12:23" ht="15" customHeight="1">
      <c r="L1098" s="240"/>
      <c r="W1098" s="240"/>
    </row>
    <row r="1099" spans="12:23" ht="15" customHeight="1">
      <c r="L1099" s="240"/>
      <c r="W1099" s="240"/>
    </row>
    <row r="1100" spans="12:23" ht="15" customHeight="1">
      <c r="L1100" s="240"/>
      <c r="W1100" s="240"/>
    </row>
    <row r="1101" spans="12:23" ht="15" customHeight="1">
      <c r="L1101" s="240"/>
      <c r="W1101" s="240"/>
    </row>
    <row r="1102" spans="12:23" ht="15" customHeight="1">
      <c r="L1102" s="240"/>
      <c r="W1102" s="240"/>
    </row>
    <row r="1103" spans="12:23" ht="15" customHeight="1">
      <c r="L1103" s="240"/>
      <c r="W1103" s="240"/>
    </row>
    <row r="1104" spans="12:23" ht="15" customHeight="1">
      <c r="L1104" s="240"/>
      <c r="W1104" s="240"/>
    </row>
    <row r="1105" spans="12:23" ht="15" customHeight="1">
      <c r="L1105" s="240"/>
      <c r="W1105" s="240"/>
    </row>
    <row r="1106" spans="12:23" ht="15" customHeight="1">
      <c r="L1106" s="240"/>
      <c r="W1106" s="240"/>
    </row>
    <row r="1107" spans="12:23" ht="15" customHeight="1">
      <c r="L1107" s="240"/>
      <c r="W1107" s="240"/>
    </row>
    <row r="1108" spans="12:23" ht="15" customHeight="1">
      <c r="L1108" s="240"/>
      <c r="W1108" s="240"/>
    </row>
    <row r="1109" spans="12:23" ht="15" customHeight="1">
      <c r="L1109" s="240"/>
      <c r="W1109" s="240"/>
    </row>
    <row r="1110" spans="12:23" ht="15" customHeight="1">
      <c r="L1110" s="240"/>
      <c r="W1110" s="240"/>
    </row>
    <row r="1111" spans="12:23" ht="15" customHeight="1">
      <c r="L1111" s="240"/>
      <c r="W1111" s="240"/>
    </row>
    <row r="1112" spans="12:23" ht="15" customHeight="1">
      <c r="L1112" s="240"/>
      <c r="W1112" s="240"/>
    </row>
    <row r="1113" spans="12:23" ht="15" customHeight="1">
      <c r="L1113" s="240"/>
      <c r="W1113" s="240"/>
    </row>
    <row r="1114" spans="12:23" ht="15" customHeight="1">
      <c r="L1114" s="240"/>
      <c r="W1114" s="240"/>
    </row>
    <row r="1115" spans="12:23" ht="15" customHeight="1">
      <c r="L1115" s="240"/>
      <c r="W1115" s="240"/>
    </row>
    <row r="1116" spans="12:23" ht="15" customHeight="1">
      <c r="L1116" s="240"/>
      <c r="W1116" s="240"/>
    </row>
    <row r="1117" spans="12:23" ht="15" customHeight="1">
      <c r="L1117" s="240"/>
      <c r="W1117" s="240"/>
    </row>
    <row r="1118" spans="12:23" ht="15" customHeight="1">
      <c r="L1118" s="240"/>
      <c r="W1118" s="240"/>
    </row>
    <row r="1119" spans="12:23" ht="15" customHeight="1">
      <c r="L1119" s="240"/>
      <c r="W1119" s="240"/>
    </row>
    <row r="1120" spans="12:23" ht="15" customHeight="1">
      <c r="L1120" s="240"/>
      <c r="W1120" s="240"/>
    </row>
    <row r="1121" spans="12:23" ht="15" customHeight="1">
      <c r="L1121" s="240"/>
      <c r="W1121" s="240"/>
    </row>
    <row r="1122" spans="12:23" ht="15" customHeight="1">
      <c r="L1122" s="240"/>
      <c r="W1122" s="240"/>
    </row>
    <row r="1123" spans="12:23" ht="15" customHeight="1">
      <c r="L1123" s="240"/>
      <c r="W1123" s="240"/>
    </row>
    <row r="1124" spans="12:23" ht="15" customHeight="1">
      <c r="L1124" s="240"/>
      <c r="W1124" s="240"/>
    </row>
    <row r="1125" spans="12:23" ht="15" customHeight="1">
      <c r="L1125" s="240"/>
      <c r="W1125" s="240"/>
    </row>
    <row r="1126" spans="12:23" ht="15" customHeight="1">
      <c r="L1126" s="240"/>
      <c r="W1126" s="240"/>
    </row>
    <row r="1127" spans="12:23" ht="15" customHeight="1">
      <c r="L1127" s="240"/>
      <c r="W1127" s="240"/>
    </row>
    <row r="1128" spans="12:23" ht="15" customHeight="1">
      <c r="L1128" s="240"/>
      <c r="W1128" s="240"/>
    </row>
    <row r="1129" spans="12:23" ht="15" customHeight="1">
      <c r="L1129" s="240"/>
      <c r="W1129" s="240"/>
    </row>
    <row r="1130" spans="12:23" ht="15" customHeight="1">
      <c r="L1130" s="240"/>
      <c r="W1130" s="240"/>
    </row>
    <row r="1131" spans="12:23" ht="15" customHeight="1">
      <c r="L1131" s="240"/>
      <c r="W1131" s="240"/>
    </row>
    <row r="1132" spans="12:23" ht="15" customHeight="1">
      <c r="L1132" s="240"/>
      <c r="W1132" s="240"/>
    </row>
    <row r="1133" spans="12:23" ht="15" customHeight="1">
      <c r="L1133" s="240"/>
      <c r="W1133" s="240"/>
    </row>
    <row r="1134" spans="12:23" ht="15" customHeight="1">
      <c r="L1134" s="240"/>
      <c r="W1134" s="240"/>
    </row>
    <row r="1135" spans="12:23" ht="15" customHeight="1">
      <c r="L1135" s="240"/>
      <c r="W1135" s="240"/>
    </row>
    <row r="1136" spans="12:23" ht="15" customHeight="1">
      <c r="L1136" s="240"/>
      <c r="W1136" s="240"/>
    </row>
    <row r="1137" spans="12:23" ht="15" customHeight="1">
      <c r="L1137" s="240"/>
      <c r="W1137" s="240"/>
    </row>
    <row r="1138" spans="12:23" ht="15" customHeight="1">
      <c r="L1138" s="240"/>
      <c r="W1138" s="240"/>
    </row>
    <row r="1139" spans="12:23" ht="15" customHeight="1">
      <c r="L1139" s="240"/>
      <c r="W1139" s="240"/>
    </row>
    <row r="1140" spans="12:23" ht="15" customHeight="1">
      <c r="L1140" s="240"/>
      <c r="W1140" s="240"/>
    </row>
    <row r="1141" spans="12:23" ht="15" customHeight="1">
      <c r="L1141" s="240"/>
      <c r="W1141" s="240"/>
    </row>
    <row r="1142" spans="12:23" ht="15" customHeight="1">
      <c r="L1142" s="240"/>
      <c r="W1142" s="240"/>
    </row>
    <row r="1143" spans="12:23" ht="15" customHeight="1">
      <c r="L1143" s="240"/>
      <c r="W1143" s="240"/>
    </row>
    <row r="1144" spans="12:23" ht="15" customHeight="1">
      <c r="L1144" s="240"/>
      <c r="W1144" s="240"/>
    </row>
    <row r="1145" spans="12:23" ht="15" customHeight="1">
      <c r="L1145" s="240"/>
      <c r="W1145" s="240"/>
    </row>
    <row r="1146" spans="12:23" ht="15" customHeight="1">
      <c r="L1146" s="240"/>
      <c r="W1146" s="240"/>
    </row>
    <row r="1147" spans="12:23" ht="15" customHeight="1">
      <c r="L1147" s="240"/>
      <c r="W1147" s="240"/>
    </row>
    <row r="1148" spans="12:23" ht="15" customHeight="1">
      <c r="L1148" s="240"/>
      <c r="W1148" s="240"/>
    </row>
    <row r="1149" spans="12:23" ht="15" customHeight="1">
      <c r="L1149" s="240"/>
      <c r="W1149" s="240"/>
    </row>
    <row r="1150" spans="12:23" ht="15" customHeight="1">
      <c r="L1150" s="240"/>
      <c r="W1150" s="240"/>
    </row>
    <row r="1151" spans="12:23" ht="15" customHeight="1">
      <c r="L1151" s="240"/>
      <c r="W1151" s="240"/>
    </row>
    <row r="1152" spans="12:23" ht="15" customHeight="1">
      <c r="L1152" s="240"/>
      <c r="W1152" s="240"/>
    </row>
    <row r="1153" spans="12:23" ht="15" customHeight="1">
      <c r="L1153" s="240"/>
      <c r="W1153" s="240"/>
    </row>
    <row r="1154" spans="12:23" ht="15" customHeight="1">
      <c r="L1154" s="240"/>
      <c r="W1154" s="240"/>
    </row>
    <row r="1155" spans="12:23" ht="15" customHeight="1">
      <c r="L1155" s="240"/>
      <c r="W1155" s="240"/>
    </row>
    <row r="1156" spans="12:23" ht="15" customHeight="1">
      <c r="L1156" s="240"/>
      <c r="W1156" s="240"/>
    </row>
    <row r="1157" spans="12:23" ht="15" customHeight="1">
      <c r="L1157" s="240"/>
      <c r="W1157" s="240"/>
    </row>
    <row r="1158" spans="12:23" ht="15" customHeight="1">
      <c r="L1158" s="240"/>
      <c r="W1158" s="240"/>
    </row>
    <row r="1159" spans="12:23" ht="15" customHeight="1">
      <c r="L1159" s="240"/>
      <c r="W1159" s="240"/>
    </row>
    <row r="1160" spans="12:23" ht="15" customHeight="1">
      <c r="L1160" s="240"/>
      <c r="W1160" s="240"/>
    </row>
    <row r="1161" spans="12:23" ht="15" customHeight="1">
      <c r="L1161" s="240"/>
      <c r="W1161" s="240"/>
    </row>
    <row r="1162" spans="12:23" ht="15" customHeight="1">
      <c r="L1162" s="240"/>
      <c r="W1162" s="240"/>
    </row>
    <row r="1163" spans="12:23" ht="15" customHeight="1">
      <c r="L1163" s="240"/>
      <c r="W1163" s="240"/>
    </row>
    <row r="1164" spans="12:23" ht="15" customHeight="1">
      <c r="L1164" s="240"/>
      <c r="W1164" s="240"/>
    </row>
    <row r="1165" spans="12:23" ht="15" customHeight="1">
      <c r="L1165" s="240"/>
      <c r="W1165" s="240"/>
    </row>
    <row r="1166" spans="12:23" ht="15" customHeight="1">
      <c r="L1166" s="240"/>
      <c r="W1166" s="240"/>
    </row>
    <row r="1167" spans="12:23" ht="15" customHeight="1">
      <c r="L1167" s="240"/>
      <c r="W1167" s="240"/>
    </row>
    <row r="1168" spans="12:23" ht="15" customHeight="1">
      <c r="L1168" s="240"/>
      <c r="W1168" s="240"/>
    </row>
    <row r="1169" spans="12:23" ht="15" customHeight="1">
      <c r="L1169" s="240"/>
      <c r="W1169" s="240"/>
    </row>
    <row r="1170" spans="12:23" ht="15" customHeight="1">
      <c r="L1170" s="240"/>
      <c r="W1170" s="240"/>
    </row>
    <row r="1171" spans="12:23" ht="15" customHeight="1">
      <c r="L1171" s="240"/>
      <c r="W1171" s="240"/>
    </row>
    <row r="1172" spans="12:23" ht="15" customHeight="1">
      <c r="L1172" s="240"/>
      <c r="W1172" s="240"/>
    </row>
    <row r="1173" spans="12:23" ht="15" customHeight="1">
      <c r="L1173" s="240"/>
      <c r="W1173" s="240"/>
    </row>
    <row r="1174" spans="12:23" ht="15" customHeight="1">
      <c r="L1174" s="240"/>
      <c r="W1174" s="240"/>
    </row>
    <row r="1175" spans="12:23" ht="15" customHeight="1">
      <c r="L1175" s="240"/>
      <c r="W1175" s="240"/>
    </row>
    <row r="1176" spans="12:23" ht="15" customHeight="1">
      <c r="L1176" s="240"/>
      <c r="W1176" s="240"/>
    </row>
    <row r="1177" spans="12:23" ht="15" customHeight="1">
      <c r="L1177" s="240"/>
      <c r="W1177" s="240"/>
    </row>
    <row r="1178" spans="12:23" ht="15" customHeight="1">
      <c r="L1178" s="240"/>
      <c r="W1178" s="240"/>
    </row>
    <row r="1179" spans="12:23" ht="15" customHeight="1">
      <c r="L1179" s="240"/>
      <c r="W1179" s="240"/>
    </row>
    <row r="1180" spans="12:23" ht="15" customHeight="1">
      <c r="L1180" s="240"/>
      <c r="W1180" s="240"/>
    </row>
    <row r="1181" spans="12:23" ht="15" customHeight="1">
      <c r="L1181" s="240"/>
      <c r="W1181" s="240"/>
    </row>
    <row r="1182" spans="12:23" ht="15" customHeight="1">
      <c r="L1182" s="240"/>
      <c r="W1182" s="240"/>
    </row>
    <row r="1183" spans="12:23" ht="15" customHeight="1">
      <c r="L1183" s="240"/>
      <c r="W1183" s="240"/>
    </row>
    <row r="1184" spans="12:23" ht="15" customHeight="1">
      <c r="L1184" s="240"/>
      <c r="W1184" s="240"/>
    </row>
    <row r="1185" spans="12:23" ht="15" customHeight="1">
      <c r="L1185" s="240"/>
      <c r="W1185" s="240"/>
    </row>
    <row r="1186" spans="12:23" ht="15" customHeight="1">
      <c r="L1186" s="240"/>
      <c r="W1186" s="240"/>
    </row>
    <row r="1187" spans="12:23" ht="15" customHeight="1">
      <c r="L1187" s="240"/>
      <c r="W1187" s="240"/>
    </row>
    <row r="1188" spans="12:23" ht="15" customHeight="1">
      <c r="L1188" s="240"/>
      <c r="W1188" s="240"/>
    </row>
    <row r="1189" spans="12:23" ht="15" customHeight="1">
      <c r="L1189" s="240"/>
      <c r="W1189" s="240"/>
    </row>
    <row r="1190" spans="12:23" ht="15" customHeight="1">
      <c r="L1190" s="240"/>
      <c r="W1190" s="240"/>
    </row>
    <row r="1191" spans="12:23" ht="15" customHeight="1">
      <c r="L1191" s="240"/>
      <c r="W1191" s="240"/>
    </row>
    <row r="1192" spans="12:23" ht="15" customHeight="1">
      <c r="L1192" s="240"/>
      <c r="W1192" s="240"/>
    </row>
    <row r="1193" spans="12:23" ht="15" customHeight="1">
      <c r="L1193" s="240"/>
      <c r="W1193" s="240"/>
    </row>
    <row r="1194" spans="12:23" ht="15" customHeight="1">
      <c r="L1194" s="240"/>
      <c r="W1194" s="240"/>
    </row>
    <row r="1195" spans="12:23" ht="15" customHeight="1">
      <c r="L1195" s="240"/>
      <c r="W1195" s="240"/>
    </row>
    <row r="1196" spans="12:23" ht="15" customHeight="1">
      <c r="L1196" s="240"/>
      <c r="W1196" s="240"/>
    </row>
    <row r="1197" spans="12:23" ht="15" customHeight="1">
      <c r="L1197" s="240"/>
      <c r="W1197" s="240"/>
    </row>
    <row r="1198" spans="12:23" ht="15" customHeight="1">
      <c r="L1198" s="240"/>
      <c r="W1198" s="240"/>
    </row>
    <row r="1199" spans="12:23" ht="15" customHeight="1">
      <c r="L1199" s="240"/>
      <c r="W1199" s="240"/>
    </row>
    <row r="1200" spans="12:23" ht="15" customHeight="1">
      <c r="L1200" s="240"/>
      <c r="W1200" s="240"/>
    </row>
    <row r="1201" spans="12:23" ht="15" customHeight="1">
      <c r="L1201" s="240"/>
      <c r="W1201" s="240"/>
    </row>
    <row r="1202" spans="12:23" ht="15" customHeight="1">
      <c r="L1202" s="240"/>
      <c r="W1202" s="240"/>
    </row>
    <row r="1203" spans="12:23" ht="15" customHeight="1">
      <c r="L1203" s="240"/>
      <c r="W1203" s="240"/>
    </row>
    <row r="1204" spans="12:23" ht="15" customHeight="1">
      <c r="L1204" s="240"/>
      <c r="W1204" s="240"/>
    </row>
    <row r="1205" spans="12:23" ht="15" customHeight="1">
      <c r="L1205" s="240"/>
      <c r="W1205" s="240"/>
    </row>
    <row r="1206" spans="12:23" ht="15" customHeight="1">
      <c r="L1206" s="240"/>
      <c r="W1206" s="240"/>
    </row>
    <row r="1207" spans="12:23" ht="15" customHeight="1">
      <c r="L1207" s="240"/>
      <c r="W1207" s="240"/>
    </row>
    <row r="1208" spans="12:23" ht="15" customHeight="1">
      <c r="L1208" s="240"/>
      <c r="W1208" s="240"/>
    </row>
    <row r="1209" spans="12:23" ht="15" customHeight="1">
      <c r="L1209" s="240"/>
      <c r="W1209" s="240"/>
    </row>
    <row r="1210" spans="12:23" ht="15" customHeight="1">
      <c r="L1210" s="240"/>
      <c r="W1210" s="240"/>
    </row>
    <row r="1211" spans="12:23" ht="15" customHeight="1">
      <c r="L1211" s="240"/>
      <c r="W1211" s="240"/>
    </row>
    <row r="1212" spans="12:23" ht="15" customHeight="1">
      <c r="L1212" s="240"/>
      <c r="W1212" s="240"/>
    </row>
    <row r="1213" spans="12:23" ht="15" customHeight="1">
      <c r="L1213" s="240"/>
      <c r="W1213" s="240"/>
    </row>
    <row r="1214" spans="12:23" ht="15" customHeight="1">
      <c r="L1214" s="240"/>
      <c r="W1214" s="240"/>
    </row>
    <row r="1215" spans="12:23" ht="15" customHeight="1">
      <c r="L1215" s="240"/>
      <c r="W1215" s="240"/>
    </row>
    <row r="1216" spans="12:23" ht="15" customHeight="1">
      <c r="L1216" s="240"/>
      <c r="W1216" s="240"/>
    </row>
    <row r="1217" spans="12:23" ht="15" customHeight="1">
      <c r="L1217" s="240"/>
      <c r="W1217" s="240"/>
    </row>
    <row r="1218" spans="12:23" ht="15" customHeight="1">
      <c r="L1218" s="240"/>
      <c r="W1218" s="240"/>
    </row>
    <row r="1219" spans="12:23" ht="15" customHeight="1">
      <c r="L1219" s="240"/>
      <c r="W1219" s="240"/>
    </row>
    <row r="1220" spans="12:23" ht="15" customHeight="1">
      <c r="L1220" s="240"/>
      <c r="W1220" s="240"/>
    </row>
    <row r="1221" spans="12:23" ht="15" customHeight="1">
      <c r="L1221" s="240"/>
      <c r="W1221" s="240"/>
    </row>
    <row r="1222" spans="12:23" ht="15" customHeight="1">
      <c r="L1222" s="240"/>
      <c r="W1222" s="240"/>
    </row>
    <row r="1223" spans="12:23" ht="15" customHeight="1">
      <c r="L1223" s="240"/>
      <c r="W1223" s="240"/>
    </row>
    <row r="1224" spans="12:23" ht="15" customHeight="1">
      <c r="L1224" s="240"/>
      <c r="W1224" s="240"/>
    </row>
    <row r="1225" spans="12:23" ht="15" customHeight="1">
      <c r="L1225" s="240"/>
      <c r="W1225" s="240"/>
    </row>
    <row r="1226" spans="12:23" ht="15" customHeight="1">
      <c r="L1226" s="240"/>
      <c r="W1226" s="240"/>
    </row>
    <row r="1227" spans="12:23" ht="15" customHeight="1">
      <c r="L1227" s="240"/>
      <c r="W1227" s="240"/>
    </row>
    <row r="1228" spans="12:23" ht="15" customHeight="1">
      <c r="L1228" s="240"/>
      <c r="W1228" s="240"/>
    </row>
    <row r="1229" spans="12:23" ht="15" customHeight="1">
      <c r="L1229" s="240"/>
      <c r="W1229" s="240"/>
    </row>
    <row r="1230" spans="12:23" ht="15" customHeight="1">
      <c r="L1230" s="240"/>
      <c r="W1230" s="240"/>
    </row>
    <row r="1231" spans="12:23" ht="15" customHeight="1">
      <c r="L1231" s="240"/>
      <c r="W1231" s="240"/>
    </row>
    <row r="1232" spans="12:23" ht="15" customHeight="1">
      <c r="L1232" s="240"/>
      <c r="W1232" s="240"/>
    </row>
    <row r="1233" spans="12:23" ht="15" customHeight="1">
      <c r="L1233" s="240"/>
      <c r="W1233" s="240"/>
    </row>
    <row r="1234" spans="12:23" ht="15" customHeight="1">
      <c r="L1234" s="240"/>
      <c r="W1234" s="240"/>
    </row>
    <row r="1235" spans="12:23" ht="15" customHeight="1">
      <c r="L1235" s="240"/>
      <c r="W1235" s="240"/>
    </row>
    <row r="1236" spans="12:23" ht="15" customHeight="1">
      <c r="L1236" s="240"/>
      <c r="W1236" s="240"/>
    </row>
    <row r="1237" spans="12:23" ht="15" customHeight="1">
      <c r="L1237" s="240"/>
      <c r="W1237" s="240"/>
    </row>
    <row r="1238" spans="12:23" ht="15" customHeight="1">
      <c r="L1238" s="240"/>
      <c r="W1238" s="240"/>
    </row>
    <row r="1239" spans="12:23" ht="15" customHeight="1">
      <c r="L1239" s="240"/>
      <c r="W1239" s="240"/>
    </row>
    <row r="1240" spans="12:23" ht="15" customHeight="1">
      <c r="L1240" s="240"/>
      <c r="W1240" s="240"/>
    </row>
    <row r="1241" spans="12:23" ht="15" customHeight="1">
      <c r="L1241" s="240"/>
      <c r="W1241" s="240"/>
    </row>
    <row r="1242" spans="12:23" ht="15" customHeight="1">
      <c r="L1242" s="240"/>
      <c r="W1242" s="240"/>
    </row>
    <row r="1243" spans="12:23" ht="15" customHeight="1">
      <c r="L1243" s="240"/>
      <c r="W1243" s="240"/>
    </row>
    <row r="1244" spans="12:23" ht="15" customHeight="1">
      <c r="L1244" s="240"/>
      <c r="W1244" s="240"/>
    </row>
    <row r="1245" spans="12:23" ht="15" customHeight="1">
      <c r="L1245" s="240"/>
      <c r="W1245" s="240"/>
    </row>
    <row r="1246" spans="12:23" ht="15" customHeight="1">
      <c r="L1246" s="240"/>
      <c r="W1246" s="240"/>
    </row>
    <row r="1247" spans="12:23" ht="15" customHeight="1">
      <c r="L1247" s="240"/>
      <c r="W1247" s="240"/>
    </row>
    <row r="1248" spans="12:23" ht="15" customHeight="1">
      <c r="L1248" s="240"/>
      <c r="W1248" s="240"/>
    </row>
    <row r="1249" spans="12:23" ht="15" customHeight="1">
      <c r="L1249" s="240"/>
      <c r="W1249" s="240"/>
    </row>
    <row r="1250" spans="12:23" ht="15" customHeight="1">
      <c r="L1250" s="240"/>
      <c r="W1250" s="240"/>
    </row>
    <row r="1251" spans="12:23" ht="15" customHeight="1">
      <c r="L1251" s="240"/>
      <c r="W1251" s="240"/>
    </row>
    <row r="1252" spans="12:23" ht="15" customHeight="1">
      <c r="L1252" s="240"/>
      <c r="W1252" s="240"/>
    </row>
    <row r="1253" spans="12:23" ht="15" customHeight="1">
      <c r="L1253" s="240"/>
      <c r="W1253" s="240"/>
    </row>
    <row r="1254" spans="12:23" ht="15" customHeight="1">
      <c r="L1254" s="240"/>
      <c r="W1254" s="240"/>
    </row>
    <row r="1255" spans="12:23" ht="15" customHeight="1">
      <c r="L1255" s="240"/>
      <c r="W1255" s="240"/>
    </row>
    <row r="1256" spans="12:23" ht="15" customHeight="1">
      <c r="L1256" s="240"/>
      <c r="W1256" s="240"/>
    </row>
    <row r="1257" spans="12:23" ht="15" customHeight="1">
      <c r="L1257" s="240"/>
      <c r="W1257" s="240"/>
    </row>
    <row r="1258" spans="12:23" ht="15" customHeight="1">
      <c r="L1258" s="240"/>
      <c r="W1258" s="240"/>
    </row>
    <row r="1259" spans="12:23" ht="15" customHeight="1">
      <c r="L1259" s="240"/>
      <c r="W1259" s="240"/>
    </row>
    <row r="1260" spans="12:23" ht="15" customHeight="1">
      <c r="L1260" s="240"/>
      <c r="W1260" s="240"/>
    </row>
    <row r="1261" spans="12:23" ht="15" customHeight="1">
      <c r="L1261" s="240"/>
      <c r="W1261" s="240"/>
    </row>
    <row r="1262" spans="12:23" ht="15" customHeight="1">
      <c r="L1262" s="240"/>
      <c r="W1262" s="240"/>
    </row>
    <row r="1263" spans="12:23" ht="15" customHeight="1">
      <c r="L1263" s="240"/>
      <c r="W1263" s="240"/>
    </row>
    <row r="1264" spans="12:23" ht="15" customHeight="1">
      <c r="L1264" s="240"/>
      <c r="W1264" s="240"/>
    </row>
    <row r="1265" spans="12:23" ht="15" customHeight="1">
      <c r="L1265" s="240"/>
      <c r="W1265" s="240"/>
    </row>
    <row r="1266" spans="12:23" ht="15" customHeight="1">
      <c r="L1266" s="240"/>
      <c r="W1266" s="240"/>
    </row>
    <row r="1267" spans="12:23" ht="15" customHeight="1">
      <c r="L1267" s="240"/>
      <c r="W1267" s="240"/>
    </row>
    <row r="1268" spans="12:23" ht="15" customHeight="1">
      <c r="L1268" s="240"/>
      <c r="W1268" s="240"/>
    </row>
    <row r="1269" spans="12:23" ht="15" customHeight="1">
      <c r="L1269" s="240"/>
      <c r="W1269" s="240"/>
    </row>
    <row r="1270" spans="12:23" ht="15" customHeight="1">
      <c r="L1270" s="240"/>
      <c r="W1270" s="240"/>
    </row>
    <row r="1271" spans="12:23" ht="15" customHeight="1">
      <c r="L1271" s="240"/>
      <c r="W1271" s="240"/>
    </row>
    <row r="1272" spans="12:23" ht="15" customHeight="1">
      <c r="L1272" s="240"/>
      <c r="W1272" s="240"/>
    </row>
    <row r="1273" spans="12:23" ht="15" customHeight="1">
      <c r="L1273" s="240"/>
      <c r="W1273" s="240"/>
    </row>
    <row r="1274" spans="12:23" ht="15" customHeight="1">
      <c r="L1274" s="240"/>
      <c r="W1274" s="240"/>
    </row>
    <row r="1275" spans="12:23" ht="15" customHeight="1">
      <c r="L1275" s="240"/>
      <c r="W1275" s="240"/>
    </row>
    <row r="1276" spans="12:23" ht="15" customHeight="1">
      <c r="L1276" s="240"/>
      <c r="W1276" s="240"/>
    </row>
    <row r="1277" spans="12:23" ht="15" customHeight="1">
      <c r="L1277" s="240"/>
      <c r="W1277" s="240"/>
    </row>
    <row r="1278" spans="12:23" ht="15" customHeight="1">
      <c r="L1278" s="240"/>
      <c r="W1278" s="240"/>
    </row>
    <row r="1279" spans="12:23" ht="15" customHeight="1">
      <c r="L1279" s="240"/>
      <c r="W1279" s="240"/>
    </row>
    <row r="1280" spans="12:23" ht="15" customHeight="1">
      <c r="L1280" s="240"/>
      <c r="W1280" s="240"/>
    </row>
    <row r="1281" spans="12:23" ht="15" customHeight="1">
      <c r="L1281" s="240"/>
      <c r="W1281" s="240"/>
    </row>
    <row r="1282" spans="12:23" ht="15" customHeight="1">
      <c r="L1282" s="240"/>
      <c r="W1282" s="240"/>
    </row>
    <row r="1283" spans="12:23" ht="15" customHeight="1">
      <c r="L1283" s="240"/>
      <c r="W1283" s="240"/>
    </row>
    <row r="1284" spans="12:23" ht="15" customHeight="1">
      <c r="L1284" s="240"/>
      <c r="W1284" s="240"/>
    </row>
    <row r="1285" spans="12:23" ht="15" customHeight="1">
      <c r="L1285" s="240"/>
      <c r="W1285" s="240"/>
    </row>
    <row r="1286" spans="12:23" ht="15" customHeight="1">
      <c r="L1286" s="240"/>
      <c r="W1286" s="240"/>
    </row>
    <row r="1287" spans="12:23" ht="15" customHeight="1">
      <c r="L1287" s="240"/>
      <c r="W1287" s="240"/>
    </row>
    <row r="1288" spans="12:23" ht="15" customHeight="1">
      <c r="L1288" s="240"/>
      <c r="W1288" s="240"/>
    </row>
    <row r="1289" spans="12:23" ht="15" customHeight="1">
      <c r="L1289" s="240"/>
      <c r="W1289" s="240"/>
    </row>
    <row r="1290" spans="12:23" ht="15" customHeight="1">
      <c r="L1290" s="240"/>
      <c r="W1290" s="240"/>
    </row>
    <row r="1291" spans="12:23" ht="15" customHeight="1">
      <c r="L1291" s="240"/>
      <c r="W1291" s="240"/>
    </row>
    <row r="1292" spans="12:23" ht="15" customHeight="1">
      <c r="L1292" s="240"/>
      <c r="W1292" s="240"/>
    </row>
    <row r="1293" spans="12:23" ht="15" customHeight="1">
      <c r="L1293" s="240"/>
      <c r="W1293" s="240"/>
    </row>
    <row r="1294" spans="12:23" ht="15" customHeight="1">
      <c r="L1294" s="240"/>
      <c r="W1294" s="240"/>
    </row>
    <row r="1295" spans="12:23" ht="15" customHeight="1">
      <c r="L1295" s="240"/>
      <c r="W1295" s="240"/>
    </row>
    <row r="1296" spans="12:23" ht="15" customHeight="1">
      <c r="L1296" s="240"/>
      <c r="W1296" s="240"/>
    </row>
    <row r="1297" spans="12:23" ht="15" customHeight="1">
      <c r="L1297" s="240"/>
      <c r="W1297" s="240"/>
    </row>
    <row r="1298" spans="12:23" ht="15" customHeight="1">
      <c r="L1298" s="240"/>
      <c r="W1298" s="240"/>
    </row>
    <row r="1299" spans="12:23" ht="15" customHeight="1">
      <c r="L1299" s="240"/>
      <c r="W1299" s="240"/>
    </row>
    <row r="1300" spans="12:23" ht="15" customHeight="1">
      <c r="L1300" s="240"/>
      <c r="W1300" s="240"/>
    </row>
    <row r="1301" spans="12:23" ht="15" customHeight="1">
      <c r="L1301" s="240"/>
      <c r="W1301" s="240"/>
    </row>
    <row r="1302" spans="12:23" ht="15" customHeight="1">
      <c r="L1302" s="240"/>
      <c r="W1302" s="240"/>
    </row>
    <row r="1303" spans="12:23" ht="15" customHeight="1">
      <c r="L1303" s="240"/>
      <c r="W1303" s="240"/>
    </row>
    <row r="1304" spans="12:23" ht="15" customHeight="1">
      <c r="L1304" s="240"/>
      <c r="W1304" s="240"/>
    </row>
    <row r="1305" spans="12:23" ht="15" customHeight="1">
      <c r="L1305" s="240"/>
      <c r="W1305" s="240"/>
    </row>
    <row r="1306" spans="12:23" ht="15" customHeight="1">
      <c r="L1306" s="240"/>
      <c r="W1306" s="240"/>
    </row>
    <row r="1307" spans="12:23" ht="15" customHeight="1">
      <c r="L1307" s="240"/>
      <c r="W1307" s="240"/>
    </row>
    <row r="1308" spans="12:23" ht="15" customHeight="1">
      <c r="L1308" s="240"/>
      <c r="W1308" s="240"/>
    </row>
    <row r="1309" spans="12:23" ht="15" customHeight="1">
      <c r="L1309" s="240"/>
      <c r="W1309" s="240"/>
    </row>
    <row r="1310" spans="12:23" ht="15" customHeight="1">
      <c r="L1310" s="240"/>
      <c r="W1310" s="240"/>
    </row>
    <row r="1311" spans="12:23" ht="15" customHeight="1">
      <c r="L1311" s="240"/>
      <c r="W1311" s="240"/>
    </row>
    <row r="1312" spans="12:23" ht="15" customHeight="1">
      <c r="L1312" s="240"/>
      <c r="W1312" s="240"/>
    </row>
    <row r="1313" spans="12:23" ht="15" customHeight="1">
      <c r="L1313" s="240"/>
      <c r="W1313" s="240"/>
    </row>
    <row r="1314" spans="12:23" ht="15" customHeight="1">
      <c r="L1314" s="240"/>
      <c r="W1314" s="240"/>
    </row>
    <row r="1315" spans="12:23" ht="15" customHeight="1">
      <c r="L1315" s="240"/>
      <c r="W1315" s="240"/>
    </row>
    <row r="1316" spans="12:23" ht="15" customHeight="1">
      <c r="L1316" s="240"/>
      <c r="W1316" s="240"/>
    </row>
    <row r="1317" spans="12:23" ht="15" customHeight="1">
      <c r="L1317" s="240"/>
      <c r="W1317" s="240"/>
    </row>
    <row r="1318" spans="12:23" ht="15" customHeight="1">
      <c r="L1318" s="240"/>
      <c r="W1318" s="240"/>
    </row>
    <row r="1319" spans="12:23" ht="15" customHeight="1">
      <c r="L1319" s="240"/>
      <c r="W1319" s="240"/>
    </row>
    <row r="1320" spans="12:23" ht="15" customHeight="1">
      <c r="L1320" s="240"/>
      <c r="W1320" s="240"/>
    </row>
    <row r="1321" spans="12:23" ht="15" customHeight="1">
      <c r="L1321" s="240"/>
      <c r="W1321" s="240"/>
    </row>
    <row r="1322" spans="12:23" ht="15" customHeight="1">
      <c r="L1322" s="240"/>
      <c r="W1322" s="240"/>
    </row>
    <row r="1323" spans="12:23" ht="15" customHeight="1">
      <c r="L1323" s="240"/>
      <c r="W1323" s="240"/>
    </row>
    <row r="1324" spans="12:23" ht="15" customHeight="1">
      <c r="L1324" s="240"/>
      <c r="W1324" s="240"/>
    </row>
    <row r="1325" spans="12:23" ht="15" customHeight="1">
      <c r="L1325" s="240"/>
      <c r="W1325" s="240"/>
    </row>
    <row r="1326" spans="12:23" ht="15" customHeight="1">
      <c r="L1326" s="240"/>
      <c r="W1326" s="240"/>
    </row>
    <row r="1327" spans="12:23" ht="15" customHeight="1">
      <c r="L1327" s="240"/>
      <c r="W1327" s="240"/>
    </row>
    <row r="1328" spans="12:23" ht="15" customHeight="1">
      <c r="L1328" s="240"/>
      <c r="W1328" s="240"/>
    </row>
    <row r="1329" spans="12:23" ht="15" customHeight="1">
      <c r="L1329" s="240"/>
      <c r="W1329" s="240"/>
    </row>
    <row r="1330" spans="12:23" ht="15" customHeight="1">
      <c r="L1330" s="240"/>
      <c r="W1330" s="240"/>
    </row>
    <row r="1331" spans="12:23" ht="15" customHeight="1">
      <c r="L1331" s="240"/>
      <c r="W1331" s="240"/>
    </row>
    <row r="1332" spans="12:23" ht="15" customHeight="1">
      <c r="L1332" s="240"/>
      <c r="W1332" s="240"/>
    </row>
    <row r="1333" spans="12:23" ht="15" customHeight="1">
      <c r="L1333" s="240"/>
      <c r="W1333" s="240"/>
    </row>
    <row r="1334" spans="12:23" ht="15" customHeight="1">
      <c r="L1334" s="240"/>
      <c r="W1334" s="240"/>
    </row>
    <row r="1335" spans="12:23" ht="15" customHeight="1">
      <c r="L1335" s="240"/>
      <c r="W1335" s="240"/>
    </row>
    <row r="1336" spans="12:23" ht="15" customHeight="1">
      <c r="L1336" s="240"/>
      <c r="W1336" s="240"/>
    </row>
    <row r="1337" spans="12:23" ht="15" customHeight="1">
      <c r="L1337" s="240"/>
      <c r="W1337" s="240"/>
    </row>
    <row r="1338" spans="12:23" ht="15" customHeight="1">
      <c r="L1338" s="240"/>
      <c r="W1338" s="240"/>
    </row>
    <row r="1339" spans="12:23" ht="15" customHeight="1">
      <c r="L1339" s="240"/>
      <c r="W1339" s="240"/>
    </row>
    <row r="1340" spans="12:23" ht="15" customHeight="1">
      <c r="L1340" s="240"/>
      <c r="W1340" s="240"/>
    </row>
    <row r="1341" spans="12:23" ht="15" customHeight="1">
      <c r="L1341" s="240"/>
      <c r="W1341" s="240"/>
    </row>
    <row r="1342" spans="12:23" ht="15" customHeight="1">
      <c r="L1342" s="240"/>
      <c r="W1342" s="240"/>
    </row>
    <row r="1343" spans="12:23" ht="15" customHeight="1">
      <c r="L1343" s="240"/>
      <c r="W1343" s="240"/>
    </row>
    <row r="1344" spans="12:23" ht="15" customHeight="1">
      <c r="L1344" s="240"/>
      <c r="W1344" s="240"/>
    </row>
    <row r="1345" spans="12:23" ht="15" customHeight="1">
      <c r="L1345" s="240"/>
      <c r="W1345" s="240"/>
    </row>
    <row r="1346" spans="12:23" ht="15" customHeight="1">
      <c r="L1346" s="240"/>
      <c r="W1346" s="240"/>
    </row>
    <row r="1347" spans="12:23" ht="15" customHeight="1">
      <c r="L1347" s="240"/>
      <c r="W1347" s="240"/>
    </row>
    <row r="1348" spans="12:23" ht="15" customHeight="1">
      <c r="L1348" s="240"/>
      <c r="W1348" s="240"/>
    </row>
    <row r="1349" spans="12:23" ht="15" customHeight="1">
      <c r="L1349" s="240"/>
      <c r="W1349" s="240"/>
    </row>
    <row r="1350" spans="12:23" ht="15" customHeight="1">
      <c r="L1350" s="240"/>
      <c r="W1350" s="240"/>
    </row>
    <row r="1351" spans="12:23" ht="15" customHeight="1">
      <c r="L1351" s="240"/>
      <c r="W1351" s="240"/>
    </row>
    <row r="1352" spans="12:23" ht="15" customHeight="1">
      <c r="L1352" s="240"/>
      <c r="W1352" s="240"/>
    </row>
    <row r="1353" spans="12:23" ht="15" customHeight="1">
      <c r="L1353" s="240"/>
      <c r="W1353" s="240"/>
    </row>
    <row r="1354" spans="12:23" ht="15" customHeight="1">
      <c r="L1354" s="240"/>
      <c r="W1354" s="240"/>
    </row>
    <row r="1355" spans="12:23" ht="15" customHeight="1">
      <c r="L1355" s="240"/>
      <c r="W1355" s="240"/>
    </row>
    <row r="1356" spans="12:23" ht="15" customHeight="1">
      <c r="L1356" s="240"/>
      <c r="W1356" s="240"/>
    </row>
    <row r="1357" spans="12:23" ht="15" customHeight="1">
      <c r="L1357" s="240"/>
      <c r="W1357" s="240"/>
    </row>
    <row r="1358" spans="12:23" ht="15" customHeight="1">
      <c r="L1358" s="240"/>
      <c r="W1358" s="240"/>
    </row>
    <row r="1359" spans="12:23" ht="15" customHeight="1">
      <c r="L1359" s="240"/>
      <c r="W1359" s="240"/>
    </row>
    <row r="1360" spans="12:23" ht="15" customHeight="1">
      <c r="L1360" s="240"/>
      <c r="W1360" s="240"/>
    </row>
    <row r="1361" spans="12:23" ht="15" customHeight="1">
      <c r="L1361" s="240"/>
      <c r="W1361" s="240"/>
    </row>
    <row r="1362" spans="12:23" ht="15" customHeight="1">
      <c r="L1362" s="240"/>
      <c r="W1362" s="240"/>
    </row>
    <row r="1363" spans="12:23" ht="15" customHeight="1">
      <c r="L1363" s="240"/>
      <c r="W1363" s="240"/>
    </row>
    <row r="1364" spans="12:23" ht="15" customHeight="1">
      <c r="L1364" s="240"/>
      <c r="W1364" s="240"/>
    </row>
    <row r="1365" spans="12:23" ht="15" customHeight="1">
      <c r="L1365" s="240"/>
      <c r="W1365" s="240"/>
    </row>
    <row r="1366" spans="12:23" ht="15" customHeight="1">
      <c r="L1366" s="240"/>
      <c r="W1366" s="240"/>
    </row>
    <row r="1367" spans="12:23" ht="15" customHeight="1">
      <c r="L1367" s="240"/>
      <c r="W1367" s="240"/>
    </row>
    <row r="1368" spans="12:23" ht="15" customHeight="1">
      <c r="L1368" s="240"/>
      <c r="W1368" s="240"/>
    </row>
    <row r="1369" spans="12:23" ht="15" customHeight="1">
      <c r="L1369" s="240"/>
      <c r="W1369" s="240"/>
    </row>
    <row r="1370" spans="12:23" ht="15" customHeight="1">
      <c r="L1370" s="240"/>
      <c r="W1370" s="240"/>
    </row>
    <row r="1371" spans="12:23" ht="15" customHeight="1">
      <c r="L1371" s="240"/>
      <c r="W1371" s="240"/>
    </row>
    <row r="1372" spans="12:23" ht="15" customHeight="1">
      <c r="L1372" s="240"/>
      <c r="W1372" s="240"/>
    </row>
    <row r="1373" spans="12:23" ht="15" customHeight="1">
      <c r="L1373" s="240"/>
      <c r="W1373" s="240"/>
    </row>
    <row r="1374" spans="12:23" ht="15" customHeight="1">
      <c r="L1374" s="240"/>
      <c r="W1374" s="240"/>
    </row>
    <row r="1375" spans="12:23" ht="15" customHeight="1">
      <c r="L1375" s="240"/>
      <c r="W1375" s="240"/>
    </row>
    <row r="1376" spans="12:23" ht="15" customHeight="1">
      <c r="L1376" s="240"/>
      <c r="W1376" s="240"/>
    </row>
    <row r="1377" spans="12:23" ht="15" customHeight="1">
      <c r="L1377" s="240"/>
      <c r="W1377" s="240"/>
    </row>
    <row r="1378" spans="12:23" ht="15" customHeight="1">
      <c r="L1378" s="240"/>
      <c r="W1378" s="240"/>
    </row>
    <row r="1379" spans="12:23" ht="15" customHeight="1">
      <c r="L1379" s="240"/>
      <c r="W1379" s="240"/>
    </row>
    <row r="1380" spans="12:23" ht="15" customHeight="1">
      <c r="L1380" s="240"/>
      <c r="W1380" s="240"/>
    </row>
    <row r="1381" spans="12:23" ht="15" customHeight="1">
      <c r="L1381" s="240"/>
      <c r="W1381" s="240"/>
    </row>
    <row r="1382" spans="12:23" ht="15" customHeight="1">
      <c r="L1382" s="240"/>
      <c r="W1382" s="240"/>
    </row>
    <row r="1383" spans="12:23" ht="15" customHeight="1">
      <c r="L1383" s="240"/>
      <c r="W1383" s="240"/>
    </row>
    <row r="1384" spans="12:23" ht="15" customHeight="1">
      <c r="L1384" s="240"/>
      <c r="W1384" s="240"/>
    </row>
    <row r="1385" spans="12:23" ht="15" customHeight="1">
      <c r="L1385" s="240"/>
      <c r="W1385" s="240"/>
    </row>
    <row r="1386" spans="12:23" ht="15" customHeight="1">
      <c r="L1386" s="240"/>
      <c r="W1386" s="240"/>
    </row>
    <row r="1387" spans="12:23" ht="15" customHeight="1">
      <c r="L1387" s="240"/>
      <c r="W1387" s="240"/>
    </row>
    <row r="1388" spans="12:23" ht="15" customHeight="1">
      <c r="L1388" s="240"/>
      <c r="W1388" s="240"/>
    </row>
    <row r="1389" spans="12:23" ht="15" customHeight="1">
      <c r="L1389" s="240"/>
      <c r="W1389" s="240"/>
    </row>
    <row r="1390" spans="12:23" ht="15" customHeight="1">
      <c r="L1390" s="240"/>
      <c r="W1390" s="240"/>
    </row>
    <row r="1391" spans="12:23" ht="15" customHeight="1">
      <c r="L1391" s="240"/>
      <c r="W1391" s="240"/>
    </row>
    <row r="1392" spans="12:23" ht="15" customHeight="1">
      <c r="L1392" s="240"/>
      <c r="W1392" s="240"/>
    </row>
    <row r="1393" spans="12:23" ht="15" customHeight="1">
      <c r="L1393" s="240"/>
      <c r="W1393" s="240"/>
    </row>
    <row r="1394" spans="12:23" ht="15" customHeight="1">
      <c r="L1394" s="240"/>
      <c r="W1394" s="240"/>
    </row>
    <row r="1395" spans="12:23" ht="15" customHeight="1">
      <c r="L1395" s="240"/>
      <c r="W1395" s="240"/>
    </row>
    <row r="1396" spans="12:23" ht="15" customHeight="1">
      <c r="L1396" s="240"/>
      <c r="W1396" s="240"/>
    </row>
    <row r="1397" spans="12:23" ht="15" customHeight="1">
      <c r="L1397" s="240"/>
      <c r="W1397" s="240"/>
    </row>
    <row r="1398" spans="12:23" ht="15" customHeight="1">
      <c r="L1398" s="240"/>
      <c r="W1398" s="240"/>
    </row>
    <row r="1399" spans="12:23" ht="15" customHeight="1">
      <c r="L1399" s="240"/>
      <c r="W1399" s="240"/>
    </row>
    <row r="1400" spans="12:23" ht="15" customHeight="1">
      <c r="L1400" s="240"/>
      <c r="W1400" s="240"/>
    </row>
    <row r="1401" spans="12:23" ht="15" customHeight="1">
      <c r="L1401" s="240"/>
      <c r="W1401" s="240"/>
    </row>
    <row r="1402" spans="12:23" ht="15" customHeight="1">
      <c r="L1402" s="240"/>
      <c r="W1402" s="240"/>
    </row>
    <row r="1403" spans="12:23" ht="15" customHeight="1">
      <c r="L1403" s="240"/>
      <c r="W1403" s="240"/>
    </row>
    <row r="1404" spans="12:23" ht="15" customHeight="1">
      <c r="L1404" s="240"/>
      <c r="W1404" s="240"/>
    </row>
    <row r="1405" spans="12:23" ht="15" customHeight="1">
      <c r="L1405" s="240"/>
      <c r="W1405" s="240"/>
    </row>
    <row r="1406" spans="12:23" ht="15" customHeight="1">
      <c r="L1406" s="240"/>
      <c r="W1406" s="240"/>
    </row>
    <row r="1407" spans="12:23" ht="15" customHeight="1">
      <c r="L1407" s="240"/>
      <c r="W1407" s="240"/>
    </row>
    <row r="1408" spans="12:23" ht="15" customHeight="1">
      <c r="L1408" s="240"/>
      <c r="W1408" s="240"/>
    </row>
    <row r="1409" spans="12:23" ht="15" customHeight="1">
      <c r="L1409" s="240"/>
      <c r="W1409" s="240"/>
    </row>
    <row r="1410" spans="12:23" ht="15" customHeight="1">
      <c r="L1410" s="240"/>
      <c r="W1410" s="240"/>
    </row>
    <row r="1411" spans="12:23" ht="15" customHeight="1">
      <c r="L1411" s="240"/>
      <c r="W1411" s="240"/>
    </row>
    <row r="1412" spans="12:23" ht="15" customHeight="1">
      <c r="L1412" s="240"/>
      <c r="W1412" s="240"/>
    </row>
    <row r="1413" spans="12:23" ht="15" customHeight="1">
      <c r="L1413" s="240"/>
      <c r="W1413" s="240"/>
    </row>
    <row r="1414" spans="12:23" ht="15" customHeight="1">
      <c r="L1414" s="240"/>
      <c r="W1414" s="240"/>
    </row>
    <row r="1415" spans="12:23" ht="15" customHeight="1">
      <c r="L1415" s="240"/>
      <c r="W1415" s="240"/>
    </row>
    <row r="1416" spans="12:23" ht="15" customHeight="1">
      <c r="L1416" s="240"/>
      <c r="W1416" s="240"/>
    </row>
    <row r="1417" spans="12:23" ht="15" customHeight="1">
      <c r="L1417" s="240"/>
      <c r="W1417" s="240"/>
    </row>
    <row r="1418" spans="12:23" ht="15" customHeight="1">
      <c r="L1418" s="240"/>
      <c r="W1418" s="240"/>
    </row>
    <row r="1419" spans="12:23" ht="15" customHeight="1">
      <c r="L1419" s="240"/>
      <c r="W1419" s="240"/>
    </row>
    <row r="1420" spans="12:23" ht="15" customHeight="1">
      <c r="L1420" s="240"/>
      <c r="W1420" s="240"/>
    </row>
    <row r="1421" spans="12:23" ht="15" customHeight="1">
      <c r="L1421" s="240"/>
      <c r="W1421" s="240"/>
    </row>
    <row r="1422" spans="12:23" ht="15" customHeight="1">
      <c r="L1422" s="240"/>
      <c r="W1422" s="240"/>
    </row>
    <row r="1423" spans="12:23" ht="15" customHeight="1">
      <c r="L1423" s="240"/>
      <c r="W1423" s="240"/>
    </row>
    <row r="1424" spans="12:23" ht="15" customHeight="1">
      <c r="L1424" s="240"/>
      <c r="W1424" s="240"/>
    </row>
    <row r="1425" spans="12:23" ht="15" customHeight="1">
      <c r="L1425" s="240"/>
      <c r="W1425" s="240"/>
    </row>
    <row r="1426" spans="12:23" ht="15" customHeight="1">
      <c r="L1426" s="240"/>
      <c r="W1426" s="240"/>
    </row>
    <row r="1427" spans="12:23" ht="15" customHeight="1">
      <c r="L1427" s="240"/>
      <c r="W1427" s="240"/>
    </row>
    <row r="1428" spans="12:23" ht="15" customHeight="1">
      <c r="L1428" s="240"/>
      <c r="W1428" s="240"/>
    </row>
    <row r="1429" spans="12:23" ht="15" customHeight="1">
      <c r="L1429" s="240"/>
      <c r="W1429" s="240"/>
    </row>
    <row r="1430" spans="12:23" ht="15" customHeight="1">
      <c r="L1430" s="240"/>
      <c r="W1430" s="240"/>
    </row>
    <row r="1431" spans="12:23" ht="15" customHeight="1">
      <c r="L1431" s="240"/>
      <c r="W1431" s="240"/>
    </row>
    <row r="1432" spans="12:23" ht="15" customHeight="1">
      <c r="L1432" s="240"/>
      <c r="W1432" s="240"/>
    </row>
    <row r="1433" spans="12:23" ht="15" customHeight="1">
      <c r="L1433" s="240"/>
      <c r="W1433" s="240"/>
    </row>
    <row r="1434" spans="12:23" ht="15" customHeight="1">
      <c r="L1434" s="240"/>
      <c r="W1434" s="240"/>
    </row>
    <row r="1435" spans="12:23" ht="15" customHeight="1">
      <c r="L1435" s="240"/>
      <c r="W1435" s="240"/>
    </row>
    <row r="1436" spans="12:23" ht="15" customHeight="1">
      <c r="L1436" s="240"/>
      <c r="W1436" s="240"/>
    </row>
    <row r="1437" spans="12:23" ht="15" customHeight="1">
      <c r="L1437" s="240"/>
      <c r="W1437" s="240"/>
    </row>
    <row r="1438" spans="12:23" ht="15" customHeight="1">
      <c r="L1438" s="240"/>
      <c r="W1438" s="240"/>
    </row>
    <row r="1439" spans="12:23" ht="15" customHeight="1">
      <c r="L1439" s="240"/>
      <c r="W1439" s="240"/>
    </row>
    <row r="1440" spans="12:23" ht="15" customHeight="1">
      <c r="L1440" s="240"/>
      <c r="W1440" s="240"/>
    </row>
    <row r="1441" spans="12:23" ht="15" customHeight="1">
      <c r="L1441" s="240"/>
      <c r="W1441" s="240"/>
    </row>
    <row r="1442" spans="12:23" ht="15" customHeight="1">
      <c r="L1442" s="240"/>
      <c r="W1442" s="240"/>
    </row>
    <row r="1443" spans="12:23" ht="15" customHeight="1">
      <c r="L1443" s="240"/>
      <c r="W1443" s="240"/>
    </row>
    <row r="1444" spans="12:23" ht="15" customHeight="1">
      <c r="L1444" s="240"/>
      <c r="W1444" s="240"/>
    </row>
    <row r="1445" spans="12:23" ht="15" customHeight="1">
      <c r="L1445" s="240"/>
      <c r="W1445" s="240"/>
    </row>
    <row r="1446" spans="12:23" ht="15" customHeight="1">
      <c r="L1446" s="240"/>
      <c r="W1446" s="240"/>
    </row>
    <row r="1447" spans="12:23" ht="15" customHeight="1">
      <c r="L1447" s="240"/>
      <c r="W1447" s="240"/>
    </row>
    <row r="1448" spans="12:23" ht="15" customHeight="1">
      <c r="L1448" s="240"/>
      <c r="W1448" s="240"/>
    </row>
    <row r="1449" spans="12:23" ht="15" customHeight="1">
      <c r="L1449" s="240"/>
      <c r="W1449" s="240"/>
    </row>
    <row r="1450" spans="12:23" ht="15" customHeight="1">
      <c r="L1450" s="240"/>
      <c r="W1450" s="240"/>
    </row>
    <row r="1451" spans="12:23" ht="15" customHeight="1">
      <c r="L1451" s="240"/>
      <c r="W1451" s="240"/>
    </row>
    <row r="1452" spans="12:23" ht="15" customHeight="1">
      <c r="L1452" s="240"/>
      <c r="W1452" s="240"/>
    </row>
    <row r="1453" spans="12:23" ht="15" customHeight="1">
      <c r="L1453" s="240"/>
      <c r="W1453" s="240"/>
    </row>
    <row r="1454" spans="12:23" ht="15" customHeight="1">
      <c r="L1454" s="240"/>
      <c r="W1454" s="240"/>
    </row>
    <row r="1455" spans="12:23" ht="15" customHeight="1">
      <c r="L1455" s="240"/>
      <c r="W1455" s="240"/>
    </row>
    <row r="1456" spans="12:23" ht="15" customHeight="1">
      <c r="L1456" s="240"/>
      <c r="W1456" s="240"/>
    </row>
    <row r="1457" spans="12:23" ht="15" customHeight="1">
      <c r="L1457" s="240"/>
      <c r="W1457" s="240"/>
    </row>
    <row r="1458" spans="12:23" ht="15" customHeight="1">
      <c r="L1458" s="240"/>
      <c r="W1458" s="240"/>
    </row>
    <row r="1459" spans="12:23" ht="15" customHeight="1">
      <c r="L1459" s="240"/>
      <c r="W1459" s="240"/>
    </row>
    <row r="1460" spans="12:23" ht="15" customHeight="1">
      <c r="L1460" s="240"/>
      <c r="W1460" s="240"/>
    </row>
    <row r="1461" spans="12:23" ht="15" customHeight="1">
      <c r="L1461" s="240"/>
      <c r="W1461" s="240"/>
    </row>
    <row r="1462" spans="12:23" ht="15" customHeight="1">
      <c r="L1462" s="240"/>
      <c r="W1462" s="240"/>
    </row>
    <row r="1463" spans="12:23" ht="15" customHeight="1">
      <c r="L1463" s="240"/>
      <c r="W1463" s="240"/>
    </row>
    <row r="1464" spans="12:23" ht="15" customHeight="1">
      <c r="L1464" s="240"/>
      <c r="W1464" s="240"/>
    </row>
    <row r="1465" spans="12:23" ht="15" customHeight="1">
      <c r="L1465" s="240"/>
      <c r="W1465" s="240"/>
    </row>
    <row r="1466" spans="12:23" ht="15" customHeight="1">
      <c r="L1466" s="240"/>
      <c r="W1466" s="240"/>
    </row>
    <row r="1467" spans="12:23" ht="15" customHeight="1">
      <c r="L1467" s="240"/>
      <c r="W1467" s="240"/>
    </row>
    <row r="1468" spans="12:23" ht="15" customHeight="1">
      <c r="L1468" s="240"/>
      <c r="W1468" s="240"/>
    </row>
    <row r="1469" spans="12:23" ht="15" customHeight="1">
      <c r="L1469" s="240"/>
      <c r="W1469" s="240"/>
    </row>
    <row r="1470" spans="12:23" ht="15" customHeight="1">
      <c r="L1470" s="240"/>
    </row>
    <row r="1471" spans="12:23" ht="15" customHeight="1">
      <c r="L1471" s="240"/>
    </row>
    <row r="1472" spans="12:23" ht="15" customHeight="1">
      <c r="L1472" s="240"/>
    </row>
    <row r="1473" spans="12:12" ht="15" customHeight="1">
      <c r="L1473" s="240"/>
    </row>
    <row r="1474" spans="12:12" ht="15" customHeight="1">
      <c r="L1474" s="240"/>
    </row>
    <row r="1475" spans="12:12" ht="15" customHeight="1">
      <c r="L1475" s="240"/>
    </row>
    <row r="1476" spans="12:12" ht="15" customHeight="1">
      <c r="L1476" s="240"/>
    </row>
    <row r="1477" spans="12:12" ht="15" customHeight="1">
      <c r="L1477" s="240"/>
    </row>
    <row r="1478" spans="12:12" ht="15" customHeight="1">
      <c r="L1478" s="240"/>
    </row>
    <row r="1479" spans="12:12" ht="15" customHeight="1">
      <c r="L1479" s="240"/>
    </row>
    <row r="1480" spans="12:12" ht="15" customHeight="1">
      <c r="L1480" s="240"/>
    </row>
    <row r="1481" spans="12:12" ht="15" customHeight="1">
      <c r="L1481" s="240"/>
    </row>
    <row r="1482" spans="12:12" ht="15" customHeight="1">
      <c r="L1482" s="240"/>
    </row>
    <row r="1483" spans="12:12" ht="15" customHeight="1">
      <c r="L1483" s="240"/>
    </row>
    <row r="1484" spans="12:12" ht="15" customHeight="1">
      <c r="L1484" s="240"/>
    </row>
    <row r="1485" spans="12:12" ht="15" customHeight="1">
      <c r="L1485" s="240"/>
    </row>
    <row r="1486" spans="12:12" ht="15" customHeight="1">
      <c r="L1486" s="240"/>
    </row>
    <row r="1487" spans="12:12" ht="15" customHeight="1">
      <c r="L1487" s="240"/>
    </row>
    <row r="1488" spans="12:12" ht="15" customHeight="1">
      <c r="L1488" s="240"/>
    </row>
    <row r="1489" spans="12:12" ht="15" customHeight="1">
      <c r="L1489" s="240"/>
    </row>
    <row r="1490" spans="12:12" ht="15" customHeight="1">
      <c r="L1490" s="240"/>
    </row>
    <row r="1491" spans="12:12" ht="15" customHeight="1">
      <c r="L1491" s="240"/>
    </row>
    <row r="1492" spans="12:12" ht="15" customHeight="1">
      <c r="L1492" s="240"/>
    </row>
    <row r="1493" spans="12:12" ht="15" customHeight="1">
      <c r="L1493" s="240"/>
    </row>
    <row r="1494" spans="12:12" ht="15" customHeight="1">
      <c r="L1494" s="240"/>
    </row>
    <row r="1495" spans="12:12" ht="15" customHeight="1">
      <c r="L1495" s="240"/>
    </row>
    <row r="1496" spans="12:12" ht="15" customHeight="1">
      <c r="L1496" s="240"/>
    </row>
    <row r="1497" spans="12:12" ht="15" customHeight="1">
      <c r="L1497" s="240"/>
    </row>
    <row r="1498" spans="12:12" ht="15" customHeight="1">
      <c r="L1498" s="240"/>
    </row>
    <row r="1499" spans="12:12" ht="15" customHeight="1">
      <c r="L1499" s="240"/>
    </row>
    <row r="1500" spans="12:12" ht="15" customHeight="1">
      <c r="L1500" s="240"/>
    </row>
    <row r="1501" spans="12:12" ht="15" customHeight="1">
      <c r="L1501" s="240"/>
    </row>
    <row r="1502" spans="12:12" ht="15" customHeight="1">
      <c r="L1502" s="240"/>
    </row>
    <row r="1503" spans="12:12" ht="15" customHeight="1">
      <c r="L1503" s="240"/>
    </row>
    <row r="1504" spans="12:12" ht="15" customHeight="1">
      <c r="L1504" s="240"/>
    </row>
    <row r="1505" spans="12:12" ht="15" customHeight="1">
      <c r="L1505" s="240"/>
    </row>
    <row r="1506" spans="12:12" ht="15" customHeight="1">
      <c r="L1506" s="240"/>
    </row>
    <row r="1507" spans="12:12" ht="15" customHeight="1">
      <c r="L1507" s="240"/>
    </row>
    <row r="1508" spans="12:12" ht="15" customHeight="1">
      <c r="L1508" s="240"/>
    </row>
    <row r="1509" spans="12:12" ht="15" customHeight="1">
      <c r="L1509" s="240"/>
    </row>
    <row r="1510" spans="12:12" ht="15" customHeight="1">
      <c r="L1510" s="240"/>
    </row>
    <row r="1511" spans="12:12" ht="15" customHeight="1">
      <c r="L1511" s="240"/>
    </row>
    <row r="1512" spans="12:12" ht="15" customHeight="1">
      <c r="L1512" s="240"/>
    </row>
    <row r="1513" spans="12:12" ht="15" customHeight="1">
      <c r="L1513" s="240"/>
    </row>
    <row r="1514" spans="12:12" ht="15" customHeight="1">
      <c r="L1514" s="240"/>
    </row>
    <row r="1515" spans="12:12" ht="15" customHeight="1">
      <c r="L1515" s="240"/>
    </row>
    <row r="1516" spans="12:12" ht="15" customHeight="1">
      <c r="L1516" s="240"/>
    </row>
    <row r="1517" spans="12:12" ht="15" customHeight="1">
      <c r="L1517" s="240"/>
    </row>
    <row r="1518" spans="12:12" ht="15" customHeight="1">
      <c r="L1518" s="240"/>
    </row>
    <row r="1519" spans="12:12" ht="15" customHeight="1">
      <c r="L1519" s="240"/>
    </row>
    <row r="1520" spans="12:12" ht="15" customHeight="1">
      <c r="L1520" s="240"/>
    </row>
    <row r="1521" spans="12:12" ht="15" customHeight="1">
      <c r="L1521" s="240"/>
    </row>
    <row r="1522" spans="12:12" ht="15" customHeight="1">
      <c r="L1522" s="240"/>
    </row>
    <row r="1523" spans="12:12" ht="15" customHeight="1">
      <c r="L1523" s="240"/>
    </row>
    <row r="1524" spans="12:12" ht="15" customHeight="1">
      <c r="L1524" s="240"/>
    </row>
    <row r="1525" spans="12:12" ht="15" customHeight="1">
      <c r="L1525" s="240"/>
    </row>
    <row r="1526" spans="12:12" ht="15" customHeight="1">
      <c r="L1526" s="240"/>
    </row>
    <row r="1527" spans="12:12" ht="15" customHeight="1">
      <c r="L1527" s="240"/>
    </row>
    <row r="1528" spans="12:12" ht="15" customHeight="1">
      <c r="L1528" s="240"/>
    </row>
    <row r="1529" spans="12:12" ht="15" customHeight="1">
      <c r="L1529" s="240"/>
    </row>
    <row r="1530" spans="12:12" ht="15" customHeight="1">
      <c r="L1530" s="240"/>
    </row>
    <row r="1531" spans="12:12" ht="15" customHeight="1">
      <c r="L1531" s="240"/>
    </row>
    <row r="1532" spans="12:12" ht="15" customHeight="1">
      <c r="L1532" s="240"/>
    </row>
    <row r="1533" spans="12:12" ht="15" customHeight="1">
      <c r="L1533" s="240"/>
    </row>
    <row r="1534" spans="12:12" ht="15" customHeight="1">
      <c r="L1534" s="240"/>
    </row>
    <row r="1535" spans="12:12" ht="15" customHeight="1">
      <c r="L1535" s="240"/>
    </row>
    <row r="1536" spans="12:12" ht="15" customHeight="1">
      <c r="L1536" s="240"/>
    </row>
    <row r="1537" spans="12:12" ht="15" customHeight="1">
      <c r="L1537" s="240"/>
    </row>
    <row r="1538" spans="12:12" ht="15" customHeight="1">
      <c r="L1538" s="240"/>
    </row>
    <row r="1539" spans="12:12" ht="15" customHeight="1">
      <c r="L1539" s="240"/>
    </row>
    <row r="1540" spans="12:12" ht="15" customHeight="1">
      <c r="L1540" s="240"/>
    </row>
    <row r="1541" spans="12:12" ht="15" customHeight="1">
      <c r="L1541" s="240"/>
    </row>
    <row r="1542" spans="12:12" ht="15" customHeight="1">
      <c r="L1542" s="240"/>
    </row>
    <row r="1543" spans="12:12" ht="15" customHeight="1">
      <c r="L1543" s="240"/>
    </row>
    <row r="1544" spans="12:12" ht="15" customHeight="1">
      <c r="L1544" s="240"/>
    </row>
    <row r="1545" spans="12:12" ht="15" customHeight="1">
      <c r="L1545" s="240"/>
    </row>
    <row r="1546" spans="12:12" ht="15" customHeight="1">
      <c r="L1546" s="240"/>
    </row>
    <row r="1547" spans="12:12" ht="15" customHeight="1">
      <c r="L1547" s="240"/>
    </row>
    <row r="1548" spans="12:12" ht="15" customHeight="1">
      <c r="L1548" s="240"/>
    </row>
    <row r="1549" spans="12:12" ht="15" customHeight="1">
      <c r="L1549" s="240"/>
    </row>
    <row r="1550" spans="12:12" ht="15" customHeight="1">
      <c r="L1550" s="240"/>
    </row>
    <row r="1551" spans="12:12" ht="15" customHeight="1">
      <c r="L1551" s="240"/>
    </row>
    <row r="1552" spans="12:12" ht="15" customHeight="1">
      <c r="L1552" s="240"/>
    </row>
    <row r="1553" spans="12:12" ht="15" customHeight="1">
      <c r="L1553" s="240"/>
    </row>
    <row r="1554" spans="12:12" ht="15" customHeight="1">
      <c r="L1554" s="240"/>
    </row>
    <row r="1555" spans="12:12" ht="15" customHeight="1">
      <c r="L1555" s="240"/>
    </row>
    <row r="1556" spans="12:12" ht="15" customHeight="1">
      <c r="L1556" s="240"/>
    </row>
    <row r="1557" spans="12:12" ht="15" customHeight="1">
      <c r="L1557" s="240"/>
    </row>
    <row r="1558" spans="12:12" ht="15" customHeight="1">
      <c r="L1558" s="240"/>
    </row>
    <row r="1559" spans="12:12" ht="15" customHeight="1">
      <c r="L1559" s="240"/>
    </row>
    <row r="1560" spans="12:12" ht="15" customHeight="1">
      <c r="L1560" s="240"/>
    </row>
    <row r="1561" spans="12:12" ht="15" customHeight="1">
      <c r="L1561" s="240"/>
    </row>
    <row r="1562" spans="12:12" ht="15" customHeight="1">
      <c r="L1562" s="240"/>
    </row>
    <row r="1563" spans="12:12" ht="15" customHeight="1">
      <c r="L1563" s="240"/>
    </row>
    <row r="1564" spans="12:12" ht="15" customHeight="1">
      <c r="L1564" s="240"/>
    </row>
    <row r="1565" spans="12:12" ht="15" customHeight="1">
      <c r="L1565" s="240"/>
    </row>
    <row r="1566" spans="12:12" ht="15" customHeight="1">
      <c r="L1566" s="240"/>
    </row>
    <row r="1567" spans="12:12" ht="15" customHeight="1">
      <c r="L1567" s="240"/>
    </row>
    <row r="1568" spans="12:12" ht="15" customHeight="1">
      <c r="L1568" s="240"/>
    </row>
    <row r="1569" spans="12:12" ht="15" customHeight="1">
      <c r="L1569" s="240"/>
    </row>
    <row r="1570" spans="12:12" ht="15" customHeight="1">
      <c r="L1570" s="240"/>
    </row>
    <row r="1571" spans="12:12" ht="15" customHeight="1">
      <c r="L1571" s="240"/>
    </row>
    <row r="1572" spans="12:12" ht="15" customHeight="1">
      <c r="L1572" s="240"/>
    </row>
    <row r="1573" spans="12:12" ht="15" customHeight="1">
      <c r="L1573" s="240"/>
    </row>
    <row r="1574" spans="12:12" ht="15" customHeight="1">
      <c r="L1574" s="240"/>
    </row>
    <row r="1575" spans="12:12" ht="15" customHeight="1">
      <c r="L1575" s="240"/>
    </row>
    <row r="1576" spans="12:12" ht="15" customHeight="1">
      <c r="L1576" s="240"/>
    </row>
    <row r="1577" spans="12:12" ht="15" customHeight="1">
      <c r="L1577" s="240"/>
    </row>
    <row r="1578" spans="12:12" ht="15" customHeight="1">
      <c r="L1578" s="240"/>
    </row>
    <row r="1579" spans="12:12" ht="15" customHeight="1">
      <c r="L1579" s="240"/>
    </row>
    <row r="1580" spans="12:12" ht="15" customHeight="1">
      <c r="L1580" s="240"/>
    </row>
    <row r="1581" spans="12:12" ht="15" customHeight="1">
      <c r="L1581" s="240"/>
    </row>
    <row r="1582" spans="12:12" ht="15" customHeight="1">
      <c r="L1582" s="240"/>
    </row>
    <row r="1583" spans="12:12" ht="15" customHeight="1">
      <c r="L1583" s="240"/>
    </row>
    <row r="1584" spans="12:12" ht="15" customHeight="1">
      <c r="L1584" s="240"/>
    </row>
    <row r="1585" spans="12:12" ht="15" customHeight="1">
      <c r="L1585" s="240"/>
    </row>
    <row r="1586" spans="12:12" ht="15" customHeight="1">
      <c r="L1586" s="240"/>
    </row>
    <row r="1587" spans="12:12" ht="15" customHeight="1">
      <c r="L1587" s="240"/>
    </row>
    <row r="1588" spans="12:12" ht="15" customHeight="1">
      <c r="L1588" s="240"/>
    </row>
    <row r="1589" spans="12:12" ht="15" customHeight="1">
      <c r="L1589" s="240"/>
    </row>
    <row r="1590" spans="12:12" ht="15" customHeight="1">
      <c r="L1590" s="240"/>
    </row>
    <row r="1591" spans="12:12" ht="15" customHeight="1">
      <c r="L1591" s="240"/>
    </row>
    <row r="1592" spans="12:12" ht="15" customHeight="1">
      <c r="L1592" s="240"/>
    </row>
    <row r="1593" spans="12:12" ht="15" customHeight="1">
      <c r="L1593" s="240"/>
    </row>
    <row r="1594" spans="12:12" ht="15" customHeight="1">
      <c r="L1594" s="240"/>
    </row>
    <row r="1595" spans="12:12" ht="15" customHeight="1">
      <c r="L1595" s="240"/>
    </row>
    <row r="1596" spans="12:12" ht="15" customHeight="1">
      <c r="L1596" s="240"/>
    </row>
    <row r="1597" spans="12:12" ht="15" customHeight="1">
      <c r="L1597" s="240"/>
    </row>
    <row r="1598" spans="12:12" ht="15" customHeight="1">
      <c r="L1598" s="240"/>
    </row>
    <row r="1599" spans="12:12" ht="15" customHeight="1">
      <c r="L1599" s="240"/>
    </row>
    <row r="1600" spans="12:12" ht="15" customHeight="1">
      <c r="L1600" s="240"/>
    </row>
    <row r="1601" spans="12:12" ht="15" customHeight="1">
      <c r="L1601" s="240"/>
    </row>
    <row r="1602" spans="12:12" ht="15" customHeight="1">
      <c r="L1602" s="240"/>
    </row>
    <row r="1603" spans="12:12" ht="15" customHeight="1">
      <c r="L1603" s="240"/>
    </row>
    <row r="1604" spans="12:12" ht="15" customHeight="1">
      <c r="L1604" s="240"/>
    </row>
    <row r="1605" spans="12:12" ht="15" customHeight="1">
      <c r="L1605" s="240"/>
    </row>
    <row r="1606" spans="12:12" ht="15" customHeight="1">
      <c r="L1606" s="240"/>
    </row>
    <row r="1607" spans="12:12" ht="15" customHeight="1">
      <c r="L1607" s="240"/>
    </row>
    <row r="1608" spans="12:12" ht="15" customHeight="1">
      <c r="L1608" s="240"/>
    </row>
    <row r="1609" spans="12:12" ht="15" customHeight="1">
      <c r="L1609" s="240"/>
    </row>
    <row r="1610" spans="12:12" ht="15" customHeight="1">
      <c r="L1610" s="240"/>
    </row>
    <row r="1611" spans="12:12" ht="15" customHeight="1">
      <c r="L1611" s="240"/>
    </row>
    <row r="1612" spans="12:12" ht="15" customHeight="1">
      <c r="L1612" s="240"/>
    </row>
    <row r="1613" spans="12:12" ht="15" customHeight="1">
      <c r="L1613" s="240"/>
    </row>
    <row r="1614" spans="12:12" ht="15" customHeight="1">
      <c r="L1614" s="240"/>
    </row>
    <row r="1615" spans="12:12" ht="15" customHeight="1">
      <c r="L1615" s="240"/>
    </row>
    <row r="1616" spans="12:12" ht="15" customHeight="1">
      <c r="L1616" s="240"/>
    </row>
    <row r="1617" spans="12:12" ht="15" customHeight="1">
      <c r="L1617" s="240"/>
    </row>
    <row r="1618" spans="12:12" ht="15" customHeight="1">
      <c r="L1618" s="240"/>
    </row>
    <row r="1619" spans="12:12" ht="15" customHeight="1">
      <c r="L1619" s="240"/>
    </row>
    <row r="1620" spans="12:12" ht="15" customHeight="1">
      <c r="L1620" s="240"/>
    </row>
    <row r="1621" spans="12:12" ht="15" customHeight="1">
      <c r="L1621" s="240"/>
    </row>
    <row r="1622" spans="12:12" ht="15" customHeight="1">
      <c r="L1622" s="240"/>
    </row>
    <row r="1623" spans="12:12" ht="15" customHeight="1">
      <c r="L1623" s="240"/>
    </row>
    <row r="1624" spans="12:12" ht="15" customHeight="1">
      <c r="L1624" s="240"/>
    </row>
    <row r="1625" spans="12:12" ht="15" customHeight="1">
      <c r="L1625" s="240"/>
    </row>
    <row r="1626" spans="12:12" ht="15" customHeight="1">
      <c r="L1626" s="240"/>
    </row>
    <row r="1627" spans="12:12" ht="15" customHeight="1">
      <c r="L1627" s="240"/>
    </row>
    <row r="1628" spans="12:12" ht="15" customHeight="1">
      <c r="L1628" s="240"/>
    </row>
    <row r="1629" spans="12:12" ht="15" customHeight="1">
      <c r="L1629" s="240"/>
    </row>
    <row r="1630" spans="12:12" ht="15" customHeight="1">
      <c r="L1630" s="240"/>
    </row>
    <row r="1631" spans="12:12" ht="15" customHeight="1">
      <c r="L1631" s="240"/>
    </row>
    <row r="1632" spans="12:12" ht="15" customHeight="1">
      <c r="L1632" s="240"/>
    </row>
    <row r="1633" spans="12:12" ht="15" customHeight="1">
      <c r="L1633" s="240"/>
    </row>
    <row r="1634" spans="12:12" ht="15" customHeight="1">
      <c r="L1634" s="240"/>
    </row>
    <row r="1635" spans="12:12" ht="15" customHeight="1">
      <c r="L1635" s="240"/>
    </row>
    <row r="1636" spans="12:12" ht="15" customHeight="1">
      <c r="L1636" s="240"/>
    </row>
    <row r="1637" spans="12:12" ht="15" customHeight="1">
      <c r="L1637" s="240"/>
    </row>
    <row r="1638" spans="12:12" ht="15" customHeight="1">
      <c r="L1638" s="240"/>
    </row>
    <row r="1639" spans="12:12" ht="15" customHeight="1">
      <c r="L1639" s="240"/>
    </row>
    <row r="1640" spans="12:12" ht="15" customHeight="1">
      <c r="L1640" s="240"/>
    </row>
    <row r="1641" spans="12:12" ht="15" customHeight="1">
      <c r="L1641" s="240"/>
    </row>
    <row r="1642" spans="12:12" ht="15" customHeight="1">
      <c r="L1642" s="240"/>
    </row>
    <row r="1643" spans="12:12" ht="15" customHeight="1">
      <c r="L1643" s="240"/>
    </row>
    <row r="1644" spans="12:12" ht="15" customHeight="1">
      <c r="L1644" s="240"/>
    </row>
    <row r="1645" spans="12:12" ht="15" customHeight="1">
      <c r="L1645" s="240"/>
    </row>
    <row r="1646" spans="12:12" ht="15" customHeight="1">
      <c r="L1646" s="240"/>
    </row>
    <row r="1647" spans="12:12" ht="15" customHeight="1">
      <c r="L1647" s="240"/>
    </row>
    <row r="1648" spans="12:12" ht="15" customHeight="1">
      <c r="L1648" s="240"/>
    </row>
    <row r="1649" spans="12:12" ht="15" customHeight="1">
      <c r="L1649" s="240"/>
    </row>
    <row r="1650" spans="12:12" ht="15" customHeight="1">
      <c r="L1650" s="240"/>
    </row>
    <row r="1651" spans="12:12" ht="15" customHeight="1">
      <c r="L1651" s="240"/>
    </row>
    <row r="1652" spans="12:12" ht="15" customHeight="1">
      <c r="L1652" s="240"/>
    </row>
    <row r="1653" spans="12:12" ht="15" customHeight="1">
      <c r="L1653" s="240"/>
    </row>
    <row r="1654" spans="12:12" ht="15" customHeight="1">
      <c r="L1654" s="240"/>
    </row>
    <row r="1655" spans="12:12" ht="15" customHeight="1">
      <c r="L1655" s="240"/>
    </row>
    <row r="1656" spans="12:12" ht="15" customHeight="1">
      <c r="L1656" s="240"/>
    </row>
    <row r="1657" spans="12:12" ht="15" customHeight="1">
      <c r="L1657" s="240"/>
    </row>
    <row r="1658" spans="12:12" ht="15" customHeight="1">
      <c r="L1658" s="240"/>
    </row>
    <row r="1659" spans="12:12" ht="15" customHeight="1">
      <c r="L1659" s="240"/>
    </row>
    <row r="1660" spans="12:12" ht="15" customHeight="1">
      <c r="L1660" s="240"/>
    </row>
    <row r="1661" spans="12:12" ht="15" customHeight="1">
      <c r="L1661" s="240"/>
    </row>
    <row r="1662" spans="12:12" ht="15" customHeight="1">
      <c r="L1662" s="240"/>
    </row>
    <row r="1663" spans="12:12" ht="15" customHeight="1">
      <c r="L1663" s="240"/>
    </row>
    <row r="1664" spans="12:12" ht="15" customHeight="1">
      <c r="L1664" s="240"/>
    </row>
    <row r="1665" spans="12:12" ht="15" customHeight="1">
      <c r="L1665" s="240"/>
    </row>
    <row r="1666" spans="12:12" ht="15" customHeight="1">
      <c r="L1666" s="240"/>
    </row>
    <row r="1667" spans="12:12" ht="15" customHeight="1">
      <c r="L1667" s="240"/>
    </row>
    <row r="1668" spans="12:12" ht="15" customHeight="1">
      <c r="L1668" s="240"/>
    </row>
    <row r="1669" spans="12:12" ht="15" customHeight="1">
      <c r="L1669" s="240"/>
    </row>
    <row r="1670" spans="12:12" ht="15" customHeight="1">
      <c r="L1670" s="240"/>
    </row>
    <row r="1671" spans="12:12" ht="15" customHeight="1">
      <c r="L1671" s="240"/>
    </row>
    <row r="1672" spans="12:12" ht="15" customHeight="1">
      <c r="L1672" s="240"/>
    </row>
    <row r="1673" spans="12:12" ht="15" customHeight="1">
      <c r="L1673" s="240"/>
    </row>
    <row r="1674" spans="12:12" ht="15" customHeight="1">
      <c r="L1674" s="240"/>
    </row>
    <row r="1675" spans="12:12" ht="15" customHeight="1">
      <c r="L1675" s="240"/>
    </row>
    <row r="1676" spans="12:12" ht="15" customHeight="1">
      <c r="L1676" s="240"/>
    </row>
    <row r="1677" spans="12:12" ht="15" customHeight="1">
      <c r="L1677" s="240"/>
    </row>
    <row r="1678" spans="12:12" ht="15" customHeight="1">
      <c r="L1678" s="240"/>
    </row>
    <row r="1679" spans="12:12" ht="15" customHeight="1">
      <c r="L1679" s="240"/>
    </row>
    <row r="1680" spans="12:12" ht="15" customHeight="1">
      <c r="L1680" s="240"/>
    </row>
    <row r="1681" spans="12:12" ht="15" customHeight="1">
      <c r="L1681" s="240"/>
    </row>
    <row r="1682" spans="12:12" ht="15" customHeight="1">
      <c r="L1682" s="240"/>
    </row>
    <row r="1683" spans="12:12" ht="15" customHeight="1">
      <c r="L1683" s="240"/>
    </row>
    <row r="1684" spans="12:12" ht="15" customHeight="1">
      <c r="L1684" s="240"/>
    </row>
    <row r="1685" spans="12:12" ht="15" customHeight="1">
      <c r="L1685" s="240"/>
    </row>
    <row r="1686" spans="12:12" ht="15" customHeight="1">
      <c r="L1686" s="240"/>
    </row>
    <row r="1687" spans="12:12" ht="15" customHeight="1">
      <c r="L1687" s="240"/>
    </row>
    <row r="1688" spans="12:12" ht="15" customHeight="1">
      <c r="L1688" s="240"/>
    </row>
    <row r="1689" spans="12:12" ht="15" customHeight="1">
      <c r="L1689" s="240"/>
    </row>
    <row r="1690" spans="12:12" ht="15" customHeight="1">
      <c r="L1690" s="240"/>
    </row>
    <row r="1691" spans="12:12" ht="15" customHeight="1">
      <c r="L1691" s="240"/>
    </row>
    <row r="1692" spans="12:12" ht="15" customHeight="1">
      <c r="L1692" s="240"/>
    </row>
    <row r="1693" spans="12:12" ht="15" customHeight="1">
      <c r="L1693" s="240"/>
    </row>
    <row r="1694" spans="12:12" ht="15" customHeight="1">
      <c r="L1694" s="240"/>
    </row>
    <row r="1695" spans="12:12" ht="15" customHeight="1">
      <c r="L1695" s="240"/>
    </row>
    <row r="1696" spans="12:12" ht="15" customHeight="1">
      <c r="L1696" s="240"/>
    </row>
    <row r="1697" spans="12:12" ht="15" customHeight="1">
      <c r="L1697" s="240"/>
    </row>
    <row r="1698" spans="12:12" ht="15" customHeight="1">
      <c r="L1698" s="240"/>
    </row>
    <row r="1699" spans="12:12" ht="15" customHeight="1">
      <c r="L1699" s="240"/>
    </row>
    <row r="1700" spans="12:12" ht="15" customHeight="1">
      <c r="L1700" s="240"/>
    </row>
    <row r="1701" spans="12:12" ht="15" customHeight="1">
      <c r="L1701" s="240"/>
    </row>
    <row r="1702" spans="12:12" ht="15" customHeight="1">
      <c r="L1702" s="240"/>
    </row>
    <row r="1703" spans="12:12" ht="15" customHeight="1">
      <c r="L1703" s="240"/>
    </row>
    <row r="1704" spans="12:12" ht="15" customHeight="1">
      <c r="L1704" s="240"/>
    </row>
    <row r="1705" spans="12:12" ht="15" customHeight="1">
      <c r="L1705" s="240"/>
    </row>
    <row r="1706" spans="12:12" ht="15" customHeight="1">
      <c r="L1706" s="240"/>
    </row>
    <row r="1707" spans="12:12" ht="15" customHeight="1">
      <c r="L1707" s="240"/>
    </row>
    <row r="1708" spans="12:12" ht="15" customHeight="1">
      <c r="L1708" s="240"/>
    </row>
    <row r="1709" spans="12:12" ht="15" customHeight="1">
      <c r="L1709" s="240"/>
    </row>
    <row r="1710" spans="12:12" ht="15" customHeight="1">
      <c r="L1710" s="240"/>
    </row>
    <row r="1711" spans="12:12" ht="15" customHeight="1">
      <c r="L1711" s="240"/>
    </row>
    <row r="1712" spans="12:12" ht="15" customHeight="1">
      <c r="L1712" s="240"/>
    </row>
    <row r="1713" spans="12:12" ht="15" customHeight="1">
      <c r="L1713" s="240"/>
    </row>
    <row r="1714" spans="12:12" ht="15" customHeight="1">
      <c r="L1714" s="240"/>
    </row>
    <row r="1715" spans="12:12" ht="15" customHeight="1">
      <c r="L1715" s="240"/>
    </row>
    <row r="1716" spans="12:12" ht="15" customHeight="1">
      <c r="L1716" s="240"/>
    </row>
    <row r="1717" spans="12:12" ht="15" customHeight="1">
      <c r="L1717" s="240"/>
    </row>
    <row r="1718" spans="12:12" ht="15" customHeight="1">
      <c r="L1718" s="240"/>
    </row>
    <row r="1719" spans="12:12" ht="15" customHeight="1">
      <c r="L1719" s="240"/>
    </row>
    <row r="1720" spans="12:12" ht="15" customHeight="1">
      <c r="L1720" s="240"/>
    </row>
    <row r="1721" spans="12:12" ht="15" customHeight="1">
      <c r="L1721" s="240"/>
    </row>
    <row r="1722" spans="12:12" ht="15" customHeight="1">
      <c r="L1722" s="240"/>
    </row>
    <row r="1723" spans="12:12" ht="15" customHeight="1">
      <c r="L1723" s="240"/>
    </row>
    <row r="1724" spans="12:12" ht="15" customHeight="1">
      <c r="L1724" s="240"/>
    </row>
    <row r="1725" spans="12:12" ht="15" customHeight="1">
      <c r="L1725" s="240"/>
    </row>
    <row r="1726" spans="12:12" ht="15" customHeight="1">
      <c r="L1726" s="240"/>
    </row>
    <row r="1727" spans="12:12" ht="15" customHeight="1">
      <c r="L1727" s="240"/>
    </row>
    <row r="1728" spans="12:12" ht="15" customHeight="1">
      <c r="L1728" s="240"/>
    </row>
    <row r="1729" spans="12:12" ht="15" customHeight="1">
      <c r="L1729" s="240"/>
    </row>
    <row r="1730" spans="12:12" ht="15" customHeight="1">
      <c r="L1730" s="240"/>
    </row>
    <row r="1731" spans="12:12" ht="15" customHeight="1">
      <c r="L1731" s="240"/>
    </row>
    <row r="1732" spans="12:12" ht="15" customHeight="1">
      <c r="L1732" s="240"/>
    </row>
    <row r="1733" spans="12:12" ht="15" customHeight="1">
      <c r="L1733" s="240"/>
    </row>
    <row r="1734" spans="12:12" ht="15" customHeight="1">
      <c r="L1734" s="240"/>
    </row>
    <row r="1735" spans="12:12" ht="15" customHeight="1">
      <c r="L1735" s="240"/>
    </row>
    <row r="1736" spans="12:12" ht="15" customHeight="1">
      <c r="L1736" s="240"/>
    </row>
    <row r="1737" spans="12:12" ht="15" customHeight="1">
      <c r="L1737" s="240"/>
    </row>
    <row r="1738" spans="12:12" ht="15" customHeight="1">
      <c r="L1738" s="240"/>
    </row>
    <row r="1739" spans="12:12" ht="15" customHeight="1">
      <c r="L1739" s="240"/>
    </row>
    <row r="1740" spans="12:12" ht="15" customHeight="1">
      <c r="L1740" s="240"/>
    </row>
    <row r="1741" spans="12:12" ht="15" customHeight="1">
      <c r="L1741" s="240"/>
    </row>
    <row r="1742" spans="12:12" ht="15" customHeight="1">
      <c r="L1742" s="240"/>
    </row>
    <row r="1743" spans="12:12" ht="15" customHeight="1">
      <c r="L1743" s="240"/>
    </row>
    <row r="1744" spans="12:12" ht="15" customHeight="1">
      <c r="L1744" s="240"/>
    </row>
    <row r="1745" spans="12:12" ht="15" customHeight="1">
      <c r="L1745" s="240"/>
    </row>
    <row r="1746" spans="12:12" ht="15" customHeight="1">
      <c r="L1746" s="240"/>
    </row>
    <row r="1747" spans="12:12" ht="15" customHeight="1">
      <c r="L1747" s="240"/>
    </row>
    <row r="1748" spans="12:12" ht="15" customHeight="1">
      <c r="L1748" s="240"/>
    </row>
    <row r="1749" spans="12:12" ht="15" customHeight="1">
      <c r="L1749" s="240"/>
    </row>
    <row r="1750" spans="12:12" ht="15" customHeight="1">
      <c r="L1750" s="240"/>
    </row>
    <row r="1751" spans="12:12" ht="15" customHeight="1">
      <c r="L1751" s="240"/>
    </row>
    <row r="1752" spans="12:12" ht="15" customHeight="1">
      <c r="L1752" s="240"/>
    </row>
    <row r="1753" spans="12:12" ht="15" customHeight="1">
      <c r="L1753" s="240"/>
    </row>
    <row r="1754" spans="12:12" ht="15" customHeight="1">
      <c r="L1754" s="240"/>
    </row>
    <row r="1755" spans="12:12" ht="15" customHeight="1">
      <c r="L1755" s="240"/>
    </row>
    <row r="1756" spans="12:12" ht="15" customHeight="1">
      <c r="L1756" s="240"/>
    </row>
    <row r="1757" spans="12:12" ht="15" customHeight="1">
      <c r="L1757" s="240"/>
    </row>
    <row r="1758" spans="12:12" ht="15" customHeight="1">
      <c r="L1758" s="240"/>
    </row>
    <row r="1759" spans="12:12" ht="15" customHeight="1">
      <c r="L1759" s="240"/>
    </row>
    <row r="1760" spans="12:12" ht="15" customHeight="1">
      <c r="L1760" s="240"/>
    </row>
    <row r="1761" spans="12:12" ht="15" customHeight="1">
      <c r="L1761" s="240"/>
    </row>
    <row r="1762" spans="12:12" ht="15" customHeight="1">
      <c r="L1762" s="240"/>
    </row>
    <row r="1763" spans="12:12" ht="15" customHeight="1">
      <c r="L1763" s="240"/>
    </row>
    <row r="1764" spans="12:12" ht="15" customHeight="1">
      <c r="L1764" s="240"/>
    </row>
    <row r="1765" spans="12:12" ht="15" customHeight="1">
      <c r="L1765" s="240"/>
    </row>
    <row r="1766" spans="12:12" ht="15" customHeight="1">
      <c r="L1766" s="240"/>
    </row>
    <row r="1767" spans="12:12" ht="15" customHeight="1">
      <c r="L1767" s="240"/>
    </row>
    <row r="1768" spans="12:12" ht="15" customHeight="1">
      <c r="L1768" s="240"/>
    </row>
    <row r="1769" spans="12:12" ht="15" customHeight="1">
      <c r="L1769" s="240"/>
    </row>
    <row r="1770" spans="12:12" ht="15" customHeight="1">
      <c r="L1770" s="240"/>
    </row>
    <row r="1771" spans="12:12" ht="15" customHeight="1">
      <c r="L1771" s="240"/>
    </row>
    <row r="1772" spans="12:12" ht="15" customHeight="1">
      <c r="L1772" s="240"/>
    </row>
    <row r="1773" spans="12:12" ht="15" customHeight="1">
      <c r="L1773" s="240"/>
    </row>
    <row r="1774" spans="12:12" ht="15" customHeight="1">
      <c r="L1774" s="240"/>
    </row>
    <row r="1775" spans="12:12" ht="15" customHeight="1">
      <c r="L1775" s="240"/>
    </row>
    <row r="1776" spans="12:12" ht="15" customHeight="1">
      <c r="L1776" s="240"/>
    </row>
    <row r="1777" spans="12:12" ht="15" customHeight="1">
      <c r="L1777" s="240"/>
    </row>
    <row r="1778" spans="12:12" ht="15" customHeight="1">
      <c r="L1778" s="240"/>
    </row>
    <row r="1779" spans="12:12" ht="15" customHeight="1">
      <c r="L1779" s="240"/>
    </row>
    <row r="1780" spans="12:12" ht="15" customHeight="1">
      <c r="L1780" s="240"/>
    </row>
    <row r="1781" spans="12:12" ht="15" customHeight="1">
      <c r="L1781" s="240"/>
    </row>
    <row r="1782" spans="12:12" ht="15" customHeight="1">
      <c r="L1782" s="240"/>
    </row>
    <row r="1783" spans="12:12" ht="15" customHeight="1">
      <c r="L1783" s="240"/>
    </row>
    <row r="1784" spans="12:12" ht="15" customHeight="1">
      <c r="L1784" s="240"/>
    </row>
    <row r="1785" spans="12:12" ht="15" customHeight="1">
      <c r="L1785" s="240"/>
    </row>
    <row r="1786" spans="12:12" ht="15" customHeight="1">
      <c r="L1786" s="240"/>
    </row>
    <row r="1787" spans="12:12" ht="15" customHeight="1">
      <c r="L1787" s="240"/>
    </row>
    <row r="1788" spans="12:12" ht="15" customHeight="1">
      <c r="L1788" s="240"/>
    </row>
    <row r="1789" spans="12:12" ht="15" customHeight="1">
      <c r="L1789" s="240"/>
    </row>
    <row r="1790" spans="12:12" ht="15" customHeight="1">
      <c r="L1790" s="240"/>
    </row>
    <row r="1791" spans="12:12" ht="15" customHeight="1">
      <c r="L1791" s="240"/>
    </row>
    <row r="1792" spans="12:12" ht="15" customHeight="1">
      <c r="L1792" s="240"/>
    </row>
    <row r="1793" spans="12:12" ht="15" customHeight="1">
      <c r="L1793" s="240"/>
    </row>
    <row r="1794" spans="12:12" ht="15" customHeight="1">
      <c r="L1794" s="240"/>
    </row>
    <row r="1795" spans="12:12" ht="15" customHeight="1">
      <c r="L1795" s="240"/>
    </row>
    <row r="1796" spans="12:12" ht="15" customHeight="1">
      <c r="L1796" s="240"/>
    </row>
    <row r="1797" spans="12:12" ht="15" customHeight="1">
      <c r="L1797" s="240"/>
    </row>
    <row r="1798" spans="12:12" ht="15" customHeight="1">
      <c r="L1798" s="240"/>
    </row>
    <row r="1799" spans="12:12" ht="15" customHeight="1">
      <c r="L1799" s="240"/>
    </row>
    <row r="1800" spans="12:12" ht="15" customHeight="1">
      <c r="L1800" s="240"/>
    </row>
    <row r="1801" spans="12:12" ht="15" customHeight="1">
      <c r="L1801" s="240"/>
    </row>
    <row r="1802" spans="12:12" ht="15" customHeight="1">
      <c r="L1802" s="240"/>
    </row>
    <row r="1803" spans="12:12" ht="15" customHeight="1">
      <c r="L1803" s="240"/>
    </row>
    <row r="1804" spans="12:12" ht="15" customHeight="1">
      <c r="L1804" s="240"/>
    </row>
    <row r="1805" spans="12:12" ht="15" customHeight="1">
      <c r="L1805" s="240"/>
    </row>
    <row r="1806" spans="12:12" ht="15" customHeight="1">
      <c r="L1806" s="240"/>
    </row>
    <row r="1807" spans="12:12" ht="15" customHeight="1">
      <c r="L1807" s="240"/>
    </row>
    <row r="1808" spans="12:12" ht="15" customHeight="1">
      <c r="L1808" s="240"/>
    </row>
    <row r="1809" spans="12:12" ht="15" customHeight="1">
      <c r="L1809" s="240"/>
    </row>
    <row r="1810" spans="12:12" ht="15" customHeight="1">
      <c r="L1810" s="240"/>
    </row>
    <row r="1811" spans="12:12" ht="15" customHeight="1">
      <c r="L1811" s="240"/>
    </row>
    <row r="1812" spans="12:12" ht="15" customHeight="1">
      <c r="L1812" s="240"/>
    </row>
    <row r="1813" spans="12:12" ht="15" customHeight="1">
      <c r="L1813" s="240"/>
    </row>
    <row r="1814" spans="12:12" ht="15" customHeight="1">
      <c r="L1814" s="240"/>
    </row>
    <row r="1815" spans="12:12" ht="15" customHeight="1">
      <c r="L1815" s="240"/>
    </row>
    <row r="1816" spans="12:12" ht="15" customHeight="1">
      <c r="L1816" s="240"/>
    </row>
    <row r="1817" spans="12:12" ht="15" customHeight="1">
      <c r="L1817" s="240"/>
    </row>
    <row r="1818" spans="12:12" ht="15" customHeight="1">
      <c r="L1818" s="240"/>
    </row>
    <row r="1819" spans="12:12" ht="15" customHeight="1">
      <c r="L1819" s="240"/>
    </row>
    <row r="1820" spans="12:12" ht="15" customHeight="1">
      <c r="L1820" s="240"/>
    </row>
    <row r="1821" spans="12:12" ht="15" customHeight="1">
      <c r="L1821" s="240"/>
    </row>
    <row r="1822" spans="12:12" ht="15" customHeight="1">
      <c r="L1822" s="240"/>
    </row>
    <row r="1823" spans="12:12" ht="15" customHeight="1">
      <c r="L1823" s="240"/>
    </row>
    <row r="1824" spans="12:12" ht="15" customHeight="1">
      <c r="L1824" s="240"/>
    </row>
    <row r="1825" spans="12:12" ht="15" customHeight="1">
      <c r="L1825" s="240"/>
    </row>
    <row r="1826" spans="12:12" ht="15" customHeight="1">
      <c r="L1826" s="240"/>
    </row>
    <row r="1827" spans="12:12" ht="15" customHeight="1">
      <c r="L1827" s="240"/>
    </row>
    <row r="1828" spans="12:12" ht="15" customHeight="1">
      <c r="L1828" s="240"/>
    </row>
    <row r="1829" spans="12:12" ht="15" customHeight="1">
      <c r="L1829" s="240"/>
    </row>
    <row r="1830" spans="12:12" ht="15" customHeight="1">
      <c r="L1830" s="240"/>
    </row>
    <row r="1831" spans="12:12" ht="15" customHeight="1">
      <c r="L1831" s="240"/>
    </row>
    <row r="1832" spans="12:12" ht="15" customHeight="1">
      <c r="L1832" s="240"/>
    </row>
    <row r="1833" spans="12:12" ht="15" customHeight="1">
      <c r="L1833" s="240"/>
    </row>
    <row r="1834" spans="12:12" ht="15" customHeight="1">
      <c r="L1834" s="240"/>
    </row>
    <row r="1835" spans="12:12" ht="15" customHeight="1">
      <c r="L1835" s="240"/>
    </row>
    <row r="1836" spans="12:12" ht="15" customHeight="1">
      <c r="L1836" s="240"/>
    </row>
    <row r="1837" spans="12:12" ht="15" customHeight="1">
      <c r="L1837" s="240"/>
    </row>
    <row r="1838" spans="12:12" ht="15" customHeight="1">
      <c r="L1838" s="240"/>
    </row>
    <row r="1839" spans="12:12" ht="15" customHeight="1">
      <c r="L1839" s="240"/>
    </row>
    <row r="1840" spans="12:12" ht="15" customHeight="1">
      <c r="L1840" s="240"/>
    </row>
    <row r="1841" spans="12:12" ht="15" customHeight="1">
      <c r="L1841" s="240"/>
    </row>
    <row r="1842" spans="12:12" ht="15" customHeight="1">
      <c r="L1842" s="240"/>
    </row>
    <row r="1843" spans="12:12" ht="15" customHeight="1">
      <c r="L1843" s="240"/>
    </row>
    <row r="1844" spans="12:12" ht="15" customHeight="1">
      <c r="L1844" s="240"/>
    </row>
    <row r="1845" spans="12:12" ht="15" customHeight="1">
      <c r="L1845" s="240"/>
    </row>
    <row r="1846" spans="12:12" ht="15" customHeight="1">
      <c r="L1846" s="240"/>
    </row>
    <row r="1847" spans="12:12" ht="15" customHeight="1">
      <c r="L1847" s="240"/>
    </row>
    <row r="1848" spans="12:12" ht="15" customHeight="1">
      <c r="L1848" s="240"/>
    </row>
    <row r="1849" spans="12:12" ht="15" customHeight="1">
      <c r="L1849" s="240"/>
    </row>
    <row r="1850" spans="12:12" ht="15" customHeight="1">
      <c r="L1850" s="240"/>
    </row>
    <row r="1851" spans="12:12" ht="15" customHeight="1">
      <c r="L1851" s="240"/>
    </row>
    <row r="1852" spans="12:12" ht="15" customHeight="1">
      <c r="L1852" s="240"/>
    </row>
    <row r="1853" spans="12:12" ht="15" customHeight="1">
      <c r="L1853" s="240"/>
    </row>
    <row r="1854" spans="12:12" ht="15" customHeight="1">
      <c r="L1854" s="240"/>
    </row>
    <row r="1855" spans="12:12" ht="15" customHeight="1">
      <c r="L1855" s="240"/>
    </row>
    <row r="1856" spans="12:12" ht="15" customHeight="1">
      <c r="L1856" s="240"/>
    </row>
    <row r="1857" spans="12:12" ht="15" customHeight="1">
      <c r="L1857" s="240"/>
    </row>
    <row r="1858" spans="12:12" ht="15" customHeight="1">
      <c r="L1858" s="240"/>
    </row>
    <row r="1859" spans="12:12" ht="15" customHeight="1">
      <c r="L1859" s="240"/>
    </row>
    <row r="1860" spans="12:12" ht="15" customHeight="1">
      <c r="L1860" s="240"/>
    </row>
    <row r="1861" spans="12:12" ht="15" customHeight="1">
      <c r="L1861" s="240"/>
    </row>
    <row r="1862" spans="12:12" ht="15" customHeight="1">
      <c r="L1862" s="240"/>
    </row>
    <row r="1863" spans="12:12" ht="15" customHeight="1">
      <c r="L1863" s="240"/>
    </row>
    <row r="1864" spans="12:12" ht="15" customHeight="1">
      <c r="L1864" s="240"/>
    </row>
    <row r="1865" spans="12:12" ht="15" customHeight="1">
      <c r="L1865" s="240"/>
    </row>
    <row r="1866" spans="12:12" ht="15" customHeight="1">
      <c r="L1866" s="240"/>
    </row>
    <row r="1867" spans="12:12" ht="15" customHeight="1">
      <c r="L1867" s="240"/>
    </row>
    <row r="1868" spans="12:12" ht="15" customHeight="1">
      <c r="L1868" s="240"/>
    </row>
    <row r="1869" spans="12:12" ht="15" customHeight="1">
      <c r="L1869" s="240"/>
    </row>
    <row r="1870" spans="12:12" ht="15" customHeight="1">
      <c r="L1870" s="240"/>
    </row>
    <row r="1871" spans="12:12" ht="15" customHeight="1">
      <c r="L1871" s="240"/>
    </row>
    <row r="1872" spans="12:12" ht="15" customHeight="1">
      <c r="L1872" s="240"/>
    </row>
    <row r="1873" spans="12:12" ht="15" customHeight="1">
      <c r="L1873" s="240"/>
    </row>
    <row r="1874" spans="12:12" ht="15" customHeight="1">
      <c r="L1874" s="240"/>
    </row>
    <row r="1875" spans="12:12" ht="15" customHeight="1">
      <c r="L1875" s="240"/>
    </row>
    <row r="1876" spans="12:12" ht="15" customHeight="1">
      <c r="L1876" s="240"/>
    </row>
    <row r="1877" spans="12:12" ht="15" customHeight="1">
      <c r="L1877" s="240"/>
    </row>
    <row r="1878" spans="12:12" ht="15" customHeight="1">
      <c r="L1878" s="240"/>
    </row>
    <row r="1879" spans="12:12" ht="15" customHeight="1">
      <c r="L1879" s="240"/>
    </row>
    <row r="1880" spans="12:12" ht="15" customHeight="1">
      <c r="L1880" s="240"/>
    </row>
    <row r="1881" spans="12:12" ht="15" customHeight="1">
      <c r="L1881" s="240"/>
    </row>
    <row r="1882" spans="12:12" ht="15" customHeight="1">
      <c r="L1882" s="240"/>
    </row>
    <row r="1883" spans="12:12" ht="15" customHeight="1">
      <c r="L1883" s="240"/>
    </row>
    <row r="1884" spans="12:12" ht="15" customHeight="1">
      <c r="L1884" s="240"/>
    </row>
    <row r="1885" spans="12:12" ht="15" customHeight="1">
      <c r="L1885" s="240"/>
    </row>
    <row r="1886" spans="12:12" ht="15" customHeight="1">
      <c r="L1886" s="240"/>
    </row>
    <row r="1887" spans="12:12" ht="15" customHeight="1">
      <c r="L1887" s="240"/>
    </row>
    <row r="1888" spans="12:12" ht="15" customHeight="1">
      <c r="L1888" s="240"/>
    </row>
    <row r="1889" spans="12:12" ht="15" customHeight="1">
      <c r="L1889" s="240"/>
    </row>
    <row r="1890" spans="12:12" ht="15" customHeight="1">
      <c r="L1890" s="240"/>
    </row>
    <row r="1891" spans="12:12" ht="15" customHeight="1">
      <c r="L1891" s="240"/>
    </row>
    <row r="1892" spans="12:12" ht="15" customHeight="1">
      <c r="L1892" s="240"/>
    </row>
    <row r="1893" spans="12:12" ht="15" customHeight="1">
      <c r="L1893" s="240"/>
    </row>
    <row r="1894" spans="12:12" ht="15" customHeight="1">
      <c r="L1894" s="240"/>
    </row>
    <row r="1895" spans="12:12" ht="15" customHeight="1">
      <c r="L1895" s="240"/>
    </row>
    <row r="1896" spans="12:12" ht="15" customHeight="1">
      <c r="L1896" s="240"/>
    </row>
    <row r="1897" spans="12:12" ht="15" customHeight="1">
      <c r="L1897" s="240"/>
    </row>
    <row r="1898" spans="12:12" ht="15" customHeight="1">
      <c r="L1898" s="240"/>
    </row>
    <row r="1899" spans="12:12" ht="15" customHeight="1">
      <c r="L1899" s="240"/>
    </row>
    <row r="1900" spans="12:12" ht="15" customHeight="1">
      <c r="L1900" s="240"/>
    </row>
    <row r="1901" spans="12:12" ht="15" customHeight="1">
      <c r="L1901" s="240"/>
    </row>
    <row r="1902" spans="12:12" ht="15" customHeight="1">
      <c r="L1902" s="240"/>
    </row>
    <row r="1903" spans="12:12" ht="15" customHeight="1">
      <c r="L1903" s="240"/>
    </row>
    <row r="1904" spans="12:12" ht="15" customHeight="1">
      <c r="L1904" s="240"/>
    </row>
    <row r="1905" spans="12:12" ht="15" customHeight="1">
      <c r="L1905" s="240"/>
    </row>
    <row r="1906" spans="12:12" ht="15" customHeight="1">
      <c r="L1906" s="240"/>
    </row>
    <row r="1907" spans="12:12" ht="15" customHeight="1">
      <c r="L1907" s="240"/>
    </row>
    <row r="1908" spans="12:12" ht="15" customHeight="1">
      <c r="L1908" s="240"/>
    </row>
    <row r="1909" spans="12:12" ht="15" customHeight="1">
      <c r="L1909" s="240"/>
    </row>
    <row r="1910" spans="12:12" ht="15" customHeight="1">
      <c r="L1910" s="240"/>
    </row>
    <row r="1911" spans="12:12" ht="15" customHeight="1">
      <c r="L1911" s="240"/>
    </row>
    <row r="1912" spans="12:12" ht="15" customHeight="1">
      <c r="L1912" s="240"/>
    </row>
    <row r="1913" spans="12:12" ht="15" customHeight="1">
      <c r="L1913" s="240"/>
    </row>
    <row r="1914" spans="12:12" ht="15" customHeight="1">
      <c r="L1914" s="240"/>
    </row>
    <row r="1915" spans="12:12" ht="15" customHeight="1">
      <c r="L1915" s="240"/>
    </row>
    <row r="1916" spans="12:12" ht="15" customHeight="1">
      <c r="L1916" s="240"/>
    </row>
    <row r="1917" spans="12:12" ht="15" customHeight="1">
      <c r="L1917" s="240"/>
    </row>
    <row r="1918" spans="12:12" ht="15" customHeight="1">
      <c r="L1918" s="240"/>
    </row>
    <row r="1919" spans="12:12" ht="15" customHeight="1">
      <c r="L1919" s="240"/>
    </row>
    <row r="1920" spans="12:12" ht="15" customHeight="1">
      <c r="L1920" s="240"/>
    </row>
    <row r="1921" spans="12:12" ht="15" customHeight="1">
      <c r="L1921" s="240"/>
    </row>
    <row r="1922" spans="12:12" ht="15" customHeight="1">
      <c r="L1922" s="240"/>
    </row>
    <row r="1923" spans="12:12" ht="15" customHeight="1">
      <c r="L1923" s="240"/>
    </row>
    <row r="1924" spans="12:12" ht="15" customHeight="1">
      <c r="L1924" s="240"/>
    </row>
    <row r="1925" spans="12:12" ht="15" customHeight="1">
      <c r="L1925" s="240"/>
    </row>
    <row r="1926" spans="12:12" ht="15" customHeight="1">
      <c r="L1926" s="240"/>
    </row>
    <row r="1927" spans="12:12" ht="15" customHeight="1">
      <c r="L1927" s="240"/>
    </row>
    <row r="1928" spans="12:12" ht="15" customHeight="1">
      <c r="L1928" s="240"/>
    </row>
    <row r="1929" spans="12:12" ht="15" customHeight="1">
      <c r="L1929" s="240"/>
    </row>
    <row r="1930" spans="12:12" ht="15" customHeight="1">
      <c r="L1930" s="240"/>
    </row>
    <row r="1931" spans="12:12" ht="15" customHeight="1">
      <c r="L1931" s="240"/>
    </row>
    <row r="1932" spans="12:12" ht="15" customHeight="1">
      <c r="L1932" s="240"/>
    </row>
    <row r="1933" spans="12:12" ht="15" customHeight="1">
      <c r="L1933" s="240"/>
    </row>
    <row r="1934" spans="12:12" ht="15" customHeight="1">
      <c r="L1934" s="240"/>
    </row>
    <row r="1935" spans="12:12" ht="15" customHeight="1">
      <c r="L1935" s="240"/>
    </row>
    <row r="1936" spans="12:12" ht="15" customHeight="1">
      <c r="L1936" s="240"/>
    </row>
    <row r="1937" spans="12:12" ht="15" customHeight="1">
      <c r="L1937" s="240"/>
    </row>
    <row r="1938" spans="12:12" ht="15" customHeight="1">
      <c r="L1938" s="240"/>
    </row>
    <row r="1939" spans="12:12" ht="15" customHeight="1">
      <c r="L1939" s="240"/>
    </row>
    <row r="1940" spans="12:12" ht="15" customHeight="1">
      <c r="L1940" s="240"/>
    </row>
    <row r="1941" spans="12:12" ht="15" customHeight="1">
      <c r="L1941" s="240"/>
    </row>
    <row r="1942" spans="12:12" ht="15" customHeight="1">
      <c r="L1942" s="240"/>
    </row>
    <row r="1943" spans="12:12" ht="15" customHeight="1">
      <c r="L1943" s="240"/>
    </row>
    <row r="1944" spans="12:12" ht="15" customHeight="1">
      <c r="L1944" s="240"/>
    </row>
    <row r="1945" spans="12:12" ht="15" customHeight="1">
      <c r="L1945" s="240"/>
    </row>
    <row r="1946" spans="12:12" ht="15" customHeight="1">
      <c r="L1946" s="240"/>
    </row>
    <row r="1947" spans="12:12" ht="15" customHeight="1">
      <c r="L1947" s="240"/>
    </row>
    <row r="1948" spans="12:12" ht="15" customHeight="1">
      <c r="L1948" s="240"/>
    </row>
    <row r="1949" spans="12:12" ht="15" customHeight="1">
      <c r="L1949" s="240"/>
    </row>
    <row r="1950" spans="12:12" ht="15" customHeight="1">
      <c r="L1950" s="240"/>
    </row>
    <row r="1951" spans="12:12" ht="15" customHeight="1">
      <c r="L1951" s="240"/>
    </row>
    <row r="1952" spans="12:12" ht="15" customHeight="1">
      <c r="L1952" s="240"/>
    </row>
    <row r="1953" spans="12:12" ht="15" customHeight="1">
      <c r="L1953" s="240"/>
    </row>
    <row r="1954" spans="12:12" ht="15" customHeight="1">
      <c r="L1954" s="240"/>
    </row>
    <row r="1955" spans="12:12" ht="15" customHeight="1">
      <c r="L1955" s="240"/>
    </row>
    <row r="1956" spans="12:12" ht="15" customHeight="1">
      <c r="L1956" s="240"/>
    </row>
    <row r="1957" spans="12:12" ht="15" customHeight="1">
      <c r="L1957" s="240"/>
    </row>
    <row r="1958" spans="12:12" ht="15" customHeight="1">
      <c r="L1958" s="240"/>
    </row>
    <row r="1959" spans="12:12" ht="15" customHeight="1">
      <c r="L1959" s="240"/>
    </row>
    <row r="1960" spans="12:12" ht="15" customHeight="1">
      <c r="L1960" s="240"/>
    </row>
    <row r="1961" spans="12:12" ht="15" customHeight="1">
      <c r="L1961" s="240"/>
    </row>
    <row r="1962" spans="12:12" ht="15" customHeight="1">
      <c r="L1962" s="240"/>
    </row>
    <row r="1963" spans="12:12" ht="15" customHeight="1">
      <c r="L1963" s="240"/>
    </row>
    <row r="1964" spans="12:12" ht="15" customHeight="1">
      <c r="L1964" s="240"/>
    </row>
    <row r="1965" spans="12:12" ht="15" customHeight="1">
      <c r="L1965" s="240"/>
    </row>
    <row r="1966" spans="12:12" ht="15" customHeight="1">
      <c r="L1966" s="240"/>
    </row>
    <row r="1967" spans="12:12" ht="15" customHeight="1">
      <c r="L1967" s="240"/>
    </row>
    <row r="1968" spans="12:12" ht="15" customHeight="1">
      <c r="L1968" s="240"/>
    </row>
    <row r="1969" spans="12:12" ht="15" customHeight="1">
      <c r="L1969" s="240"/>
    </row>
    <row r="1970" spans="12:12" ht="15" customHeight="1">
      <c r="L1970" s="240"/>
    </row>
    <row r="1971" spans="12:12" ht="15" customHeight="1">
      <c r="L1971" s="240"/>
    </row>
    <row r="1972" spans="12:12" ht="15" customHeight="1">
      <c r="L1972" s="240"/>
    </row>
    <row r="1973" spans="12:12" ht="15" customHeight="1">
      <c r="L1973" s="240"/>
    </row>
    <row r="1974" spans="12:12" ht="15" customHeight="1">
      <c r="L1974" s="240"/>
    </row>
    <row r="1975" spans="12:12" ht="15" customHeight="1">
      <c r="L1975" s="240"/>
    </row>
    <row r="1976" spans="12:12" ht="15" customHeight="1">
      <c r="L1976" s="240"/>
    </row>
    <row r="1977" spans="12:12" ht="15" customHeight="1">
      <c r="L1977" s="240"/>
    </row>
    <row r="1978" spans="12:12" ht="15" customHeight="1">
      <c r="L1978" s="240"/>
    </row>
    <row r="1979" spans="12:12" ht="15" customHeight="1">
      <c r="L1979" s="240"/>
    </row>
    <row r="1980" spans="12:12" ht="15" customHeight="1">
      <c r="L1980" s="240"/>
    </row>
    <row r="1981" spans="12:12" ht="15" customHeight="1">
      <c r="L1981" s="240"/>
    </row>
    <row r="1982" spans="12:12" ht="15" customHeight="1">
      <c r="L1982" s="240"/>
    </row>
    <row r="1983" spans="12:12" ht="15" customHeight="1">
      <c r="L1983" s="240"/>
    </row>
    <row r="1984" spans="12:12" ht="15" customHeight="1">
      <c r="L1984" s="240"/>
    </row>
    <row r="1985" spans="12:12" ht="15" customHeight="1">
      <c r="L1985" s="240"/>
    </row>
    <row r="1986" spans="12:12" ht="15" customHeight="1">
      <c r="L1986" s="240"/>
    </row>
    <row r="1987" spans="12:12" ht="15" customHeight="1">
      <c r="L1987" s="240"/>
    </row>
    <row r="1988" spans="12:12" ht="15" customHeight="1">
      <c r="L1988" s="240"/>
    </row>
    <row r="1989" spans="12:12" ht="15" customHeight="1">
      <c r="L1989" s="240"/>
    </row>
    <row r="1990" spans="12:12" ht="15" customHeight="1">
      <c r="L1990" s="240"/>
    </row>
    <row r="1991" spans="12:12" ht="15" customHeight="1">
      <c r="L1991" s="240"/>
    </row>
    <row r="1992" spans="12:12" ht="15" customHeight="1">
      <c r="L1992" s="240"/>
    </row>
    <row r="1993" spans="12:12" ht="15" customHeight="1">
      <c r="L1993" s="240"/>
    </row>
    <row r="1994" spans="12:12" ht="15" customHeight="1">
      <c r="L1994" s="240"/>
    </row>
    <row r="1995" spans="12:12" ht="15" customHeight="1">
      <c r="L1995" s="240"/>
    </row>
    <row r="1996" spans="12:12" ht="15" customHeight="1">
      <c r="L1996" s="240"/>
    </row>
    <row r="1997" spans="12:12" ht="15" customHeight="1">
      <c r="L1997" s="240"/>
    </row>
    <row r="1998" spans="12:12" ht="15" customHeight="1">
      <c r="L1998" s="240"/>
    </row>
    <row r="1999" spans="12:12" ht="15" customHeight="1">
      <c r="L1999" s="240"/>
    </row>
    <row r="2000" spans="12:12" ht="15" customHeight="1">
      <c r="L2000" s="240"/>
    </row>
    <row r="2001" spans="12:12" ht="15" customHeight="1">
      <c r="L2001" s="240"/>
    </row>
    <row r="2002" spans="12:12" ht="15" customHeight="1">
      <c r="L2002" s="240"/>
    </row>
    <row r="2003" spans="12:12" ht="15" customHeight="1">
      <c r="L2003" s="240"/>
    </row>
    <row r="2004" spans="12:12" ht="15" customHeight="1">
      <c r="L2004" s="240"/>
    </row>
    <row r="2005" spans="12:12" ht="15" customHeight="1">
      <c r="L2005" s="240"/>
    </row>
    <row r="2006" spans="12:12" ht="15" customHeight="1">
      <c r="L2006" s="240"/>
    </row>
    <row r="2007" spans="12:12" ht="15" customHeight="1">
      <c r="L2007" s="240"/>
    </row>
    <row r="2008" spans="12:12" ht="15" customHeight="1">
      <c r="L2008" s="240"/>
    </row>
    <row r="2009" spans="12:12" ht="15" customHeight="1">
      <c r="L2009" s="240"/>
    </row>
    <row r="2010" spans="12:12" ht="15" customHeight="1">
      <c r="L2010" s="240"/>
    </row>
    <row r="2011" spans="12:12" ht="15" customHeight="1">
      <c r="L2011" s="240"/>
    </row>
    <row r="2012" spans="12:12" ht="15" customHeight="1">
      <c r="L2012" s="240"/>
    </row>
    <row r="2013" spans="12:12" ht="15" customHeight="1">
      <c r="L2013" s="240"/>
    </row>
    <row r="2014" spans="12:12" ht="15" customHeight="1">
      <c r="L2014" s="240"/>
    </row>
    <row r="2015" spans="12:12" ht="15" customHeight="1">
      <c r="L2015" s="240"/>
    </row>
    <row r="2016" spans="12:12" ht="15" customHeight="1">
      <c r="L2016" s="240"/>
    </row>
    <row r="2017" spans="12:12" ht="15" customHeight="1">
      <c r="L2017" s="240"/>
    </row>
    <row r="2018" spans="12:12" ht="15" customHeight="1">
      <c r="L2018" s="240"/>
    </row>
    <row r="2019" spans="12:12" ht="15" customHeight="1">
      <c r="L2019" s="240"/>
    </row>
    <row r="2020" spans="12:12" ht="15" customHeight="1">
      <c r="L2020" s="240"/>
    </row>
    <row r="2021" spans="12:12" ht="15" customHeight="1">
      <c r="L2021" s="240"/>
    </row>
    <row r="2022" spans="12:12" ht="15" customHeight="1">
      <c r="L2022" s="240"/>
    </row>
    <row r="2023" spans="12:12" ht="15" customHeight="1">
      <c r="L2023" s="240"/>
    </row>
    <row r="2024" spans="12:12" ht="15" customHeight="1">
      <c r="L2024" s="240"/>
    </row>
    <row r="2025" spans="12:12" ht="15" customHeight="1">
      <c r="L2025" s="240"/>
    </row>
    <row r="2026" spans="12:12" ht="15" customHeight="1">
      <c r="L2026" s="240"/>
    </row>
    <row r="2027" spans="12:12" ht="15" customHeight="1">
      <c r="L2027" s="240"/>
    </row>
    <row r="2028" spans="12:12" ht="15" customHeight="1">
      <c r="L2028" s="240"/>
    </row>
    <row r="2029" spans="12:12" ht="15" customHeight="1">
      <c r="L2029" s="240"/>
    </row>
    <row r="2030" spans="12:12" ht="15" customHeight="1">
      <c r="L2030" s="240"/>
    </row>
    <row r="2031" spans="12:12" ht="15" customHeight="1">
      <c r="L2031" s="240"/>
    </row>
    <row r="2032" spans="12:12" ht="15" customHeight="1">
      <c r="L2032" s="240"/>
    </row>
    <row r="2033" spans="12:12" ht="15" customHeight="1">
      <c r="L2033" s="240"/>
    </row>
    <row r="2034" spans="12:12" ht="15" customHeight="1">
      <c r="L2034" s="240"/>
    </row>
    <row r="2035" spans="12:12" ht="15" customHeight="1">
      <c r="L2035" s="240"/>
    </row>
    <row r="2036" spans="12:12" ht="15" customHeight="1">
      <c r="L2036" s="240"/>
    </row>
    <row r="2037" spans="12:12" ht="15" customHeight="1">
      <c r="L2037" s="240"/>
    </row>
    <row r="2038" spans="12:12" ht="15" customHeight="1">
      <c r="L2038" s="240"/>
    </row>
    <row r="2039" spans="12:12" ht="15" customHeight="1">
      <c r="L2039" s="240"/>
    </row>
    <row r="2040" spans="12:12" ht="15" customHeight="1">
      <c r="L2040" s="240"/>
    </row>
    <row r="2041" spans="12:12" ht="15" customHeight="1">
      <c r="L2041" s="240"/>
    </row>
    <row r="2042" spans="12:12" ht="15" customHeight="1">
      <c r="L2042" s="240"/>
    </row>
    <row r="2043" spans="12:12" ht="15" customHeight="1">
      <c r="L2043" s="240"/>
    </row>
    <row r="2044" spans="12:12" ht="15" customHeight="1">
      <c r="L2044" s="240"/>
    </row>
    <row r="2045" spans="12:12" ht="15" customHeight="1">
      <c r="L2045" s="240"/>
    </row>
    <row r="2046" spans="12:12" ht="15" customHeight="1">
      <c r="L2046" s="240"/>
    </row>
    <row r="2047" spans="12:12" ht="15" customHeight="1">
      <c r="L2047" s="240"/>
    </row>
    <row r="2048" spans="12:12" ht="15" customHeight="1">
      <c r="L2048" s="240"/>
    </row>
    <row r="2049" spans="12:12" ht="15" customHeight="1">
      <c r="L2049" s="240"/>
    </row>
    <row r="2050" spans="12:12" ht="15" customHeight="1">
      <c r="L2050" s="240"/>
    </row>
    <row r="2051" spans="12:12" ht="15" customHeight="1">
      <c r="L2051" s="240"/>
    </row>
    <row r="2052" spans="12:12" ht="15" customHeight="1">
      <c r="L2052" s="240"/>
    </row>
    <row r="2053" spans="12:12" ht="15" customHeight="1">
      <c r="L2053" s="240"/>
    </row>
    <row r="2054" spans="12:12" ht="15" customHeight="1">
      <c r="L2054" s="240"/>
    </row>
    <row r="2055" spans="12:12" ht="15" customHeight="1">
      <c r="L2055" s="240"/>
    </row>
    <row r="2056" spans="12:12" ht="15" customHeight="1">
      <c r="L2056" s="240"/>
    </row>
    <row r="2057" spans="12:12" ht="15" customHeight="1">
      <c r="L2057" s="240"/>
    </row>
    <row r="2058" spans="12:12" ht="15" customHeight="1">
      <c r="L2058" s="240"/>
    </row>
    <row r="2059" spans="12:12" ht="15" customHeight="1">
      <c r="L2059" s="240"/>
    </row>
    <row r="2060" spans="12:12" ht="15" customHeight="1">
      <c r="L2060" s="240"/>
    </row>
    <row r="2061" spans="12:12" ht="15" customHeight="1">
      <c r="L2061" s="240"/>
    </row>
    <row r="2062" spans="12:12" ht="15" customHeight="1">
      <c r="L2062" s="240"/>
    </row>
    <row r="2063" spans="12:12" ht="15" customHeight="1">
      <c r="L2063" s="240"/>
    </row>
    <row r="2064" spans="12:12" ht="15" customHeight="1">
      <c r="L2064" s="240"/>
    </row>
    <row r="2065" spans="12:12" ht="15" customHeight="1">
      <c r="L2065" s="240"/>
    </row>
    <row r="2066" spans="12:12" ht="15" customHeight="1">
      <c r="L2066" s="240"/>
    </row>
    <row r="2067" spans="12:12" ht="15" customHeight="1">
      <c r="L2067" s="240"/>
    </row>
    <row r="2068" spans="12:12" ht="15" customHeight="1">
      <c r="L2068" s="240"/>
    </row>
    <row r="2069" spans="12:12" ht="15" customHeight="1">
      <c r="L2069" s="240"/>
    </row>
    <row r="2070" spans="12:12" ht="15" customHeight="1">
      <c r="L2070" s="240"/>
    </row>
    <row r="2071" spans="12:12" ht="15" customHeight="1">
      <c r="L2071" s="240"/>
    </row>
    <row r="2072" spans="12:12" ht="15" customHeight="1">
      <c r="L2072" s="240"/>
    </row>
    <row r="2073" spans="12:12" ht="15" customHeight="1">
      <c r="L2073" s="240"/>
    </row>
    <row r="2074" spans="12:12" ht="15" customHeight="1">
      <c r="L2074" s="240"/>
    </row>
    <row r="2075" spans="12:12" ht="15" customHeight="1">
      <c r="L2075" s="240"/>
    </row>
    <row r="2076" spans="12:12" ht="15" customHeight="1">
      <c r="L2076" s="240"/>
    </row>
    <row r="2077" spans="12:12" ht="15" customHeight="1">
      <c r="L2077" s="240"/>
    </row>
    <row r="2078" spans="12:12" ht="15" customHeight="1">
      <c r="L2078" s="240"/>
    </row>
    <row r="2079" spans="12:12" ht="15" customHeight="1">
      <c r="L2079" s="240"/>
    </row>
    <row r="2080" spans="12:12" ht="15" customHeight="1">
      <c r="L2080" s="240"/>
    </row>
    <row r="2081" spans="12:12" ht="15" customHeight="1">
      <c r="L2081" s="240"/>
    </row>
    <row r="2082" spans="12:12" ht="15" customHeight="1">
      <c r="L2082" s="240"/>
    </row>
    <row r="2083" spans="12:12" ht="15" customHeight="1">
      <c r="L2083" s="240"/>
    </row>
    <row r="2084" spans="12:12" ht="15" customHeight="1">
      <c r="L2084" s="240"/>
    </row>
    <row r="2085" spans="12:12" ht="15" customHeight="1">
      <c r="L2085" s="240"/>
    </row>
    <row r="2086" spans="12:12" ht="15" customHeight="1">
      <c r="L2086" s="240"/>
    </row>
    <row r="2087" spans="12:12" ht="15" customHeight="1">
      <c r="L2087" s="240"/>
    </row>
    <row r="2088" spans="12:12" ht="15" customHeight="1">
      <c r="L2088" s="240"/>
    </row>
    <row r="2089" spans="12:12" ht="15" customHeight="1">
      <c r="L2089" s="240"/>
    </row>
    <row r="2090" spans="12:12" ht="15" customHeight="1">
      <c r="L2090" s="240"/>
    </row>
    <row r="2091" spans="12:12" ht="15" customHeight="1">
      <c r="L2091" s="240"/>
    </row>
    <row r="2092" spans="12:12" ht="15" customHeight="1">
      <c r="L2092" s="240"/>
    </row>
    <row r="2093" spans="12:12" ht="15" customHeight="1">
      <c r="L2093" s="240"/>
    </row>
    <row r="2094" spans="12:12" ht="15" customHeight="1">
      <c r="L2094" s="240"/>
    </row>
    <row r="2095" spans="12:12" ht="15" customHeight="1">
      <c r="L2095" s="240"/>
    </row>
    <row r="2096" spans="12:12" ht="15" customHeight="1">
      <c r="L2096" s="240"/>
    </row>
    <row r="2097" spans="12:12" ht="15" customHeight="1">
      <c r="L2097" s="240"/>
    </row>
    <row r="2098" spans="12:12" ht="15" customHeight="1">
      <c r="L2098" s="240"/>
    </row>
    <row r="2099" spans="12:12" ht="15" customHeight="1">
      <c r="L2099" s="240"/>
    </row>
    <row r="2100" spans="12:12" ht="15" customHeight="1">
      <c r="L2100" s="240"/>
    </row>
    <row r="2101" spans="12:12" ht="15" customHeight="1">
      <c r="L2101" s="240"/>
    </row>
    <row r="2102" spans="12:12" ht="15" customHeight="1">
      <c r="L2102" s="240"/>
    </row>
    <row r="2103" spans="12:12" ht="15" customHeight="1">
      <c r="L2103" s="240"/>
    </row>
    <row r="2104" spans="12:12" ht="15" customHeight="1">
      <c r="L2104" s="240"/>
    </row>
    <row r="2105" spans="12:12" ht="15" customHeight="1">
      <c r="L2105" s="240"/>
    </row>
    <row r="2106" spans="12:12" ht="15" customHeight="1">
      <c r="L2106" s="240"/>
    </row>
    <row r="2107" spans="12:12" ht="15" customHeight="1">
      <c r="L2107" s="240"/>
    </row>
    <row r="2108" spans="12:12" ht="15" customHeight="1">
      <c r="L2108" s="240"/>
    </row>
    <row r="2109" spans="12:12" ht="15" customHeight="1">
      <c r="L2109" s="240"/>
    </row>
    <row r="2110" spans="12:12" ht="15" customHeight="1">
      <c r="L2110" s="240"/>
    </row>
    <row r="2111" spans="12:12" ht="15" customHeight="1">
      <c r="L2111" s="240"/>
    </row>
    <row r="2112" spans="12:12" ht="15" customHeight="1">
      <c r="L2112" s="240"/>
    </row>
    <row r="2113" spans="12:12" ht="15" customHeight="1">
      <c r="L2113" s="240"/>
    </row>
    <row r="2114" spans="12:12" ht="15" customHeight="1">
      <c r="L2114" s="240"/>
    </row>
    <row r="2115" spans="12:12" ht="15" customHeight="1">
      <c r="L2115" s="240"/>
    </row>
    <row r="2116" spans="12:12" ht="15" customHeight="1">
      <c r="L2116" s="240"/>
    </row>
    <row r="2117" spans="12:12" ht="15" customHeight="1">
      <c r="L2117" s="240"/>
    </row>
    <row r="2118" spans="12:12" ht="15" customHeight="1">
      <c r="L2118" s="240"/>
    </row>
    <row r="2119" spans="12:12" ht="15" customHeight="1">
      <c r="L2119" s="240"/>
    </row>
    <row r="2120" spans="12:12" ht="15" customHeight="1">
      <c r="L2120" s="240"/>
    </row>
    <row r="2121" spans="12:12" ht="15" customHeight="1">
      <c r="L2121" s="240"/>
    </row>
    <row r="2122" spans="12:12" ht="15" customHeight="1">
      <c r="L2122" s="240"/>
    </row>
    <row r="2123" spans="12:12" ht="15" customHeight="1">
      <c r="L2123" s="240"/>
    </row>
    <row r="2124" spans="12:12" ht="15" customHeight="1">
      <c r="L2124" s="240"/>
    </row>
    <row r="2125" spans="12:12" ht="15" customHeight="1">
      <c r="L2125" s="240"/>
    </row>
    <row r="2126" spans="12:12" ht="15" customHeight="1">
      <c r="L2126" s="240"/>
    </row>
    <row r="2127" spans="12:12" ht="15" customHeight="1">
      <c r="L2127" s="240"/>
    </row>
    <row r="2128" spans="12:12" ht="15" customHeight="1">
      <c r="L2128" s="240"/>
    </row>
    <row r="2129" spans="12:12" ht="15" customHeight="1">
      <c r="L2129" s="240"/>
    </row>
    <row r="2130" spans="12:12" ht="15" customHeight="1">
      <c r="L2130" s="240"/>
    </row>
    <row r="2131" spans="12:12" ht="15" customHeight="1">
      <c r="L2131" s="240"/>
    </row>
    <row r="2132" spans="12:12" ht="15" customHeight="1">
      <c r="L2132" s="240"/>
    </row>
    <row r="2133" spans="12:12" ht="15" customHeight="1">
      <c r="L2133" s="240"/>
    </row>
    <row r="2134" spans="12:12" ht="15" customHeight="1">
      <c r="L2134" s="240"/>
    </row>
    <row r="2135" spans="12:12" ht="15" customHeight="1">
      <c r="L2135" s="240"/>
    </row>
    <row r="2136" spans="12:12" ht="15" customHeight="1">
      <c r="L2136" s="240"/>
    </row>
    <row r="2137" spans="12:12" ht="15" customHeight="1">
      <c r="L2137" s="240"/>
    </row>
    <row r="2138" spans="12:12" ht="15" customHeight="1">
      <c r="L2138" s="240"/>
    </row>
    <row r="2139" spans="12:12" ht="15" customHeight="1">
      <c r="L2139" s="240"/>
    </row>
    <row r="2140" spans="12:12" ht="15" customHeight="1">
      <c r="L2140" s="240"/>
    </row>
    <row r="2141" spans="12:12" ht="15" customHeight="1">
      <c r="L2141" s="240"/>
    </row>
    <row r="2142" spans="12:12" ht="15" customHeight="1">
      <c r="L2142" s="240"/>
    </row>
    <row r="2143" spans="12:12" ht="15" customHeight="1">
      <c r="L2143" s="240"/>
    </row>
    <row r="2144" spans="12:12" ht="15" customHeight="1">
      <c r="L2144" s="240"/>
    </row>
    <row r="2145" spans="12:12" ht="15" customHeight="1">
      <c r="L2145" s="240"/>
    </row>
    <row r="2146" spans="12:12" ht="15" customHeight="1">
      <c r="L2146" s="240"/>
    </row>
    <row r="2147" spans="12:12" ht="15" customHeight="1">
      <c r="L2147" s="240"/>
    </row>
    <row r="2148" spans="12:12" ht="15" customHeight="1">
      <c r="L2148" s="240"/>
    </row>
    <row r="2149" spans="12:12" ht="15" customHeight="1">
      <c r="L2149" s="240"/>
    </row>
    <row r="2150" spans="12:12" ht="15" customHeight="1">
      <c r="L2150" s="240"/>
    </row>
    <row r="2151" spans="12:12" ht="15" customHeight="1">
      <c r="L2151" s="240"/>
    </row>
    <row r="2152" spans="12:12" ht="15" customHeight="1">
      <c r="L2152" s="240"/>
    </row>
    <row r="2153" spans="12:12" ht="15" customHeight="1">
      <c r="L2153" s="240"/>
    </row>
    <row r="2154" spans="12:12" ht="15" customHeight="1">
      <c r="L2154" s="240"/>
    </row>
    <row r="2155" spans="12:12" ht="15" customHeight="1">
      <c r="L2155" s="240"/>
    </row>
    <row r="2156" spans="12:12" ht="15" customHeight="1">
      <c r="L2156" s="240"/>
    </row>
    <row r="2157" spans="12:12" ht="15" customHeight="1">
      <c r="L2157" s="240"/>
    </row>
    <row r="2158" spans="12:12" ht="15" customHeight="1">
      <c r="L2158" s="240"/>
    </row>
    <row r="2159" spans="12:12" ht="15" customHeight="1">
      <c r="L2159" s="240"/>
    </row>
    <row r="2160" spans="12:12" ht="15" customHeight="1">
      <c r="L2160" s="240"/>
    </row>
    <row r="2161" spans="12:12" ht="15" customHeight="1">
      <c r="L2161" s="240"/>
    </row>
    <row r="2162" spans="12:12" ht="15" customHeight="1">
      <c r="L2162" s="240"/>
    </row>
    <row r="2163" spans="12:12" ht="15" customHeight="1">
      <c r="L2163" s="240"/>
    </row>
    <row r="2164" spans="12:12" ht="15" customHeight="1">
      <c r="L2164" s="240"/>
    </row>
    <row r="2165" spans="12:12" ht="15" customHeight="1">
      <c r="L2165" s="240"/>
    </row>
    <row r="2166" spans="12:12" ht="15" customHeight="1">
      <c r="L2166" s="240"/>
    </row>
    <row r="2167" spans="12:12" ht="15" customHeight="1">
      <c r="L2167" s="240"/>
    </row>
    <row r="2168" spans="12:12" ht="15" customHeight="1">
      <c r="L2168" s="240"/>
    </row>
    <row r="2169" spans="12:12" ht="15" customHeight="1">
      <c r="L2169" s="240"/>
    </row>
    <row r="2170" spans="12:12" ht="15" customHeight="1">
      <c r="L2170" s="240"/>
    </row>
    <row r="2171" spans="12:12" ht="15" customHeight="1">
      <c r="L2171" s="240"/>
    </row>
    <row r="2172" spans="12:12" ht="15" customHeight="1">
      <c r="L2172" s="240"/>
    </row>
    <row r="2173" spans="12:12" ht="15" customHeight="1">
      <c r="L2173" s="240"/>
    </row>
    <row r="2174" spans="12:12" ht="15" customHeight="1">
      <c r="L2174" s="240"/>
    </row>
    <row r="2175" spans="12:12" ht="15" customHeight="1">
      <c r="L2175" s="240"/>
    </row>
    <row r="2176" spans="12:12" ht="15" customHeight="1">
      <c r="L2176" s="240"/>
    </row>
    <row r="2177" spans="12:12" ht="15" customHeight="1">
      <c r="L2177" s="240"/>
    </row>
    <row r="2178" spans="12:12" ht="15" customHeight="1">
      <c r="L2178" s="240"/>
    </row>
    <row r="2179" spans="12:12" ht="15" customHeight="1">
      <c r="L2179" s="240"/>
    </row>
    <row r="2180" spans="12:12" ht="15" customHeight="1">
      <c r="L2180" s="240"/>
    </row>
    <row r="2181" spans="12:12" ht="15" customHeight="1">
      <c r="L2181" s="240"/>
    </row>
    <row r="2182" spans="12:12" ht="15" customHeight="1">
      <c r="L2182" s="240"/>
    </row>
    <row r="2183" spans="12:12" ht="15" customHeight="1">
      <c r="L2183" s="240"/>
    </row>
    <row r="2184" spans="12:12" ht="15" customHeight="1">
      <c r="L2184" s="240"/>
    </row>
    <row r="2185" spans="12:12" ht="15" customHeight="1">
      <c r="L2185" s="240"/>
    </row>
    <row r="2186" spans="12:12" ht="15" customHeight="1">
      <c r="L2186" s="240"/>
    </row>
    <row r="2187" spans="12:12" ht="15" customHeight="1">
      <c r="L2187" s="240"/>
    </row>
    <row r="2188" spans="12:12" ht="15" customHeight="1">
      <c r="L2188" s="240"/>
    </row>
    <row r="2189" spans="12:12" ht="15" customHeight="1">
      <c r="L2189" s="240"/>
    </row>
    <row r="2190" spans="12:12" ht="15" customHeight="1">
      <c r="L2190" s="240"/>
    </row>
    <row r="2191" spans="12:12" ht="15" customHeight="1">
      <c r="L2191" s="240"/>
    </row>
    <row r="2192" spans="12:12" ht="15" customHeight="1">
      <c r="L2192" s="240"/>
    </row>
    <row r="2193" spans="12:12" ht="15" customHeight="1">
      <c r="L2193" s="240"/>
    </row>
    <row r="2194" spans="12:12" ht="15" customHeight="1">
      <c r="L2194" s="240"/>
    </row>
    <row r="2195" spans="12:12" ht="15" customHeight="1">
      <c r="L2195" s="240"/>
    </row>
    <row r="2196" spans="12:12" ht="15" customHeight="1">
      <c r="L2196" s="240"/>
    </row>
    <row r="2197" spans="12:12" ht="15" customHeight="1">
      <c r="L2197" s="240"/>
    </row>
    <row r="2198" spans="12:12" ht="15" customHeight="1">
      <c r="L2198" s="240"/>
    </row>
    <row r="2199" spans="12:12" ht="15" customHeight="1">
      <c r="L2199" s="240"/>
    </row>
    <row r="2200" spans="12:12" ht="15" customHeight="1">
      <c r="L2200" s="240"/>
    </row>
    <row r="2201" spans="12:12" ht="15" customHeight="1">
      <c r="L2201" s="240"/>
    </row>
    <row r="2202" spans="12:12" ht="15" customHeight="1">
      <c r="L2202" s="240"/>
    </row>
    <row r="2203" spans="12:12" ht="15" customHeight="1">
      <c r="L2203" s="240"/>
    </row>
    <row r="2204" spans="12:12" ht="15" customHeight="1">
      <c r="L2204" s="240"/>
    </row>
    <row r="2205" spans="12:12" ht="15" customHeight="1">
      <c r="L2205" s="240"/>
    </row>
    <row r="2206" spans="12:12" ht="15" customHeight="1">
      <c r="L2206" s="240"/>
    </row>
    <row r="2207" spans="12:12" ht="15" customHeight="1">
      <c r="L2207" s="240"/>
    </row>
    <row r="2208" spans="12:12" ht="15" customHeight="1">
      <c r="L2208" s="240"/>
    </row>
    <row r="2209" spans="12:12" ht="15" customHeight="1">
      <c r="L2209" s="240"/>
    </row>
    <row r="2210" spans="12:12" ht="15" customHeight="1">
      <c r="L2210" s="240"/>
    </row>
    <row r="2211" spans="12:12" ht="15" customHeight="1">
      <c r="L2211" s="240"/>
    </row>
    <row r="2212" spans="12:12" ht="15" customHeight="1">
      <c r="L2212" s="240"/>
    </row>
    <row r="2213" spans="12:12" ht="15" customHeight="1">
      <c r="L2213" s="240"/>
    </row>
    <row r="2214" spans="12:12" ht="15" customHeight="1">
      <c r="L2214" s="240"/>
    </row>
    <row r="2215" spans="12:12" ht="15" customHeight="1">
      <c r="L2215" s="240"/>
    </row>
    <row r="2216" spans="12:12" ht="15" customHeight="1">
      <c r="L2216" s="240"/>
    </row>
    <row r="2217" spans="12:12" ht="15" customHeight="1">
      <c r="L2217" s="240"/>
    </row>
    <row r="2218" spans="12:12" ht="15" customHeight="1">
      <c r="L2218" s="240"/>
    </row>
    <row r="2219" spans="12:12" ht="15" customHeight="1">
      <c r="L2219" s="240"/>
    </row>
    <row r="2220" spans="12:12" ht="15" customHeight="1">
      <c r="L2220" s="240"/>
    </row>
    <row r="2221" spans="12:12" ht="15" customHeight="1">
      <c r="L2221" s="240"/>
    </row>
    <row r="2222" spans="12:12" ht="15" customHeight="1">
      <c r="L2222" s="240"/>
    </row>
    <row r="2223" spans="12:12" ht="15" customHeight="1">
      <c r="L2223" s="240"/>
    </row>
    <row r="2224" spans="12:12" ht="15" customHeight="1">
      <c r="L2224" s="240"/>
    </row>
    <row r="2225" spans="12:12" ht="15" customHeight="1">
      <c r="L2225" s="240"/>
    </row>
    <row r="2226" spans="12:12" ht="15" customHeight="1">
      <c r="L2226" s="240"/>
    </row>
    <row r="2227" spans="12:12" ht="15" customHeight="1">
      <c r="L2227" s="240"/>
    </row>
    <row r="2228" spans="12:12" ht="15" customHeight="1">
      <c r="L2228" s="240"/>
    </row>
    <row r="2229" spans="12:12" ht="15" customHeight="1">
      <c r="L2229" s="240"/>
    </row>
    <row r="2230" spans="12:12" ht="15" customHeight="1">
      <c r="L2230" s="240"/>
    </row>
    <row r="2231" spans="12:12" ht="15" customHeight="1">
      <c r="L2231" s="240"/>
    </row>
    <row r="2232" spans="12:12" ht="15" customHeight="1">
      <c r="L2232" s="240"/>
    </row>
    <row r="2233" spans="12:12" ht="15" customHeight="1">
      <c r="L2233" s="240"/>
    </row>
    <row r="2234" spans="12:12" ht="15" customHeight="1">
      <c r="L2234" s="240"/>
    </row>
    <row r="2235" spans="12:12" ht="15" customHeight="1">
      <c r="L2235" s="240"/>
    </row>
    <row r="2236" spans="12:12" ht="15" customHeight="1">
      <c r="L2236" s="240"/>
    </row>
    <row r="2237" spans="12:12" ht="15" customHeight="1">
      <c r="L2237" s="240"/>
    </row>
    <row r="2238" spans="12:12" ht="15" customHeight="1">
      <c r="L2238" s="240"/>
    </row>
    <row r="2239" spans="12:12" ht="15" customHeight="1">
      <c r="L2239" s="240"/>
    </row>
    <row r="2240" spans="12:12" ht="15" customHeight="1">
      <c r="L2240" s="240"/>
    </row>
    <row r="2241" spans="12:12" ht="15" customHeight="1">
      <c r="L2241" s="240"/>
    </row>
    <row r="2242" spans="12:12" ht="15" customHeight="1">
      <c r="L2242" s="240"/>
    </row>
    <row r="2243" spans="12:12" ht="15" customHeight="1">
      <c r="L2243" s="240"/>
    </row>
    <row r="2244" spans="12:12" ht="15" customHeight="1">
      <c r="L2244" s="240"/>
    </row>
    <row r="2245" spans="12:12" ht="15" customHeight="1">
      <c r="L2245" s="240"/>
    </row>
    <row r="2246" spans="12:12" ht="15" customHeight="1">
      <c r="L2246" s="240"/>
    </row>
    <row r="2247" spans="12:12" ht="15" customHeight="1">
      <c r="L2247" s="240"/>
    </row>
    <row r="2248" spans="12:12" ht="15" customHeight="1">
      <c r="L2248" s="240"/>
    </row>
    <row r="2249" spans="12:12" ht="15" customHeight="1">
      <c r="L2249" s="240"/>
    </row>
    <row r="2250" spans="12:12" ht="15" customHeight="1">
      <c r="L2250" s="240"/>
    </row>
    <row r="2251" spans="12:12" ht="15" customHeight="1">
      <c r="L2251" s="240"/>
    </row>
    <row r="2252" spans="12:12" ht="15" customHeight="1">
      <c r="L2252" s="240"/>
    </row>
    <row r="2253" spans="12:12" ht="15" customHeight="1">
      <c r="L2253" s="240"/>
    </row>
    <row r="2254" spans="12:12" ht="15" customHeight="1">
      <c r="L2254" s="240"/>
    </row>
    <row r="2255" spans="12:12" ht="15" customHeight="1">
      <c r="L2255" s="240"/>
    </row>
    <row r="2256" spans="12:12" ht="15" customHeight="1">
      <c r="L2256" s="240"/>
    </row>
    <row r="2257" spans="12:12" ht="15" customHeight="1">
      <c r="L2257" s="240"/>
    </row>
    <row r="2258" spans="12:12" ht="15" customHeight="1">
      <c r="L2258" s="240"/>
    </row>
    <row r="2259" spans="12:12" ht="15" customHeight="1">
      <c r="L2259" s="240"/>
    </row>
    <row r="2260" spans="12:12" ht="15" customHeight="1">
      <c r="L2260" s="240"/>
    </row>
    <row r="2261" spans="12:12" ht="15" customHeight="1">
      <c r="L2261" s="240"/>
    </row>
    <row r="2262" spans="12:12" ht="15" customHeight="1">
      <c r="L2262" s="240"/>
    </row>
    <row r="2263" spans="12:12" ht="15" customHeight="1">
      <c r="L2263" s="240"/>
    </row>
    <row r="2264" spans="12:12" ht="15" customHeight="1">
      <c r="L2264" s="240"/>
    </row>
    <row r="2265" spans="12:12" ht="15" customHeight="1">
      <c r="L2265" s="240"/>
    </row>
    <row r="2266" spans="12:12" ht="15" customHeight="1">
      <c r="L2266" s="240"/>
    </row>
    <row r="2267" spans="12:12" ht="15" customHeight="1">
      <c r="L2267" s="240"/>
    </row>
    <row r="2268" spans="12:12" ht="15" customHeight="1">
      <c r="L2268" s="240"/>
    </row>
    <row r="2269" spans="12:12" ht="15" customHeight="1">
      <c r="L2269" s="240"/>
    </row>
    <row r="2270" spans="12:12" ht="15" customHeight="1">
      <c r="L2270" s="240"/>
    </row>
    <row r="2271" spans="12:12" ht="15" customHeight="1">
      <c r="L2271" s="240"/>
    </row>
    <row r="2272" spans="12:12" ht="15" customHeight="1">
      <c r="L2272" s="240"/>
    </row>
    <row r="2273" spans="12:12" ht="15" customHeight="1">
      <c r="L2273" s="240"/>
    </row>
    <row r="2274" spans="12:12" ht="15" customHeight="1">
      <c r="L2274" s="240"/>
    </row>
    <row r="2275" spans="12:12" ht="15" customHeight="1">
      <c r="L2275" s="240"/>
    </row>
    <row r="2276" spans="12:12" ht="15" customHeight="1">
      <c r="L2276" s="240"/>
    </row>
    <row r="2277" spans="12:12" ht="15" customHeight="1">
      <c r="L2277" s="240"/>
    </row>
    <row r="2278" spans="12:12" ht="15" customHeight="1">
      <c r="L2278" s="240"/>
    </row>
    <row r="2279" spans="12:12" ht="15" customHeight="1">
      <c r="L2279" s="240"/>
    </row>
    <row r="2280" spans="12:12" ht="15" customHeight="1">
      <c r="L2280" s="240"/>
    </row>
    <row r="2281" spans="12:12" ht="15" customHeight="1">
      <c r="L2281" s="240"/>
    </row>
    <row r="2282" spans="12:12" ht="15" customHeight="1">
      <c r="L2282" s="240"/>
    </row>
    <row r="2283" spans="12:12" ht="15" customHeight="1">
      <c r="L2283" s="240"/>
    </row>
    <row r="2284" spans="12:12" ht="15" customHeight="1">
      <c r="L2284" s="240"/>
    </row>
    <row r="2285" spans="12:12" ht="15" customHeight="1">
      <c r="L2285" s="240"/>
    </row>
    <row r="2286" spans="12:12" ht="15" customHeight="1">
      <c r="L2286" s="240"/>
    </row>
    <row r="2287" spans="12:12" ht="15" customHeight="1">
      <c r="L2287" s="240"/>
    </row>
    <row r="2288" spans="12:12" ht="15" customHeight="1">
      <c r="L2288" s="240"/>
    </row>
    <row r="2289" spans="12:12" ht="15" customHeight="1">
      <c r="L2289" s="240"/>
    </row>
    <row r="2290" spans="12:12" ht="15" customHeight="1">
      <c r="L2290" s="240"/>
    </row>
    <row r="2291" spans="12:12" ht="15" customHeight="1">
      <c r="L2291" s="240"/>
    </row>
    <row r="2292" spans="12:12" ht="15" customHeight="1">
      <c r="L2292" s="240"/>
    </row>
    <row r="2293" spans="12:12" ht="15" customHeight="1">
      <c r="L2293" s="240"/>
    </row>
    <row r="2294" spans="12:12" ht="15" customHeight="1">
      <c r="L2294" s="240"/>
    </row>
    <row r="2295" spans="12:12" ht="15" customHeight="1">
      <c r="L2295" s="240"/>
    </row>
    <row r="2296" spans="12:12" ht="15" customHeight="1">
      <c r="L2296" s="240"/>
    </row>
    <row r="2297" spans="12:12" ht="15" customHeight="1">
      <c r="L2297" s="240"/>
    </row>
    <row r="2298" spans="12:12" ht="15" customHeight="1">
      <c r="L2298" s="240"/>
    </row>
    <row r="2299" spans="12:12" ht="15" customHeight="1">
      <c r="L2299" s="240"/>
    </row>
    <row r="2300" spans="12:12" ht="15" customHeight="1">
      <c r="L2300" s="240"/>
    </row>
    <row r="2301" spans="12:12" ht="15" customHeight="1">
      <c r="L2301" s="240"/>
    </row>
    <row r="2302" spans="12:12" ht="15" customHeight="1">
      <c r="L2302" s="240"/>
    </row>
    <row r="2303" spans="12:12" ht="15" customHeight="1">
      <c r="L2303" s="240"/>
    </row>
    <row r="2304" spans="12:12" ht="15" customHeight="1">
      <c r="L2304" s="240"/>
    </row>
    <row r="2305" spans="12:12" ht="15" customHeight="1">
      <c r="L2305" s="240"/>
    </row>
    <row r="2306" spans="12:12" ht="15" customHeight="1">
      <c r="L2306" s="240"/>
    </row>
    <row r="2307" spans="12:12" ht="15" customHeight="1">
      <c r="L2307" s="240"/>
    </row>
    <row r="2308" spans="12:12" ht="15" customHeight="1">
      <c r="L2308" s="240"/>
    </row>
    <row r="2309" spans="12:12" ht="15" customHeight="1">
      <c r="L2309" s="240"/>
    </row>
    <row r="2310" spans="12:12" ht="15" customHeight="1">
      <c r="L2310" s="240"/>
    </row>
    <row r="2311" spans="12:12" ht="15" customHeight="1">
      <c r="L2311" s="240"/>
    </row>
    <row r="2312" spans="12:12" ht="15" customHeight="1">
      <c r="L2312" s="240"/>
    </row>
    <row r="2313" spans="12:12" ht="15" customHeight="1">
      <c r="L2313" s="240"/>
    </row>
    <row r="2314" spans="12:12" ht="15" customHeight="1">
      <c r="L2314" s="240"/>
    </row>
    <row r="2315" spans="12:12" ht="15" customHeight="1">
      <c r="L2315" s="240"/>
    </row>
    <row r="2316" spans="12:12" ht="15" customHeight="1">
      <c r="L2316" s="240"/>
    </row>
    <row r="2317" spans="12:12" ht="15" customHeight="1">
      <c r="L2317" s="240"/>
    </row>
    <row r="2318" spans="12:12" ht="15" customHeight="1">
      <c r="L2318" s="240"/>
    </row>
    <row r="2319" spans="12:12" ht="15" customHeight="1">
      <c r="L2319" s="240"/>
    </row>
    <row r="2320" spans="12:12" ht="15" customHeight="1">
      <c r="L2320" s="240"/>
    </row>
    <row r="2321" spans="12:12" ht="15" customHeight="1">
      <c r="L2321" s="240"/>
    </row>
    <row r="2322" spans="12:12" ht="15" customHeight="1">
      <c r="L2322" s="240"/>
    </row>
    <row r="2323" spans="12:12" ht="15" customHeight="1">
      <c r="L2323" s="240"/>
    </row>
    <row r="2324" spans="12:12" ht="15" customHeight="1">
      <c r="L2324" s="240"/>
    </row>
    <row r="2325" spans="12:12" ht="15" customHeight="1">
      <c r="L2325" s="240"/>
    </row>
    <row r="2326" spans="12:12" ht="15" customHeight="1">
      <c r="L2326" s="240"/>
    </row>
    <row r="2327" spans="12:12" ht="15" customHeight="1">
      <c r="L2327" s="240"/>
    </row>
    <row r="2328" spans="12:12" ht="15" customHeight="1">
      <c r="L2328" s="240"/>
    </row>
    <row r="2329" spans="12:12" ht="15" customHeight="1">
      <c r="L2329" s="240"/>
    </row>
    <row r="2330" spans="12:12" ht="15" customHeight="1">
      <c r="L2330" s="240"/>
    </row>
    <row r="2331" spans="12:12" ht="15" customHeight="1">
      <c r="L2331" s="240"/>
    </row>
    <row r="2332" spans="12:12" ht="15" customHeight="1">
      <c r="L2332" s="240"/>
    </row>
    <row r="2333" spans="12:12" ht="15" customHeight="1">
      <c r="L2333" s="240"/>
    </row>
    <row r="2334" spans="12:12" ht="15" customHeight="1">
      <c r="L2334" s="240"/>
    </row>
    <row r="2335" spans="12:12" ht="15" customHeight="1">
      <c r="L2335" s="240"/>
    </row>
    <row r="2336" spans="12:12" ht="15" customHeight="1">
      <c r="L2336" s="240"/>
    </row>
    <row r="2337" spans="12:12" ht="15" customHeight="1">
      <c r="L2337" s="240"/>
    </row>
    <row r="2338" spans="12:12" ht="15" customHeight="1">
      <c r="L2338" s="240"/>
    </row>
    <row r="2339" spans="12:12" ht="15" customHeight="1">
      <c r="L2339" s="240"/>
    </row>
    <row r="2340" spans="12:12" ht="15" customHeight="1">
      <c r="L2340" s="240"/>
    </row>
    <row r="2341" spans="12:12" ht="15" customHeight="1">
      <c r="L2341" s="240"/>
    </row>
    <row r="2342" spans="12:12" ht="15" customHeight="1">
      <c r="L2342" s="240"/>
    </row>
    <row r="2343" spans="12:12" ht="15" customHeight="1">
      <c r="L2343" s="240"/>
    </row>
    <row r="2344" spans="12:12" ht="15" customHeight="1">
      <c r="L2344" s="240"/>
    </row>
    <row r="2345" spans="12:12" ht="15" customHeight="1">
      <c r="L2345" s="240"/>
    </row>
    <row r="2346" spans="12:12" ht="15" customHeight="1">
      <c r="L2346" s="240"/>
    </row>
    <row r="2347" spans="12:12" ht="15" customHeight="1">
      <c r="L2347" s="240"/>
    </row>
    <row r="2348" spans="12:12" ht="15" customHeight="1">
      <c r="L2348" s="240"/>
    </row>
    <row r="2349" spans="12:12" ht="15" customHeight="1">
      <c r="L2349" s="240"/>
    </row>
    <row r="2350" spans="12:12" ht="15" customHeight="1">
      <c r="L2350" s="240"/>
    </row>
    <row r="2351" spans="12:12" ht="15" customHeight="1">
      <c r="L2351" s="240"/>
    </row>
    <row r="2352" spans="12:12" ht="15" customHeight="1">
      <c r="L2352" s="240"/>
    </row>
    <row r="2353" spans="12:12" ht="15" customHeight="1">
      <c r="L2353" s="240"/>
    </row>
    <row r="2354" spans="12:12" ht="15" customHeight="1">
      <c r="L2354" s="240"/>
    </row>
    <row r="2355" spans="12:12" ht="15" customHeight="1">
      <c r="L2355" s="240"/>
    </row>
    <row r="2356" spans="12:12" ht="15" customHeight="1">
      <c r="L2356" s="240"/>
    </row>
    <row r="2357" spans="12:12" ht="15" customHeight="1">
      <c r="L2357" s="240"/>
    </row>
    <row r="2358" spans="12:12" ht="15" customHeight="1">
      <c r="L2358" s="240"/>
    </row>
    <row r="2359" spans="12:12" ht="15" customHeight="1">
      <c r="L2359" s="240"/>
    </row>
    <row r="2360" spans="12:12" ht="15" customHeight="1">
      <c r="L2360" s="240"/>
    </row>
    <row r="2361" spans="12:12" ht="15" customHeight="1">
      <c r="L2361" s="240"/>
    </row>
    <row r="2362" spans="12:12" ht="15" customHeight="1">
      <c r="L2362" s="240"/>
    </row>
    <row r="2363" spans="12:12" ht="15" customHeight="1">
      <c r="L2363" s="240"/>
    </row>
    <row r="2364" spans="12:12" ht="15" customHeight="1">
      <c r="L2364" s="240"/>
    </row>
    <row r="2365" spans="12:12" ht="15" customHeight="1">
      <c r="L2365" s="240"/>
    </row>
    <row r="2366" spans="12:12" ht="15" customHeight="1">
      <c r="L2366" s="240"/>
    </row>
    <row r="2367" spans="12:12" ht="15" customHeight="1">
      <c r="L2367" s="240"/>
    </row>
    <row r="2368" spans="12:12" ht="15" customHeight="1">
      <c r="L2368" s="240"/>
    </row>
    <row r="2369" spans="12:12" ht="15" customHeight="1">
      <c r="L2369" s="240"/>
    </row>
    <row r="2370" spans="12:12" ht="15" customHeight="1">
      <c r="L2370" s="240"/>
    </row>
    <row r="2371" spans="12:12" ht="15" customHeight="1">
      <c r="L2371" s="240"/>
    </row>
    <row r="2372" spans="12:12" ht="15" customHeight="1">
      <c r="L2372" s="240"/>
    </row>
    <row r="2373" spans="12:12" ht="15" customHeight="1">
      <c r="L2373" s="240"/>
    </row>
    <row r="2374" spans="12:12" ht="15" customHeight="1">
      <c r="L2374" s="240"/>
    </row>
    <row r="2375" spans="12:12" ht="15" customHeight="1">
      <c r="L2375" s="240"/>
    </row>
    <row r="2376" spans="12:12" ht="15" customHeight="1">
      <c r="L2376" s="240"/>
    </row>
    <row r="2377" spans="12:12" ht="15" customHeight="1">
      <c r="L2377" s="240"/>
    </row>
    <row r="2378" spans="12:12" ht="15" customHeight="1">
      <c r="L2378" s="240"/>
    </row>
    <row r="2379" spans="12:12" ht="15" customHeight="1">
      <c r="L2379" s="240"/>
    </row>
    <row r="2380" spans="12:12" ht="15" customHeight="1">
      <c r="L2380" s="240"/>
    </row>
    <row r="2381" spans="12:12" ht="15" customHeight="1">
      <c r="L2381" s="240"/>
    </row>
    <row r="2382" spans="12:12" ht="15" customHeight="1">
      <c r="L2382" s="240"/>
    </row>
    <row r="2383" spans="12:12" ht="15" customHeight="1">
      <c r="L2383" s="240"/>
    </row>
    <row r="2384" spans="12:12" ht="15" customHeight="1">
      <c r="L2384" s="240"/>
    </row>
    <row r="2385" spans="12:12" ht="15" customHeight="1">
      <c r="L2385" s="240"/>
    </row>
    <row r="2386" spans="12:12" ht="15" customHeight="1">
      <c r="L2386" s="240"/>
    </row>
    <row r="2387" spans="12:12" ht="15" customHeight="1">
      <c r="L2387" s="240"/>
    </row>
    <row r="2388" spans="12:12" ht="15" customHeight="1">
      <c r="L2388" s="240"/>
    </row>
    <row r="2389" spans="12:12" ht="15" customHeight="1">
      <c r="L2389" s="240"/>
    </row>
    <row r="2390" spans="12:12" ht="15" customHeight="1">
      <c r="L2390" s="240"/>
    </row>
    <row r="2391" spans="12:12" ht="15" customHeight="1">
      <c r="L2391" s="240"/>
    </row>
    <row r="2392" spans="12:12" ht="15" customHeight="1">
      <c r="L2392" s="240"/>
    </row>
    <row r="2393" spans="12:12" ht="15" customHeight="1">
      <c r="L2393" s="240"/>
    </row>
    <row r="2394" spans="12:12" ht="15" customHeight="1">
      <c r="L2394" s="240"/>
    </row>
    <row r="2395" spans="12:12" ht="15" customHeight="1">
      <c r="L2395" s="240"/>
    </row>
    <row r="2396" spans="12:12" ht="15" customHeight="1">
      <c r="L2396" s="240"/>
    </row>
    <row r="2397" spans="12:12" ht="15" customHeight="1">
      <c r="L2397" s="240"/>
    </row>
    <row r="2398" spans="12:12" ht="15" customHeight="1">
      <c r="L2398" s="240"/>
    </row>
    <row r="2399" spans="12:12" ht="15" customHeight="1">
      <c r="L2399" s="240"/>
    </row>
    <row r="2400" spans="12:12" ht="15" customHeight="1">
      <c r="L2400" s="240"/>
    </row>
    <row r="2401" spans="12:12" ht="15" customHeight="1">
      <c r="L2401" s="240"/>
    </row>
    <row r="2402" spans="12:12" ht="15" customHeight="1">
      <c r="L2402" s="240"/>
    </row>
    <row r="2403" spans="12:12" ht="15" customHeight="1">
      <c r="L2403" s="240"/>
    </row>
    <row r="2404" spans="12:12" ht="15" customHeight="1">
      <c r="L2404" s="240"/>
    </row>
    <row r="2405" spans="12:12" ht="15" customHeight="1">
      <c r="L2405" s="240"/>
    </row>
    <row r="2406" spans="12:12" ht="15" customHeight="1">
      <c r="L2406" s="240"/>
    </row>
    <row r="2407" spans="12:12" ht="15" customHeight="1">
      <c r="L2407" s="240"/>
    </row>
    <row r="2408" spans="12:12" ht="15" customHeight="1">
      <c r="L2408" s="240"/>
    </row>
    <row r="2409" spans="12:12" ht="15" customHeight="1">
      <c r="L2409" s="240"/>
    </row>
    <row r="2410" spans="12:12" ht="15" customHeight="1">
      <c r="L2410" s="240"/>
    </row>
    <row r="2411" spans="12:12" ht="15" customHeight="1">
      <c r="L2411" s="240"/>
    </row>
    <row r="2412" spans="12:12" ht="15" customHeight="1">
      <c r="L2412" s="240"/>
    </row>
    <row r="2413" spans="12:12" ht="15" customHeight="1">
      <c r="L2413" s="240"/>
    </row>
    <row r="2414" spans="12:12" ht="15" customHeight="1">
      <c r="L2414" s="240"/>
    </row>
    <row r="2415" spans="12:12" ht="15" customHeight="1">
      <c r="L2415" s="240"/>
    </row>
    <row r="2416" spans="12:12" ht="15" customHeight="1">
      <c r="L2416" s="240"/>
    </row>
    <row r="2417" spans="12:12" ht="15" customHeight="1">
      <c r="L2417" s="240"/>
    </row>
    <row r="2418" spans="12:12" ht="15" customHeight="1">
      <c r="L2418" s="240"/>
    </row>
    <row r="2419" spans="12:12" ht="15" customHeight="1">
      <c r="L2419" s="240"/>
    </row>
    <row r="2420" spans="12:12" ht="15" customHeight="1">
      <c r="L2420" s="240"/>
    </row>
    <row r="2421" spans="12:12" ht="15" customHeight="1">
      <c r="L2421" s="240"/>
    </row>
    <row r="2422" spans="12:12" ht="15" customHeight="1">
      <c r="L2422" s="240"/>
    </row>
    <row r="2423" spans="12:12" ht="15" customHeight="1">
      <c r="L2423" s="240"/>
    </row>
    <row r="2424" spans="12:12" ht="15" customHeight="1">
      <c r="L2424" s="240"/>
    </row>
    <row r="2425" spans="12:12" ht="15" customHeight="1">
      <c r="L2425" s="240"/>
    </row>
    <row r="2426" spans="12:12" ht="15" customHeight="1">
      <c r="L2426" s="240"/>
    </row>
    <row r="2427" spans="12:12" ht="15" customHeight="1">
      <c r="L2427" s="240"/>
    </row>
    <row r="2428" spans="12:12" ht="15" customHeight="1">
      <c r="L2428" s="240"/>
    </row>
    <row r="2429" spans="12:12" ht="15" customHeight="1">
      <c r="L2429" s="240"/>
    </row>
    <row r="2430" spans="12:12" ht="15" customHeight="1">
      <c r="L2430" s="240"/>
    </row>
    <row r="2431" spans="12:12" ht="15" customHeight="1">
      <c r="L2431" s="240"/>
    </row>
    <row r="2432" spans="12:12" ht="15" customHeight="1">
      <c r="L2432" s="240"/>
    </row>
    <row r="2433" spans="12:12" ht="15" customHeight="1">
      <c r="L2433" s="240"/>
    </row>
    <row r="2434" spans="12:12" ht="15" customHeight="1">
      <c r="L2434" s="240"/>
    </row>
    <row r="2435" spans="12:12" ht="15" customHeight="1">
      <c r="L2435" s="240"/>
    </row>
    <row r="2436" spans="12:12" ht="15" customHeight="1">
      <c r="L2436" s="240"/>
    </row>
    <row r="2437" spans="12:12" ht="15" customHeight="1">
      <c r="L2437" s="240"/>
    </row>
    <row r="2438" spans="12:12" ht="15" customHeight="1">
      <c r="L2438" s="240"/>
    </row>
    <row r="2439" spans="12:12" ht="15" customHeight="1">
      <c r="L2439" s="240"/>
    </row>
    <row r="2440" spans="12:12" ht="15" customHeight="1">
      <c r="L2440" s="240"/>
    </row>
    <row r="2441" spans="12:12" ht="15" customHeight="1">
      <c r="L2441" s="240"/>
    </row>
    <row r="2442" spans="12:12" ht="15" customHeight="1">
      <c r="L2442" s="240"/>
    </row>
    <row r="2443" spans="12:12" ht="15" customHeight="1">
      <c r="L2443" s="240"/>
    </row>
    <row r="2444" spans="12:12" ht="15" customHeight="1">
      <c r="L2444" s="240"/>
    </row>
    <row r="2445" spans="12:12" ht="15" customHeight="1">
      <c r="L2445" s="240"/>
    </row>
    <row r="2446" spans="12:12" ht="15" customHeight="1">
      <c r="L2446" s="240"/>
    </row>
    <row r="2447" spans="12:12" ht="15" customHeight="1">
      <c r="L2447" s="240"/>
    </row>
    <row r="2448" spans="12:12" ht="15" customHeight="1">
      <c r="L2448" s="240"/>
    </row>
    <row r="2449" spans="12:12" ht="15" customHeight="1">
      <c r="L2449" s="240"/>
    </row>
    <row r="2450" spans="12:12" ht="15" customHeight="1">
      <c r="L2450" s="240"/>
    </row>
    <row r="2451" spans="12:12" ht="15" customHeight="1">
      <c r="L2451" s="240"/>
    </row>
    <row r="2452" spans="12:12" ht="15" customHeight="1">
      <c r="L2452" s="240"/>
    </row>
    <row r="2453" spans="12:12" ht="15" customHeight="1">
      <c r="L2453" s="240"/>
    </row>
    <row r="2454" spans="12:12" ht="15" customHeight="1">
      <c r="L2454" s="240"/>
    </row>
    <row r="2455" spans="12:12" ht="15" customHeight="1">
      <c r="L2455" s="240"/>
    </row>
    <row r="2456" spans="12:12" ht="15" customHeight="1">
      <c r="L2456" s="240"/>
    </row>
    <row r="2457" spans="12:12" ht="15" customHeight="1">
      <c r="L2457" s="240"/>
    </row>
    <row r="2458" spans="12:12" ht="15" customHeight="1">
      <c r="L2458" s="240"/>
    </row>
    <row r="2459" spans="12:12" ht="15" customHeight="1">
      <c r="L2459" s="240"/>
    </row>
    <row r="2460" spans="12:12" ht="15" customHeight="1">
      <c r="L2460" s="240"/>
    </row>
    <row r="2461" spans="12:12" ht="15" customHeight="1">
      <c r="L2461" s="240"/>
    </row>
    <row r="2462" spans="12:12" ht="15" customHeight="1">
      <c r="L2462" s="240"/>
    </row>
    <row r="2463" spans="12:12" ht="15" customHeight="1">
      <c r="L2463" s="240"/>
    </row>
    <row r="2464" spans="12:12" ht="15" customHeight="1">
      <c r="L2464" s="240"/>
    </row>
    <row r="2465" spans="12:12" ht="15" customHeight="1">
      <c r="L2465" s="240"/>
    </row>
    <row r="2466" spans="12:12" ht="15" customHeight="1">
      <c r="L2466" s="240"/>
    </row>
    <row r="2467" spans="12:12" ht="15" customHeight="1">
      <c r="L2467" s="240"/>
    </row>
    <row r="2468" spans="12:12" ht="15" customHeight="1">
      <c r="L2468" s="240"/>
    </row>
    <row r="2469" spans="12:12" ht="15" customHeight="1">
      <c r="L2469" s="240"/>
    </row>
    <row r="2470" spans="12:12" ht="15" customHeight="1">
      <c r="L2470" s="240"/>
    </row>
    <row r="2471" spans="12:12" ht="15" customHeight="1">
      <c r="L2471" s="240"/>
    </row>
    <row r="2472" spans="12:12" ht="15" customHeight="1">
      <c r="L2472" s="240"/>
    </row>
    <row r="2473" spans="12:12" ht="15" customHeight="1">
      <c r="L2473" s="240"/>
    </row>
    <row r="2474" spans="12:12" ht="15" customHeight="1">
      <c r="L2474" s="240"/>
    </row>
    <row r="2475" spans="12:12" ht="15" customHeight="1">
      <c r="L2475" s="240"/>
    </row>
    <row r="2476" spans="12:12" ht="15" customHeight="1">
      <c r="L2476" s="240"/>
    </row>
    <row r="2477" spans="12:12" ht="15" customHeight="1">
      <c r="L2477" s="240"/>
    </row>
    <row r="2478" spans="12:12" ht="15" customHeight="1">
      <c r="L2478" s="240"/>
    </row>
    <row r="2479" spans="12:12" ht="15" customHeight="1">
      <c r="L2479" s="240"/>
    </row>
    <row r="2480" spans="12:12" ht="15" customHeight="1">
      <c r="L2480" s="240"/>
    </row>
    <row r="2481" spans="12:12" ht="15" customHeight="1">
      <c r="L2481" s="240"/>
    </row>
    <row r="2482" spans="12:12" ht="15" customHeight="1">
      <c r="L2482" s="240"/>
    </row>
    <row r="2483" spans="12:12" ht="15" customHeight="1">
      <c r="L2483" s="240"/>
    </row>
    <row r="2484" spans="12:12" ht="15" customHeight="1">
      <c r="L2484" s="240"/>
    </row>
    <row r="2485" spans="12:12" ht="15" customHeight="1">
      <c r="L2485" s="240"/>
    </row>
    <row r="2486" spans="12:12" ht="15" customHeight="1">
      <c r="L2486" s="240"/>
    </row>
    <row r="2487" spans="12:12" ht="15" customHeight="1">
      <c r="L2487" s="240"/>
    </row>
    <row r="2488" spans="12:12" ht="15" customHeight="1">
      <c r="L2488" s="240"/>
    </row>
    <row r="2489" spans="12:12" ht="15" customHeight="1">
      <c r="L2489" s="240"/>
    </row>
    <row r="2490" spans="12:12" ht="15" customHeight="1">
      <c r="L2490" s="240"/>
    </row>
    <row r="2491" spans="12:12" ht="15" customHeight="1">
      <c r="L2491" s="240"/>
    </row>
    <row r="2492" spans="12:12" ht="15" customHeight="1">
      <c r="L2492" s="240"/>
    </row>
    <row r="2493" spans="12:12" ht="15" customHeight="1">
      <c r="L2493" s="240"/>
    </row>
    <row r="2494" spans="12:12" ht="15" customHeight="1">
      <c r="L2494" s="240"/>
    </row>
    <row r="2495" spans="12:12" ht="15" customHeight="1">
      <c r="L2495" s="240"/>
    </row>
    <row r="2496" spans="12:12" ht="15" customHeight="1">
      <c r="L2496" s="240"/>
    </row>
    <row r="2497" spans="12:12" ht="15" customHeight="1">
      <c r="L2497" s="240"/>
    </row>
    <row r="2498" spans="12:12" ht="15" customHeight="1">
      <c r="L2498" s="240"/>
    </row>
    <row r="2499" spans="12:12" ht="15" customHeight="1">
      <c r="L2499" s="240"/>
    </row>
    <row r="2500" spans="12:12" ht="15" customHeight="1">
      <c r="L2500" s="240"/>
    </row>
    <row r="2501" spans="12:12" ht="15" customHeight="1">
      <c r="L2501" s="240"/>
    </row>
    <row r="2502" spans="12:12" ht="15" customHeight="1">
      <c r="L2502" s="240"/>
    </row>
    <row r="2503" spans="12:12" ht="15" customHeight="1">
      <c r="L2503" s="240"/>
    </row>
    <row r="2504" spans="12:12" ht="15" customHeight="1">
      <c r="L2504" s="240"/>
    </row>
    <row r="2505" spans="12:12" ht="15" customHeight="1">
      <c r="L2505" s="240"/>
    </row>
    <row r="2506" spans="12:12" ht="15" customHeight="1">
      <c r="L2506" s="240"/>
    </row>
    <row r="2507" spans="12:12" ht="15" customHeight="1">
      <c r="L2507" s="240"/>
    </row>
    <row r="2508" spans="12:12" ht="15" customHeight="1">
      <c r="L2508" s="240"/>
    </row>
    <row r="2509" spans="12:12" ht="15" customHeight="1">
      <c r="L2509" s="240"/>
    </row>
    <row r="2510" spans="12:12" ht="15" customHeight="1">
      <c r="L2510" s="240"/>
    </row>
    <row r="2511" spans="12:12" ht="15" customHeight="1">
      <c r="L2511" s="240"/>
    </row>
    <row r="2512" spans="12:12" ht="15" customHeight="1">
      <c r="L2512" s="240"/>
    </row>
    <row r="2513" spans="12:12" ht="15" customHeight="1">
      <c r="L2513" s="240"/>
    </row>
    <row r="2514" spans="12:12" ht="15" customHeight="1">
      <c r="L2514" s="240"/>
    </row>
    <row r="2515" spans="12:12" ht="15" customHeight="1">
      <c r="L2515" s="240"/>
    </row>
    <row r="2516" spans="12:12" ht="15" customHeight="1">
      <c r="L2516" s="240"/>
    </row>
    <row r="2517" spans="12:12" ht="15" customHeight="1">
      <c r="L2517" s="240"/>
    </row>
    <row r="2518" spans="12:12" ht="15" customHeight="1">
      <c r="L2518" s="240"/>
    </row>
    <row r="2519" spans="12:12" ht="15" customHeight="1">
      <c r="L2519" s="240"/>
    </row>
    <row r="2520" spans="12:12" ht="15" customHeight="1">
      <c r="L2520" s="240"/>
    </row>
    <row r="2521" spans="12:12" ht="15" customHeight="1">
      <c r="L2521" s="240"/>
    </row>
    <row r="2522" spans="12:12" ht="15" customHeight="1">
      <c r="L2522" s="240"/>
    </row>
    <row r="2523" spans="12:12" ht="15" customHeight="1">
      <c r="L2523" s="240"/>
    </row>
    <row r="2524" spans="12:12" ht="15" customHeight="1">
      <c r="L2524" s="240"/>
    </row>
    <row r="2525" spans="12:12" ht="15" customHeight="1">
      <c r="L2525" s="240"/>
    </row>
    <row r="2526" spans="12:12" ht="15" customHeight="1">
      <c r="L2526" s="240"/>
    </row>
    <row r="2527" spans="12:12" ht="15" customHeight="1">
      <c r="L2527" s="240"/>
    </row>
    <row r="2528" spans="12:12" ht="15" customHeight="1">
      <c r="L2528" s="240"/>
    </row>
    <row r="2529" spans="12:12" ht="15" customHeight="1">
      <c r="L2529" s="240"/>
    </row>
    <row r="2530" spans="12:12" ht="15" customHeight="1">
      <c r="L2530" s="240"/>
    </row>
    <row r="2531" spans="12:12" ht="15" customHeight="1">
      <c r="L2531" s="240"/>
    </row>
    <row r="2532" spans="12:12" ht="15" customHeight="1">
      <c r="L2532" s="240"/>
    </row>
    <row r="2533" spans="12:12" ht="15" customHeight="1">
      <c r="L2533" s="240"/>
    </row>
    <row r="2534" spans="12:12" ht="15" customHeight="1">
      <c r="L2534" s="240"/>
    </row>
    <row r="2535" spans="12:12" ht="15" customHeight="1">
      <c r="L2535" s="240"/>
    </row>
    <row r="2536" spans="12:12" ht="15" customHeight="1">
      <c r="L2536" s="240"/>
    </row>
    <row r="2537" spans="12:12" ht="15" customHeight="1">
      <c r="L2537" s="240"/>
    </row>
    <row r="2538" spans="12:12" ht="15" customHeight="1">
      <c r="L2538" s="240"/>
    </row>
    <row r="2539" spans="12:12" ht="15" customHeight="1">
      <c r="L2539" s="240"/>
    </row>
    <row r="2540" spans="12:12" ht="15" customHeight="1">
      <c r="L2540" s="240"/>
    </row>
    <row r="2541" spans="12:12" ht="15" customHeight="1">
      <c r="L2541" s="240"/>
    </row>
    <row r="2542" spans="12:12" ht="15" customHeight="1">
      <c r="L2542" s="240"/>
    </row>
    <row r="2543" spans="12:12" ht="15" customHeight="1">
      <c r="L2543" s="240"/>
    </row>
    <row r="2544" spans="12:12" ht="15" customHeight="1">
      <c r="L2544" s="240"/>
    </row>
    <row r="2545" spans="12:12" ht="15" customHeight="1">
      <c r="L2545" s="240"/>
    </row>
    <row r="2546" spans="12:12" ht="15" customHeight="1">
      <c r="L2546" s="240"/>
    </row>
    <row r="2547" spans="12:12" ht="15" customHeight="1">
      <c r="L2547" s="240"/>
    </row>
    <row r="2548" spans="12:12" ht="15" customHeight="1">
      <c r="L2548" s="240"/>
    </row>
    <row r="2549" spans="12:12" ht="15" customHeight="1">
      <c r="L2549" s="240"/>
    </row>
    <row r="2550" spans="12:12" ht="15" customHeight="1">
      <c r="L2550" s="240"/>
    </row>
    <row r="2551" spans="12:12" ht="15" customHeight="1">
      <c r="L2551" s="240"/>
    </row>
    <row r="2552" spans="12:12" ht="15" customHeight="1">
      <c r="L2552" s="240"/>
    </row>
    <row r="2553" spans="12:12" ht="15" customHeight="1">
      <c r="L2553" s="240"/>
    </row>
    <row r="2554" spans="12:12" ht="15" customHeight="1">
      <c r="L2554" s="240"/>
    </row>
    <row r="2555" spans="12:12" ht="15" customHeight="1">
      <c r="L2555" s="240"/>
    </row>
    <row r="2556" spans="12:12" ht="15" customHeight="1">
      <c r="L2556" s="240"/>
    </row>
    <row r="2557" spans="12:12" ht="15" customHeight="1">
      <c r="L2557" s="240"/>
    </row>
    <row r="2558" spans="12:12" ht="15" customHeight="1">
      <c r="L2558" s="240"/>
    </row>
    <row r="2559" spans="12:12" ht="15" customHeight="1">
      <c r="L2559" s="240"/>
    </row>
    <row r="2560" spans="12:12" ht="15" customHeight="1">
      <c r="L2560" s="240"/>
    </row>
    <row r="2561" spans="12:12" ht="15" customHeight="1">
      <c r="L2561" s="240"/>
    </row>
    <row r="2562" spans="12:12" ht="15" customHeight="1">
      <c r="L2562" s="240"/>
    </row>
    <row r="2563" spans="12:12" ht="15" customHeight="1">
      <c r="L2563" s="240"/>
    </row>
    <row r="2564" spans="12:12" ht="15" customHeight="1">
      <c r="L2564" s="240"/>
    </row>
    <row r="2565" spans="12:12" ht="15" customHeight="1">
      <c r="L2565" s="240"/>
    </row>
    <row r="2566" spans="12:12" ht="15" customHeight="1">
      <c r="L2566" s="240"/>
    </row>
    <row r="2567" spans="12:12" ht="15" customHeight="1">
      <c r="L2567" s="240"/>
    </row>
    <row r="2568" spans="12:12" ht="15" customHeight="1">
      <c r="L2568" s="240"/>
    </row>
    <row r="2569" spans="12:12" ht="15" customHeight="1">
      <c r="L2569" s="240"/>
    </row>
    <row r="2570" spans="12:12" ht="15" customHeight="1">
      <c r="L2570" s="240"/>
    </row>
    <row r="2571" spans="12:12" ht="15" customHeight="1">
      <c r="L2571" s="240"/>
    </row>
    <row r="2572" spans="12:12" ht="15" customHeight="1">
      <c r="L2572" s="240"/>
    </row>
    <row r="2573" spans="12:12" ht="15" customHeight="1">
      <c r="L2573" s="240"/>
    </row>
    <row r="2574" spans="12:12" ht="15" customHeight="1">
      <c r="L2574" s="240"/>
    </row>
    <row r="2575" spans="12:12" ht="15" customHeight="1">
      <c r="L2575" s="240"/>
    </row>
    <row r="2576" spans="12:12" ht="15" customHeight="1">
      <c r="L2576" s="240"/>
    </row>
    <row r="2577" spans="12:12" ht="15" customHeight="1">
      <c r="L2577" s="240"/>
    </row>
    <row r="2578" spans="12:12" ht="15" customHeight="1">
      <c r="L2578" s="240"/>
    </row>
    <row r="2579" spans="12:12" ht="15" customHeight="1">
      <c r="L2579" s="240"/>
    </row>
    <row r="2580" spans="12:12" ht="15" customHeight="1">
      <c r="L2580" s="240"/>
    </row>
    <row r="2581" spans="12:12" ht="15" customHeight="1">
      <c r="L2581" s="240"/>
    </row>
    <row r="2582" spans="12:12" ht="15" customHeight="1">
      <c r="L2582" s="240"/>
    </row>
    <row r="2583" spans="12:12" ht="15" customHeight="1">
      <c r="L2583" s="240"/>
    </row>
    <row r="2584" spans="12:12" ht="15" customHeight="1">
      <c r="L2584" s="240"/>
    </row>
    <row r="2585" spans="12:12" ht="15" customHeight="1">
      <c r="L2585" s="240"/>
    </row>
    <row r="2586" spans="12:12" ht="15" customHeight="1">
      <c r="L2586" s="240"/>
    </row>
    <row r="2587" spans="12:12" ht="15" customHeight="1">
      <c r="L2587" s="240"/>
    </row>
    <row r="2588" spans="12:12" ht="15" customHeight="1">
      <c r="L2588" s="240"/>
    </row>
    <row r="2589" spans="12:12" ht="15" customHeight="1">
      <c r="L2589" s="240"/>
    </row>
    <row r="2590" spans="12:12" ht="15" customHeight="1">
      <c r="L2590" s="240"/>
    </row>
    <row r="2591" spans="12:12" ht="15" customHeight="1">
      <c r="L2591" s="240"/>
    </row>
    <row r="2592" spans="12:12" ht="15" customHeight="1">
      <c r="L2592" s="240"/>
    </row>
    <row r="2593" spans="12:12" ht="15" customHeight="1">
      <c r="L2593" s="240"/>
    </row>
    <row r="2594" spans="12:12" ht="15" customHeight="1">
      <c r="L2594" s="240"/>
    </row>
    <row r="2595" spans="12:12" ht="15" customHeight="1">
      <c r="L2595" s="240"/>
    </row>
    <row r="2596" spans="12:12" ht="15" customHeight="1">
      <c r="L2596" s="240"/>
    </row>
    <row r="2597" spans="12:12" ht="15" customHeight="1">
      <c r="L2597" s="240"/>
    </row>
    <row r="2598" spans="12:12" ht="15" customHeight="1">
      <c r="L2598" s="240"/>
    </row>
    <row r="2599" spans="12:12" ht="15" customHeight="1">
      <c r="L2599" s="240"/>
    </row>
    <row r="2600" spans="12:12" ht="15" customHeight="1">
      <c r="L2600" s="240"/>
    </row>
    <row r="2601" spans="12:12" ht="15" customHeight="1">
      <c r="L2601" s="240"/>
    </row>
    <row r="2602" spans="12:12" ht="15" customHeight="1">
      <c r="L2602" s="240"/>
    </row>
    <row r="2603" spans="12:12" ht="15" customHeight="1">
      <c r="L2603" s="240"/>
    </row>
    <row r="2604" spans="12:12" ht="15" customHeight="1">
      <c r="L2604" s="240"/>
    </row>
    <row r="2605" spans="12:12" ht="15" customHeight="1">
      <c r="L2605" s="240"/>
    </row>
    <row r="2606" spans="12:12" ht="15" customHeight="1">
      <c r="L2606" s="240"/>
    </row>
    <row r="2607" spans="12:12" ht="15" customHeight="1">
      <c r="L2607" s="240"/>
    </row>
    <row r="2608" spans="12:12" ht="15" customHeight="1">
      <c r="L2608" s="240"/>
    </row>
    <row r="2609" spans="12:12" ht="15" customHeight="1">
      <c r="L2609" s="240"/>
    </row>
    <row r="2610" spans="12:12" ht="15" customHeight="1">
      <c r="L2610" s="240"/>
    </row>
    <row r="2611" spans="12:12" ht="15" customHeight="1">
      <c r="L2611" s="240"/>
    </row>
    <row r="2612" spans="12:12" ht="15" customHeight="1">
      <c r="L2612" s="240"/>
    </row>
    <row r="2613" spans="12:12" ht="15" customHeight="1">
      <c r="L2613" s="240"/>
    </row>
    <row r="2614" spans="12:12" ht="15" customHeight="1">
      <c r="L2614" s="240"/>
    </row>
    <row r="2615" spans="12:12" ht="15" customHeight="1">
      <c r="L2615" s="240"/>
    </row>
    <row r="2616" spans="12:12" ht="15" customHeight="1">
      <c r="L2616" s="240"/>
    </row>
    <row r="2617" spans="12:12" ht="15" customHeight="1">
      <c r="L2617" s="240"/>
    </row>
    <row r="2618" spans="12:12" ht="15" customHeight="1">
      <c r="L2618" s="240"/>
    </row>
    <row r="2619" spans="12:12" ht="15" customHeight="1">
      <c r="L2619" s="240"/>
    </row>
    <row r="2620" spans="12:12" ht="15" customHeight="1">
      <c r="L2620" s="240"/>
    </row>
    <row r="2621" spans="12:12" ht="15" customHeight="1">
      <c r="L2621" s="240"/>
    </row>
    <row r="2622" spans="12:12" ht="15" customHeight="1">
      <c r="L2622" s="240"/>
    </row>
    <row r="2623" spans="12:12" ht="15" customHeight="1">
      <c r="L2623" s="240"/>
    </row>
    <row r="2624" spans="12:12" ht="15" customHeight="1">
      <c r="L2624" s="240"/>
    </row>
    <row r="2625" spans="12:12" ht="15" customHeight="1">
      <c r="L2625" s="240"/>
    </row>
    <row r="2626" spans="12:12" ht="15" customHeight="1">
      <c r="L2626" s="240"/>
    </row>
    <row r="2627" spans="12:12" ht="15" customHeight="1">
      <c r="L2627" s="240"/>
    </row>
    <row r="2628" spans="12:12" ht="15" customHeight="1">
      <c r="L2628" s="240"/>
    </row>
    <row r="2629" spans="12:12" ht="15" customHeight="1">
      <c r="L2629" s="240"/>
    </row>
    <row r="2630" spans="12:12" ht="15" customHeight="1">
      <c r="L2630" s="240"/>
    </row>
    <row r="2631" spans="12:12" ht="15" customHeight="1">
      <c r="L2631" s="240"/>
    </row>
    <row r="2632" spans="12:12" ht="15" customHeight="1">
      <c r="L2632" s="240"/>
    </row>
    <row r="2633" spans="12:12" ht="15" customHeight="1">
      <c r="L2633" s="240"/>
    </row>
    <row r="2634" spans="12:12" ht="15" customHeight="1">
      <c r="L2634" s="240"/>
    </row>
    <row r="2635" spans="12:12" ht="15" customHeight="1">
      <c r="L2635" s="240"/>
    </row>
    <row r="2636" spans="12:12" ht="15" customHeight="1">
      <c r="L2636" s="240"/>
    </row>
    <row r="2637" spans="12:12" ht="15" customHeight="1">
      <c r="L2637" s="240"/>
    </row>
    <row r="2638" spans="12:12" ht="15" customHeight="1">
      <c r="L2638" s="240"/>
    </row>
    <row r="2639" spans="12:12" ht="15" customHeight="1">
      <c r="L2639" s="240"/>
    </row>
    <row r="2640" spans="12:12" ht="15" customHeight="1">
      <c r="L2640" s="240"/>
    </row>
    <row r="2641" spans="12:12" ht="15" customHeight="1">
      <c r="L2641" s="240"/>
    </row>
    <row r="2642" spans="12:12" ht="15" customHeight="1">
      <c r="L2642" s="240"/>
    </row>
    <row r="2643" spans="12:12" ht="15" customHeight="1">
      <c r="L2643" s="240"/>
    </row>
    <row r="2644" spans="12:12" ht="15" customHeight="1">
      <c r="L2644" s="240"/>
    </row>
    <row r="2645" spans="12:12" ht="15" customHeight="1">
      <c r="L2645" s="240"/>
    </row>
    <row r="2646" spans="12:12" ht="15" customHeight="1">
      <c r="L2646" s="240"/>
    </row>
    <row r="2647" spans="12:12" ht="15" customHeight="1">
      <c r="L2647" s="240"/>
    </row>
    <row r="2648" spans="12:12" ht="15" customHeight="1">
      <c r="L2648" s="240"/>
    </row>
    <row r="2649" spans="12:12" ht="15" customHeight="1">
      <c r="L2649" s="240"/>
    </row>
    <row r="2650" spans="12:12" ht="15" customHeight="1">
      <c r="L2650" s="240"/>
    </row>
    <row r="2651" spans="12:12" ht="15" customHeight="1">
      <c r="L2651" s="240"/>
    </row>
    <row r="2652" spans="12:12" ht="15" customHeight="1">
      <c r="L2652" s="240"/>
    </row>
    <row r="2653" spans="12:12" ht="15" customHeight="1">
      <c r="L2653" s="240"/>
    </row>
    <row r="2654" spans="12:12" ht="15" customHeight="1">
      <c r="L2654" s="240"/>
    </row>
    <row r="2655" spans="12:12" ht="15" customHeight="1">
      <c r="L2655" s="240"/>
    </row>
    <row r="2656" spans="12:12" ht="15" customHeight="1">
      <c r="L2656" s="240"/>
    </row>
    <row r="2657" spans="12:12" ht="15" customHeight="1">
      <c r="L2657" s="240"/>
    </row>
    <row r="2658" spans="12:12" ht="15" customHeight="1">
      <c r="L2658" s="240"/>
    </row>
    <row r="2659" spans="12:12" ht="15" customHeight="1">
      <c r="L2659" s="240"/>
    </row>
    <row r="2660" spans="12:12" ht="15" customHeight="1">
      <c r="L2660" s="240"/>
    </row>
    <row r="2661" spans="12:12" ht="15" customHeight="1">
      <c r="L2661" s="240"/>
    </row>
    <row r="2662" spans="12:12" ht="15" customHeight="1">
      <c r="L2662" s="240"/>
    </row>
    <row r="2663" spans="12:12" ht="15" customHeight="1">
      <c r="L2663" s="240"/>
    </row>
    <row r="2664" spans="12:12" ht="15" customHeight="1">
      <c r="L2664" s="240"/>
    </row>
    <row r="2665" spans="12:12" ht="15" customHeight="1">
      <c r="L2665" s="240"/>
    </row>
    <row r="2666" spans="12:12" ht="15" customHeight="1">
      <c r="L2666" s="240"/>
    </row>
    <row r="2667" spans="12:12" ht="15" customHeight="1">
      <c r="L2667" s="240"/>
    </row>
    <row r="2668" spans="12:12" ht="15" customHeight="1">
      <c r="L2668" s="240"/>
    </row>
    <row r="2669" spans="12:12" ht="15" customHeight="1">
      <c r="L2669" s="240"/>
    </row>
    <row r="2670" spans="12:12" ht="15" customHeight="1">
      <c r="L2670" s="240"/>
    </row>
    <row r="2671" spans="12:12" ht="15" customHeight="1">
      <c r="L2671" s="240"/>
    </row>
    <row r="2672" spans="12:12" ht="15" customHeight="1">
      <c r="L2672" s="240"/>
    </row>
    <row r="2673" spans="12:12" ht="15" customHeight="1">
      <c r="L2673" s="240"/>
    </row>
    <row r="2674" spans="12:12" ht="15" customHeight="1">
      <c r="L2674" s="240"/>
    </row>
    <row r="2675" spans="12:12" ht="15" customHeight="1">
      <c r="L2675" s="240"/>
    </row>
    <row r="2676" spans="12:12" ht="15" customHeight="1">
      <c r="L2676" s="240"/>
    </row>
    <row r="2677" spans="12:12" ht="15" customHeight="1">
      <c r="L2677" s="240"/>
    </row>
    <row r="2678" spans="12:12" ht="15" customHeight="1">
      <c r="L2678" s="240"/>
    </row>
    <row r="2679" spans="12:12" ht="15" customHeight="1">
      <c r="L2679" s="240"/>
    </row>
    <row r="2680" spans="12:12" ht="15" customHeight="1">
      <c r="L2680" s="240"/>
    </row>
    <row r="2681" spans="12:12" ht="15" customHeight="1">
      <c r="L2681" s="240"/>
    </row>
    <row r="2682" spans="12:12" ht="15" customHeight="1">
      <c r="L2682" s="240"/>
    </row>
    <row r="2683" spans="12:12" ht="15" customHeight="1">
      <c r="L2683" s="240"/>
    </row>
    <row r="2684" spans="12:12" ht="15" customHeight="1">
      <c r="L2684" s="240"/>
    </row>
    <row r="2685" spans="12:12" ht="15" customHeight="1">
      <c r="L2685" s="240"/>
    </row>
    <row r="2686" spans="12:12" ht="15" customHeight="1">
      <c r="L2686" s="240"/>
    </row>
    <row r="2687" spans="12:12" ht="15" customHeight="1">
      <c r="L2687" s="240"/>
    </row>
    <row r="2688" spans="12:12" ht="15" customHeight="1">
      <c r="L2688" s="240"/>
    </row>
    <row r="2689" spans="12:12" ht="15" customHeight="1">
      <c r="L2689" s="240"/>
    </row>
    <row r="2690" spans="12:12" ht="15" customHeight="1">
      <c r="L2690" s="240"/>
    </row>
    <row r="2691" spans="12:12" ht="15" customHeight="1">
      <c r="L2691" s="240"/>
    </row>
    <row r="2692" spans="12:12" ht="15" customHeight="1">
      <c r="L2692" s="240"/>
    </row>
    <row r="2693" spans="12:12" ht="15" customHeight="1">
      <c r="L2693" s="240"/>
    </row>
    <row r="2694" spans="12:12" ht="15" customHeight="1">
      <c r="L2694" s="240"/>
    </row>
    <row r="2695" spans="12:12" ht="15" customHeight="1">
      <c r="L2695" s="240"/>
    </row>
    <row r="2696" spans="12:12" ht="15" customHeight="1">
      <c r="L2696" s="240"/>
    </row>
    <row r="2697" spans="12:12" ht="15" customHeight="1">
      <c r="L2697" s="240"/>
    </row>
    <row r="2698" spans="12:12" ht="15" customHeight="1">
      <c r="L2698" s="240"/>
    </row>
    <row r="2699" spans="12:12" ht="15" customHeight="1">
      <c r="L2699" s="240"/>
    </row>
    <row r="2700" spans="12:12" ht="15" customHeight="1">
      <c r="L2700" s="240"/>
    </row>
    <row r="2701" spans="12:12" ht="15" customHeight="1">
      <c r="L2701" s="240"/>
    </row>
    <row r="2702" spans="12:12" ht="15" customHeight="1">
      <c r="L2702" s="240"/>
    </row>
    <row r="2703" spans="12:12" ht="15" customHeight="1">
      <c r="L2703" s="240"/>
    </row>
    <row r="2704" spans="12:12" ht="15" customHeight="1">
      <c r="L2704" s="240"/>
    </row>
    <row r="2705" spans="12:12" ht="15" customHeight="1">
      <c r="L2705" s="240"/>
    </row>
    <row r="2706" spans="12:12" ht="15" customHeight="1">
      <c r="L2706" s="240"/>
    </row>
    <row r="2707" spans="12:12" ht="15" customHeight="1">
      <c r="L2707" s="240"/>
    </row>
    <row r="2708" spans="12:12" ht="15" customHeight="1">
      <c r="L2708" s="240"/>
    </row>
    <row r="2709" spans="12:12" ht="15" customHeight="1">
      <c r="L2709" s="240"/>
    </row>
    <row r="2710" spans="12:12" ht="15" customHeight="1">
      <c r="L2710" s="240"/>
    </row>
    <row r="2711" spans="12:12" ht="15" customHeight="1">
      <c r="L2711" s="240"/>
    </row>
    <row r="2712" spans="12:12" ht="15" customHeight="1">
      <c r="L2712" s="240"/>
    </row>
    <row r="2713" spans="12:12" ht="15" customHeight="1">
      <c r="L2713" s="240"/>
    </row>
    <row r="2714" spans="12:12" ht="15" customHeight="1">
      <c r="L2714" s="240"/>
    </row>
    <row r="2715" spans="12:12" ht="15" customHeight="1">
      <c r="L2715" s="240"/>
    </row>
    <row r="2716" spans="12:12" ht="15" customHeight="1">
      <c r="L2716" s="240"/>
    </row>
    <row r="2717" spans="12:12" ht="15" customHeight="1">
      <c r="L2717" s="240"/>
    </row>
    <row r="2718" spans="12:12" ht="15" customHeight="1">
      <c r="L2718" s="240"/>
    </row>
    <row r="2719" spans="12:12" ht="15" customHeight="1">
      <c r="L2719" s="240"/>
    </row>
    <row r="2720" spans="12:12" ht="15" customHeight="1">
      <c r="L2720" s="240"/>
    </row>
    <row r="2721" spans="12:12" ht="15" customHeight="1">
      <c r="L2721" s="240"/>
    </row>
    <row r="2722" spans="12:12" ht="15" customHeight="1">
      <c r="L2722" s="240"/>
    </row>
    <row r="2723" spans="12:12" ht="15" customHeight="1">
      <c r="L2723" s="240"/>
    </row>
    <row r="2724" spans="12:12" ht="15" customHeight="1">
      <c r="L2724" s="240"/>
    </row>
    <row r="2725" spans="12:12" ht="15" customHeight="1">
      <c r="L2725" s="240"/>
    </row>
    <row r="2726" spans="12:12" ht="15" customHeight="1">
      <c r="L2726" s="240"/>
    </row>
    <row r="2727" spans="12:12" ht="15" customHeight="1">
      <c r="L2727" s="240"/>
    </row>
    <row r="2728" spans="12:12" ht="15" customHeight="1">
      <c r="L2728" s="240"/>
    </row>
    <row r="2729" spans="12:12" ht="15" customHeight="1">
      <c r="L2729" s="240"/>
    </row>
    <row r="2730" spans="12:12" ht="15" customHeight="1">
      <c r="L2730" s="240"/>
    </row>
    <row r="2731" spans="12:12" ht="15" customHeight="1">
      <c r="L2731" s="240"/>
    </row>
    <row r="2732" spans="12:12" ht="15" customHeight="1">
      <c r="L2732" s="240"/>
    </row>
    <row r="2733" spans="12:12" ht="15" customHeight="1">
      <c r="L2733" s="240"/>
    </row>
    <row r="2734" spans="12:12" ht="15" customHeight="1">
      <c r="L2734" s="240"/>
    </row>
    <row r="2735" spans="12:12" ht="15" customHeight="1">
      <c r="L2735" s="240"/>
    </row>
    <row r="2736" spans="12:12" ht="15" customHeight="1">
      <c r="L2736" s="240"/>
    </row>
    <row r="2737" spans="12:12" ht="15" customHeight="1">
      <c r="L2737" s="240"/>
    </row>
    <row r="2738" spans="12:12" ht="15" customHeight="1">
      <c r="L2738" s="240"/>
    </row>
    <row r="2739" spans="12:12" ht="15" customHeight="1">
      <c r="L2739" s="240"/>
    </row>
    <row r="2740" spans="12:12" ht="15" customHeight="1">
      <c r="L2740" s="240"/>
    </row>
    <row r="2741" spans="12:12" ht="15" customHeight="1">
      <c r="L2741" s="240"/>
    </row>
    <row r="2742" spans="12:12" ht="15" customHeight="1">
      <c r="L2742" s="240"/>
    </row>
    <row r="2743" spans="12:12" ht="15" customHeight="1">
      <c r="L2743" s="240"/>
    </row>
    <row r="2744" spans="12:12" ht="15" customHeight="1">
      <c r="L2744" s="240"/>
    </row>
    <row r="2745" spans="12:12" ht="15" customHeight="1">
      <c r="L2745" s="240"/>
    </row>
    <row r="2746" spans="12:12" ht="15" customHeight="1">
      <c r="L2746" s="240"/>
    </row>
    <row r="2747" spans="12:12" ht="15" customHeight="1">
      <c r="L2747" s="240"/>
    </row>
    <row r="2748" spans="12:12" ht="15" customHeight="1">
      <c r="L2748" s="240"/>
    </row>
    <row r="2749" spans="12:12" ht="15" customHeight="1">
      <c r="L2749" s="240"/>
    </row>
    <row r="2750" spans="12:12" ht="15" customHeight="1">
      <c r="L2750" s="240"/>
    </row>
    <row r="2751" spans="12:12" ht="15" customHeight="1">
      <c r="L2751" s="240"/>
    </row>
    <row r="2752" spans="12:12" ht="15" customHeight="1">
      <c r="L2752" s="240"/>
    </row>
    <row r="2753" spans="12:12" ht="15" customHeight="1">
      <c r="L2753" s="240"/>
    </row>
    <row r="2754" spans="12:12" ht="15" customHeight="1">
      <c r="L2754" s="240"/>
    </row>
    <row r="2755" spans="12:12" ht="15" customHeight="1">
      <c r="L2755" s="240"/>
    </row>
    <row r="2756" spans="12:12" ht="15" customHeight="1">
      <c r="L2756" s="240"/>
    </row>
    <row r="2757" spans="12:12" ht="15" customHeight="1">
      <c r="L2757" s="240"/>
    </row>
    <row r="2758" spans="12:12" ht="15" customHeight="1">
      <c r="L2758" s="240"/>
    </row>
    <row r="2759" spans="12:12" ht="15" customHeight="1">
      <c r="L2759" s="240"/>
    </row>
    <row r="2760" spans="12:12" ht="15" customHeight="1">
      <c r="L2760" s="240"/>
    </row>
    <row r="2761" spans="12:12" ht="15" customHeight="1">
      <c r="L2761" s="240"/>
    </row>
    <row r="2762" spans="12:12" ht="15" customHeight="1">
      <c r="L2762" s="240"/>
    </row>
    <row r="2763" spans="12:12" ht="15" customHeight="1">
      <c r="L2763" s="240"/>
    </row>
    <row r="2764" spans="12:12" ht="15" customHeight="1">
      <c r="L2764" s="240"/>
    </row>
    <row r="2765" spans="12:12" ht="15" customHeight="1">
      <c r="L2765" s="240"/>
    </row>
    <row r="2766" spans="12:12" ht="15" customHeight="1">
      <c r="L2766" s="240"/>
    </row>
    <row r="2767" spans="12:12" ht="15" customHeight="1">
      <c r="L2767" s="240"/>
    </row>
    <row r="2768" spans="12:12" ht="15" customHeight="1">
      <c r="L2768" s="240"/>
    </row>
    <row r="2769" spans="12:12" ht="15" customHeight="1">
      <c r="L2769" s="240"/>
    </row>
    <row r="2770" spans="12:12" ht="15" customHeight="1">
      <c r="L2770" s="240"/>
    </row>
    <row r="2771" spans="12:12" ht="15" customHeight="1">
      <c r="L2771" s="240"/>
    </row>
    <row r="2772" spans="12:12" ht="15" customHeight="1">
      <c r="L2772" s="240"/>
    </row>
    <row r="2773" spans="12:12" ht="15" customHeight="1">
      <c r="L2773" s="240"/>
    </row>
    <row r="2774" spans="12:12" ht="15" customHeight="1">
      <c r="L2774" s="240"/>
    </row>
    <row r="2775" spans="12:12" ht="15" customHeight="1">
      <c r="L2775" s="240"/>
    </row>
    <row r="2776" spans="12:12" ht="15" customHeight="1">
      <c r="L2776" s="240"/>
    </row>
    <row r="2777" spans="12:12" ht="15" customHeight="1">
      <c r="L2777" s="240"/>
    </row>
    <row r="2778" spans="12:12" ht="15" customHeight="1">
      <c r="L2778" s="240"/>
    </row>
    <row r="2779" spans="12:12" ht="15" customHeight="1">
      <c r="L2779" s="240"/>
    </row>
    <row r="2780" spans="12:12" ht="15" customHeight="1">
      <c r="L2780" s="240"/>
    </row>
    <row r="2781" spans="12:12" ht="15" customHeight="1">
      <c r="L2781" s="240"/>
    </row>
    <row r="2782" spans="12:12" ht="15" customHeight="1">
      <c r="L2782" s="240"/>
    </row>
    <row r="2783" spans="12:12" ht="15" customHeight="1">
      <c r="L2783" s="240"/>
    </row>
    <row r="2784" spans="12:12" ht="15" customHeight="1">
      <c r="L2784" s="240"/>
    </row>
    <row r="2785" spans="12:12" ht="15" customHeight="1">
      <c r="L2785" s="240"/>
    </row>
    <row r="2786" spans="12:12" ht="15" customHeight="1">
      <c r="L2786" s="240"/>
    </row>
    <row r="2787" spans="12:12" ht="15" customHeight="1">
      <c r="L2787" s="240"/>
    </row>
    <row r="2788" spans="12:12" ht="15" customHeight="1">
      <c r="L2788" s="240"/>
    </row>
    <row r="2789" spans="12:12" ht="15" customHeight="1">
      <c r="L2789" s="240"/>
    </row>
    <row r="2790" spans="12:12" ht="15" customHeight="1">
      <c r="L2790" s="240"/>
    </row>
    <row r="2791" spans="12:12" ht="15" customHeight="1">
      <c r="L2791" s="240"/>
    </row>
    <row r="2792" spans="12:12" ht="15" customHeight="1">
      <c r="L2792" s="240"/>
    </row>
    <row r="2793" spans="12:12" ht="15" customHeight="1">
      <c r="L2793" s="240"/>
    </row>
    <row r="2794" spans="12:12" ht="15" customHeight="1">
      <c r="L2794" s="240"/>
    </row>
    <row r="2795" spans="12:12" ht="15" customHeight="1">
      <c r="L2795" s="240"/>
    </row>
    <row r="2796" spans="12:12" ht="15" customHeight="1">
      <c r="L2796" s="240"/>
    </row>
    <row r="2797" spans="12:12" ht="15" customHeight="1">
      <c r="L2797" s="240"/>
    </row>
    <row r="2798" spans="12:12" ht="15" customHeight="1">
      <c r="L2798" s="240"/>
    </row>
    <row r="2799" spans="12:12" ht="15" customHeight="1">
      <c r="L2799" s="240"/>
    </row>
    <row r="2800" spans="12:12" ht="15" customHeight="1">
      <c r="L2800" s="240"/>
    </row>
    <row r="2801" spans="12:12" ht="15" customHeight="1">
      <c r="L2801" s="240"/>
    </row>
    <row r="2802" spans="12:12" ht="15" customHeight="1">
      <c r="L2802" s="240"/>
    </row>
    <row r="2803" spans="12:12" ht="15" customHeight="1">
      <c r="L2803" s="240"/>
    </row>
    <row r="2804" spans="12:12" ht="15" customHeight="1">
      <c r="L2804" s="240"/>
    </row>
    <row r="2805" spans="12:12" ht="15" customHeight="1">
      <c r="L2805" s="240"/>
    </row>
    <row r="2806" spans="12:12" ht="15" customHeight="1">
      <c r="L2806" s="240"/>
    </row>
    <row r="2807" spans="12:12" ht="15" customHeight="1">
      <c r="L2807" s="240"/>
    </row>
    <row r="2808" spans="12:12" ht="15" customHeight="1">
      <c r="L2808" s="240"/>
    </row>
    <row r="2809" spans="12:12" ht="15" customHeight="1">
      <c r="L2809" s="240"/>
    </row>
    <row r="2810" spans="12:12" ht="15" customHeight="1">
      <c r="L2810" s="240"/>
    </row>
    <row r="2811" spans="12:12" ht="15" customHeight="1">
      <c r="L2811" s="240"/>
    </row>
    <row r="2812" spans="12:12" ht="15" customHeight="1">
      <c r="L2812" s="240"/>
    </row>
    <row r="2813" spans="12:12" ht="15" customHeight="1">
      <c r="L2813" s="240"/>
    </row>
    <row r="2814" spans="12:12" ht="15" customHeight="1">
      <c r="L2814" s="240"/>
    </row>
    <row r="2815" spans="12:12" ht="15" customHeight="1">
      <c r="L2815" s="240"/>
    </row>
    <row r="2816" spans="12:12" ht="15" customHeight="1">
      <c r="L2816" s="240"/>
    </row>
    <row r="2817" spans="12:12" ht="15" customHeight="1">
      <c r="L2817" s="240"/>
    </row>
    <row r="2818" spans="12:12" ht="15" customHeight="1">
      <c r="L2818" s="240"/>
    </row>
    <row r="2819" spans="12:12" ht="15" customHeight="1">
      <c r="L2819" s="240"/>
    </row>
    <row r="2820" spans="12:12" ht="15" customHeight="1">
      <c r="L2820" s="240"/>
    </row>
    <row r="2821" spans="12:12" ht="15" customHeight="1">
      <c r="L2821" s="240"/>
    </row>
    <row r="2822" spans="12:12" ht="15" customHeight="1">
      <c r="L2822" s="240"/>
    </row>
    <row r="2823" spans="12:12" ht="15" customHeight="1">
      <c r="L2823" s="240"/>
    </row>
    <row r="2824" spans="12:12" ht="15" customHeight="1">
      <c r="L2824" s="240"/>
    </row>
    <row r="2825" spans="12:12" ht="15" customHeight="1">
      <c r="L2825" s="240"/>
    </row>
    <row r="2826" spans="12:12" ht="15" customHeight="1">
      <c r="L2826" s="240"/>
    </row>
    <row r="2827" spans="12:12" ht="15" customHeight="1">
      <c r="L2827" s="240"/>
    </row>
    <row r="2828" spans="12:12" ht="15" customHeight="1">
      <c r="L2828" s="240"/>
    </row>
    <row r="2829" spans="12:12" ht="15" customHeight="1">
      <c r="L2829" s="240"/>
    </row>
    <row r="2830" spans="12:12" ht="15" customHeight="1">
      <c r="L2830" s="240"/>
    </row>
    <row r="2831" spans="12:12" ht="15" customHeight="1">
      <c r="L2831" s="240"/>
    </row>
    <row r="2832" spans="12:12" ht="15" customHeight="1">
      <c r="L2832" s="240"/>
    </row>
    <row r="2833" spans="12:12" ht="15" customHeight="1">
      <c r="L2833" s="240"/>
    </row>
    <row r="2834" spans="12:12" ht="15" customHeight="1">
      <c r="L2834" s="240"/>
    </row>
    <row r="2835" spans="12:12" ht="15" customHeight="1">
      <c r="L2835" s="240"/>
    </row>
    <row r="2836" spans="12:12" ht="15" customHeight="1">
      <c r="L2836" s="240"/>
    </row>
    <row r="2837" spans="12:12" ht="15" customHeight="1">
      <c r="L2837" s="240"/>
    </row>
    <row r="2838" spans="12:12" ht="15" customHeight="1">
      <c r="L2838" s="240"/>
    </row>
    <row r="2839" spans="12:12" ht="15" customHeight="1">
      <c r="L2839" s="240"/>
    </row>
    <row r="2840" spans="12:12" ht="15" customHeight="1">
      <c r="L2840" s="240"/>
    </row>
    <row r="2841" spans="12:12" ht="15" customHeight="1">
      <c r="L2841" s="240"/>
    </row>
    <row r="2842" spans="12:12" ht="15" customHeight="1">
      <c r="L2842" s="240"/>
    </row>
    <row r="2843" spans="12:12" ht="15" customHeight="1">
      <c r="L2843" s="240"/>
    </row>
    <row r="2844" spans="12:12" ht="15" customHeight="1">
      <c r="L2844" s="240"/>
    </row>
    <row r="2845" spans="12:12" ht="15" customHeight="1">
      <c r="L2845" s="240"/>
    </row>
    <row r="2846" spans="12:12" ht="15" customHeight="1">
      <c r="L2846" s="240"/>
    </row>
    <row r="2847" spans="12:12" ht="15" customHeight="1">
      <c r="L2847" s="240"/>
    </row>
    <row r="2848" spans="12:12" ht="15" customHeight="1">
      <c r="L2848" s="240"/>
    </row>
    <row r="2849" spans="12:12" ht="15" customHeight="1">
      <c r="L2849" s="240"/>
    </row>
    <row r="2850" spans="12:12" ht="15" customHeight="1">
      <c r="L2850" s="240"/>
    </row>
    <row r="2851" spans="12:12" ht="15" customHeight="1">
      <c r="L2851" s="240"/>
    </row>
    <row r="2852" spans="12:12" ht="15" customHeight="1">
      <c r="L2852" s="240"/>
    </row>
    <row r="2853" spans="12:12" ht="15" customHeight="1">
      <c r="L2853" s="240"/>
    </row>
    <row r="2854" spans="12:12" ht="15" customHeight="1">
      <c r="L2854" s="240"/>
    </row>
    <row r="2855" spans="12:12" ht="15" customHeight="1">
      <c r="L2855" s="240"/>
    </row>
    <row r="2856" spans="12:12" ht="15" customHeight="1">
      <c r="L2856" s="240"/>
    </row>
    <row r="2857" spans="12:12" ht="15" customHeight="1">
      <c r="L2857" s="240"/>
    </row>
    <row r="2858" spans="12:12" ht="15" customHeight="1">
      <c r="L2858" s="240"/>
    </row>
    <row r="2859" spans="12:12" ht="15" customHeight="1">
      <c r="L2859" s="240"/>
    </row>
    <row r="2860" spans="12:12" ht="15" customHeight="1">
      <c r="L2860" s="240"/>
    </row>
    <row r="2861" spans="12:12" ht="15" customHeight="1">
      <c r="L2861" s="240"/>
    </row>
    <row r="2862" spans="12:12" ht="15" customHeight="1">
      <c r="L2862" s="240"/>
    </row>
    <row r="2863" spans="12:12" ht="15" customHeight="1">
      <c r="L2863" s="240"/>
    </row>
    <row r="2864" spans="12:12" ht="15" customHeight="1">
      <c r="L2864" s="240"/>
    </row>
    <row r="2865" spans="12:12" ht="15" customHeight="1">
      <c r="L2865" s="240"/>
    </row>
    <row r="2866" spans="12:12" ht="15" customHeight="1">
      <c r="L2866" s="240"/>
    </row>
    <row r="2867" spans="12:12" ht="15" customHeight="1">
      <c r="L2867" s="240"/>
    </row>
    <row r="2868" spans="12:12" ht="15" customHeight="1">
      <c r="L2868" s="240"/>
    </row>
    <row r="2869" spans="12:12" ht="15" customHeight="1">
      <c r="L2869" s="240"/>
    </row>
    <row r="2870" spans="12:12" ht="15" customHeight="1">
      <c r="L2870" s="240"/>
    </row>
    <row r="2871" spans="12:12" ht="15" customHeight="1">
      <c r="L2871" s="240"/>
    </row>
    <row r="2872" spans="12:12" ht="15" customHeight="1">
      <c r="L2872" s="240"/>
    </row>
    <row r="2873" spans="12:12" ht="15" customHeight="1">
      <c r="L2873" s="240"/>
    </row>
    <row r="2874" spans="12:12" ht="15" customHeight="1">
      <c r="L2874" s="240"/>
    </row>
    <row r="2875" spans="12:12" ht="15" customHeight="1">
      <c r="L2875" s="240"/>
    </row>
    <row r="2876" spans="12:12" ht="15" customHeight="1">
      <c r="L2876" s="240"/>
    </row>
    <row r="2877" spans="12:12" ht="15" customHeight="1">
      <c r="L2877" s="240"/>
    </row>
    <row r="2878" spans="12:12" ht="15" customHeight="1">
      <c r="L2878" s="240"/>
    </row>
    <row r="2879" spans="12:12" ht="15" customHeight="1">
      <c r="L2879" s="240"/>
    </row>
    <row r="2880" spans="12:12" ht="15" customHeight="1">
      <c r="L2880" s="240"/>
    </row>
    <row r="2881" spans="12:12" ht="15" customHeight="1">
      <c r="L2881" s="240"/>
    </row>
    <row r="2882" spans="12:12" ht="15" customHeight="1">
      <c r="L2882" s="240"/>
    </row>
    <row r="2883" spans="12:12" ht="15" customHeight="1">
      <c r="L2883" s="240"/>
    </row>
    <row r="2884" spans="12:12" ht="15" customHeight="1">
      <c r="L2884" s="240"/>
    </row>
    <row r="2885" spans="12:12" ht="15" customHeight="1">
      <c r="L2885" s="240"/>
    </row>
    <row r="2886" spans="12:12" ht="15" customHeight="1">
      <c r="L2886" s="240"/>
    </row>
    <row r="2887" spans="12:12" ht="15" customHeight="1">
      <c r="L2887" s="240"/>
    </row>
    <row r="2888" spans="12:12" ht="15" customHeight="1">
      <c r="L2888" s="240"/>
    </row>
    <row r="2889" spans="12:12" ht="15" customHeight="1">
      <c r="L2889" s="240"/>
    </row>
    <row r="2890" spans="12:12" ht="15" customHeight="1">
      <c r="L2890" s="240"/>
    </row>
    <row r="2891" spans="12:12" ht="15" customHeight="1">
      <c r="L2891" s="240"/>
    </row>
    <row r="2892" spans="12:12" ht="15" customHeight="1">
      <c r="L2892" s="240"/>
    </row>
    <row r="2893" spans="12:12" ht="15" customHeight="1">
      <c r="L2893" s="240"/>
    </row>
    <row r="2894" spans="12:12" ht="15" customHeight="1">
      <c r="L2894" s="240"/>
    </row>
    <row r="2895" spans="12:12" ht="15" customHeight="1">
      <c r="L2895" s="240"/>
    </row>
    <row r="2896" spans="12:12" ht="15" customHeight="1">
      <c r="L2896" s="240"/>
    </row>
    <row r="2897" spans="12:12" ht="15" customHeight="1">
      <c r="L2897" s="240"/>
    </row>
    <row r="2898" spans="12:12" ht="15" customHeight="1">
      <c r="L2898" s="240"/>
    </row>
    <row r="2899" spans="12:12" ht="15" customHeight="1">
      <c r="L2899" s="240"/>
    </row>
    <row r="2900" spans="12:12" ht="15" customHeight="1">
      <c r="L2900" s="240"/>
    </row>
    <row r="2901" spans="12:12" ht="15" customHeight="1">
      <c r="L2901" s="240"/>
    </row>
    <row r="2902" spans="12:12" ht="15" customHeight="1">
      <c r="L2902" s="240"/>
    </row>
    <row r="2903" spans="12:12" ht="15" customHeight="1">
      <c r="L2903" s="240"/>
    </row>
    <row r="2904" spans="12:12" ht="15" customHeight="1">
      <c r="L2904" s="240"/>
    </row>
    <row r="2905" spans="12:12" ht="15" customHeight="1">
      <c r="L2905" s="240"/>
    </row>
    <row r="2906" spans="12:12" ht="15" customHeight="1">
      <c r="L2906" s="240"/>
    </row>
    <row r="2907" spans="12:12" ht="15" customHeight="1">
      <c r="L2907" s="240"/>
    </row>
    <row r="2908" spans="12:12" ht="15" customHeight="1">
      <c r="L2908" s="240"/>
    </row>
    <row r="2909" spans="12:12" ht="15" customHeight="1">
      <c r="L2909" s="240"/>
    </row>
    <row r="2910" spans="12:12" ht="15" customHeight="1">
      <c r="L2910" s="240"/>
    </row>
    <row r="2911" spans="12:12" ht="15" customHeight="1">
      <c r="L2911" s="240"/>
    </row>
    <row r="2912" spans="12:12" ht="15" customHeight="1">
      <c r="L2912" s="240"/>
    </row>
    <row r="2913" spans="12:12" ht="15" customHeight="1">
      <c r="L2913" s="240"/>
    </row>
    <row r="2914" spans="12:12" ht="15" customHeight="1">
      <c r="L2914" s="240"/>
    </row>
    <row r="2915" spans="12:12" ht="15" customHeight="1">
      <c r="L2915" s="240"/>
    </row>
    <row r="2916" spans="12:12" ht="15" customHeight="1">
      <c r="L2916" s="240"/>
    </row>
    <row r="2917" spans="12:12" ht="15" customHeight="1">
      <c r="L2917" s="240"/>
    </row>
    <row r="2918" spans="12:12" ht="15" customHeight="1">
      <c r="L2918" s="240"/>
    </row>
    <row r="2919" spans="12:12" ht="15" customHeight="1">
      <c r="L2919" s="240"/>
    </row>
    <row r="2920" spans="12:12" ht="15" customHeight="1">
      <c r="L2920" s="240"/>
    </row>
    <row r="2921" spans="12:12" ht="15" customHeight="1">
      <c r="L2921" s="240"/>
    </row>
    <row r="2922" spans="12:12" ht="15" customHeight="1">
      <c r="L2922" s="240"/>
    </row>
    <row r="2923" spans="12:12" ht="15" customHeight="1">
      <c r="L2923" s="240"/>
    </row>
    <row r="2924" spans="12:12" ht="15" customHeight="1">
      <c r="L2924" s="240"/>
    </row>
    <row r="2925" spans="12:12" ht="15" customHeight="1">
      <c r="L2925" s="240"/>
    </row>
    <row r="2926" spans="12:12" ht="15" customHeight="1">
      <c r="L2926" s="240"/>
    </row>
    <row r="2927" spans="12:12" ht="15" customHeight="1">
      <c r="L2927" s="240"/>
    </row>
    <row r="2928" spans="12:12" ht="15" customHeight="1">
      <c r="L2928" s="240"/>
    </row>
    <row r="2929" spans="12:12" ht="15" customHeight="1">
      <c r="L2929" s="240"/>
    </row>
    <row r="2930" spans="12:12" ht="15" customHeight="1">
      <c r="L2930" s="240"/>
    </row>
    <row r="2931" spans="12:12" ht="15" customHeight="1">
      <c r="L2931" s="240"/>
    </row>
    <row r="2932" spans="12:12" ht="15" customHeight="1">
      <c r="L2932" s="240"/>
    </row>
    <row r="2933" spans="12:12" ht="15" customHeight="1">
      <c r="L2933" s="240"/>
    </row>
    <row r="2934" spans="12:12" ht="15" customHeight="1">
      <c r="L2934" s="240"/>
    </row>
    <row r="2935" spans="12:12" ht="15" customHeight="1">
      <c r="L2935" s="240"/>
    </row>
    <row r="2936" spans="12:12" ht="15" customHeight="1">
      <c r="L2936" s="240"/>
    </row>
    <row r="2937" spans="12:12" ht="15" customHeight="1">
      <c r="L2937" s="240"/>
    </row>
    <row r="2938" spans="12:12" ht="15" customHeight="1">
      <c r="L2938" s="240"/>
    </row>
    <row r="2939" spans="12:12" ht="15" customHeight="1">
      <c r="L2939" s="240"/>
    </row>
    <row r="2940" spans="12:12" ht="15" customHeight="1">
      <c r="L2940" s="240"/>
    </row>
    <row r="2941" spans="12:12" ht="15" customHeight="1">
      <c r="L2941" s="240"/>
    </row>
    <row r="2942" spans="12:12" ht="15" customHeight="1">
      <c r="L2942" s="240"/>
    </row>
    <row r="2943" spans="12:12" ht="15" customHeight="1">
      <c r="L2943" s="240"/>
    </row>
    <row r="2944" spans="12:12" ht="15" customHeight="1">
      <c r="L2944" s="240"/>
    </row>
    <row r="2945" spans="12:12" ht="15" customHeight="1">
      <c r="L2945" s="240"/>
    </row>
    <row r="2946" spans="12:12" ht="15" customHeight="1">
      <c r="L2946" s="240"/>
    </row>
    <row r="2947" spans="12:12" ht="15" customHeight="1">
      <c r="L2947" s="240"/>
    </row>
    <row r="2948" spans="12:12" ht="15" customHeight="1">
      <c r="L2948" s="240"/>
    </row>
    <row r="2949" spans="12:12" ht="15" customHeight="1">
      <c r="L2949" s="240"/>
    </row>
    <row r="2950" spans="12:12" ht="15" customHeight="1">
      <c r="L2950" s="240"/>
    </row>
    <row r="2951" spans="12:12" ht="15" customHeight="1">
      <c r="L2951" s="240"/>
    </row>
    <row r="2952" spans="12:12" ht="15" customHeight="1">
      <c r="L2952" s="240"/>
    </row>
    <row r="2953" spans="12:12" ht="15" customHeight="1">
      <c r="L2953" s="240"/>
    </row>
    <row r="2954" spans="12:12" ht="15" customHeight="1">
      <c r="L2954" s="240"/>
    </row>
    <row r="2955" spans="12:12" ht="15" customHeight="1">
      <c r="L2955" s="240"/>
    </row>
    <row r="2956" spans="12:12" ht="15" customHeight="1">
      <c r="L2956" s="240"/>
    </row>
    <row r="2957" spans="12:12" ht="15" customHeight="1">
      <c r="L2957" s="240"/>
    </row>
    <row r="2958" spans="12:12" ht="15" customHeight="1">
      <c r="L2958" s="240"/>
    </row>
    <row r="2959" spans="12:12" ht="15" customHeight="1">
      <c r="L2959" s="240"/>
    </row>
    <row r="2960" spans="12:12" ht="15" customHeight="1">
      <c r="L2960" s="240"/>
    </row>
    <row r="2961" spans="12:12" ht="15" customHeight="1">
      <c r="L2961" s="240"/>
    </row>
    <row r="2962" spans="12:12" ht="15" customHeight="1">
      <c r="L2962" s="240"/>
    </row>
    <row r="2963" spans="12:12" ht="15" customHeight="1">
      <c r="L2963" s="240"/>
    </row>
    <row r="2964" spans="12:12" ht="15" customHeight="1">
      <c r="L2964" s="240"/>
    </row>
    <row r="2965" spans="12:12" ht="15" customHeight="1">
      <c r="L2965" s="240"/>
    </row>
    <row r="2966" spans="12:12" ht="15" customHeight="1">
      <c r="L2966" s="240"/>
    </row>
    <row r="2967" spans="12:12" ht="15" customHeight="1">
      <c r="L2967" s="240"/>
    </row>
    <row r="2968" spans="12:12" ht="15" customHeight="1">
      <c r="L2968" s="240"/>
    </row>
    <row r="2969" spans="12:12" ht="15" customHeight="1">
      <c r="L2969" s="240"/>
    </row>
    <row r="2970" spans="12:12" ht="15" customHeight="1">
      <c r="L2970" s="240"/>
    </row>
    <row r="2971" spans="12:12" ht="15" customHeight="1">
      <c r="L2971" s="240"/>
    </row>
    <row r="2972" spans="12:12" ht="15" customHeight="1">
      <c r="L2972" s="240"/>
    </row>
    <row r="2973" spans="12:12" ht="15" customHeight="1">
      <c r="L2973" s="240"/>
    </row>
    <row r="2974" spans="12:12" ht="15" customHeight="1">
      <c r="L2974" s="240"/>
    </row>
    <row r="2975" spans="12:12" ht="15" customHeight="1">
      <c r="L2975" s="240"/>
    </row>
    <row r="2976" spans="12:12" ht="15" customHeight="1">
      <c r="L2976" s="240"/>
    </row>
    <row r="2977" spans="12:12" ht="15" customHeight="1">
      <c r="L2977" s="240"/>
    </row>
    <row r="2978" spans="12:12" ht="15" customHeight="1">
      <c r="L2978" s="240"/>
    </row>
    <row r="2979" spans="12:12" ht="15" customHeight="1">
      <c r="L2979" s="240"/>
    </row>
    <row r="2980" spans="12:12" ht="15" customHeight="1">
      <c r="L2980" s="240"/>
    </row>
    <row r="2981" spans="12:12" ht="15" customHeight="1">
      <c r="L2981" s="240"/>
    </row>
    <row r="2982" spans="12:12" ht="15" customHeight="1">
      <c r="L2982" s="240"/>
    </row>
    <row r="2983" spans="12:12" ht="15" customHeight="1">
      <c r="L2983" s="240"/>
    </row>
    <row r="2984" spans="12:12" ht="15" customHeight="1">
      <c r="L2984" s="240"/>
    </row>
    <row r="2985" spans="12:12" ht="15" customHeight="1">
      <c r="L2985" s="240"/>
    </row>
    <row r="2986" spans="12:12" ht="15" customHeight="1">
      <c r="L2986" s="240"/>
    </row>
    <row r="2987" spans="12:12" ht="15" customHeight="1">
      <c r="L2987" s="240"/>
    </row>
    <row r="2988" spans="12:12" ht="15" customHeight="1">
      <c r="L2988" s="240"/>
    </row>
    <row r="2989" spans="12:12" ht="15" customHeight="1">
      <c r="L2989" s="240"/>
    </row>
    <row r="2990" spans="12:12" ht="15" customHeight="1">
      <c r="L2990" s="240"/>
    </row>
    <row r="2991" spans="12:12" ht="15" customHeight="1">
      <c r="L2991" s="240"/>
    </row>
    <row r="2992" spans="12:12" ht="15" customHeight="1">
      <c r="L2992" s="240"/>
    </row>
    <row r="2993" spans="12:12" ht="15" customHeight="1">
      <c r="L2993" s="240"/>
    </row>
    <row r="2994" spans="12:12" ht="15" customHeight="1">
      <c r="L2994" s="240"/>
    </row>
    <row r="2995" spans="12:12" ht="15" customHeight="1">
      <c r="L2995" s="240"/>
    </row>
    <row r="2996" spans="12:12" ht="15" customHeight="1">
      <c r="L2996" s="240"/>
    </row>
    <row r="2997" spans="12:12" ht="15" customHeight="1">
      <c r="L2997" s="240"/>
    </row>
    <row r="2998" spans="12:12" ht="15" customHeight="1">
      <c r="L2998" s="240"/>
    </row>
    <row r="2999" spans="12:12" ht="15" customHeight="1">
      <c r="L2999" s="240"/>
    </row>
    <row r="3000" spans="12:12" ht="15" customHeight="1">
      <c r="L3000" s="240"/>
    </row>
    <row r="3001" spans="12:12" ht="15" customHeight="1">
      <c r="L3001" s="240"/>
    </row>
    <row r="3002" spans="12:12" ht="15" customHeight="1">
      <c r="L3002" s="240"/>
    </row>
    <row r="3003" spans="12:12" ht="15" customHeight="1">
      <c r="L3003" s="240"/>
    </row>
    <row r="3004" spans="12:12" ht="15" customHeight="1">
      <c r="L3004" s="240"/>
    </row>
    <row r="3005" spans="12:12" ht="15" customHeight="1">
      <c r="L3005" s="240"/>
    </row>
    <row r="3006" spans="12:12" ht="15" customHeight="1">
      <c r="L3006" s="240"/>
    </row>
    <row r="3007" spans="12:12" ht="15" customHeight="1">
      <c r="L3007" s="240"/>
    </row>
    <row r="3008" spans="12:12" ht="15" customHeight="1">
      <c r="L3008" s="240"/>
    </row>
    <row r="3009" spans="12:12" ht="15" customHeight="1">
      <c r="L3009" s="240"/>
    </row>
    <row r="3010" spans="12:12" ht="15" customHeight="1">
      <c r="L3010" s="240"/>
    </row>
    <row r="3011" spans="12:12" ht="15" customHeight="1">
      <c r="L3011" s="240"/>
    </row>
    <row r="3012" spans="12:12" ht="15" customHeight="1">
      <c r="L3012" s="240"/>
    </row>
    <row r="3013" spans="12:12" ht="15" customHeight="1">
      <c r="L3013" s="240"/>
    </row>
    <row r="3014" spans="12:12" ht="15" customHeight="1">
      <c r="L3014" s="240"/>
    </row>
    <row r="3015" spans="12:12" ht="15" customHeight="1">
      <c r="L3015" s="240"/>
    </row>
    <row r="3016" spans="12:12" ht="15" customHeight="1">
      <c r="L3016" s="240"/>
    </row>
    <row r="3017" spans="12:12" ht="15" customHeight="1">
      <c r="L3017" s="240"/>
    </row>
    <row r="3018" spans="12:12" ht="15" customHeight="1">
      <c r="L3018" s="240"/>
    </row>
    <row r="3019" spans="12:12" ht="15" customHeight="1">
      <c r="L3019" s="240"/>
    </row>
    <row r="3020" spans="12:12" ht="15" customHeight="1">
      <c r="L3020" s="240"/>
    </row>
    <row r="3021" spans="12:12" ht="15" customHeight="1">
      <c r="L3021" s="240"/>
    </row>
    <row r="3022" spans="12:12" ht="15" customHeight="1">
      <c r="L3022" s="240"/>
    </row>
    <row r="3023" spans="12:12" ht="15" customHeight="1">
      <c r="L3023" s="240"/>
    </row>
    <row r="3024" spans="12:12" ht="15" customHeight="1">
      <c r="L3024" s="240"/>
    </row>
    <row r="3025" spans="12:12" ht="15" customHeight="1">
      <c r="L3025" s="240"/>
    </row>
    <row r="3026" spans="12:12" ht="15" customHeight="1">
      <c r="L3026" s="240"/>
    </row>
    <row r="3027" spans="12:12" ht="15" customHeight="1">
      <c r="L3027" s="240"/>
    </row>
    <row r="3028" spans="12:12" ht="15" customHeight="1">
      <c r="L3028" s="240"/>
    </row>
    <row r="3029" spans="12:12" ht="15" customHeight="1">
      <c r="L3029" s="240"/>
    </row>
    <row r="3030" spans="12:12" ht="15" customHeight="1">
      <c r="L3030" s="240"/>
    </row>
    <row r="3031" spans="12:12" ht="15" customHeight="1">
      <c r="L3031" s="240"/>
    </row>
    <row r="3032" spans="12:12" ht="15" customHeight="1">
      <c r="L3032" s="240"/>
    </row>
    <row r="3033" spans="12:12" ht="15" customHeight="1">
      <c r="L3033" s="240"/>
    </row>
    <row r="3034" spans="12:12" ht="15" customHeight="1">
      <c r="L3034" s="240"/>
    </row>
    <row r="3035" spans="12:12" ht="15" customHeight="1">
      <c r="L3035" s="240"/>
    </row>
    <row r="3036" spans="12:12" ht="15" customHeight="1">
      <c r="L3036" s="240"/>
    </row>
    <row r="3037" spans="12:12" ht="15" customHeight="1">
      <c r="L3037" s="240"/>
    </row>
    <row r="3038" spans="12:12" ht="15" customHeight="1">
      <c r="L3038" s="240"/>
    </row>
    <row r="3039" spans="12:12" ht="15" customHeight="1">
      <c r="L3039" s="240"/>
    </row>
    <row r="3040" spans="12:12" ht="15" customHeight="1">
      <c r="L3040" s="240"/>
    </row>
    <row r="3041" spans="12:12" ht="15" customHeight="1">
      <c r="L3041" s="240"/>
    </row>
    <row r="3042" spans="12:12" ht="15" customHeight="1">
      <c r="L3042" s="240"/>
    </row>
    <row r="3043" spans="12:12" ht="15" customHeight="1">
      <c r="L3043" s="240"/>
    </row>
    <row r="3044" spans="12:12" ht="15" customHeight="1">
      <c r="L3044" s="240"/>
    </row>
    <row r="3045" spans="12:12" ht="15" customHeight="1">
      <c r="L3045" s="240"/>
    </row>
    <row r="3046" spans="12:12" ht="15" customHeight="1">
      <c r="L3046" s="240"/>
    </row>
    <row r="3047" spans="12:12" ht="15" customHeight="1">
      <c r="L3047" s="240"/>
    </row>
    <row r="3048" spans="12:12" ht="15" customHeight="1">
      <c r="L3048" s="240"/>
    </row>
    <row r="3049" spans="12:12" ht="15" customHeight="1">
      <c r="L3049" s="240"/>
    </row>
    <row r="3050" spans="12:12" ht="15" customHeight="1">
      <c r="L3050" s="240"/>
    </row>
    <row r="3051" spans="12:12" ht="15" customHeight="1">
      <c r="L3051" s="240"/>
    </row>
    <row r="3052" spans="12:12" ht="15" customHeight="1">
      <c r="L3052" s="240"/>
    </row>
    <row r="3053" spans="12:12" ht="15" customHeight="1">
      <c r="L3053" s="240"/>
    </row>
    <row r="3054" spans="12:12" ht="15" customHeight="1">
      <c r="L3054" s="240"/>
    </row>
    <row r="3055" spans="12:12" ht="15" customHeight="1">
      <c r="L3055" s="240"/>
    </row>
    <row r="3056" spans="12:12" ht="15" customHeight="1">
      <c r="L3056" s="240"/>
    </row>
    <row r="3057" spans="12:12" ht="15" customHeight="1">
      <c r="L3057" s="240"/>
    </row>
    <row r="3058" spans="12:12" ht="15" customHeight="1">
      <c r="L3058" s="240"/>
    </row>
    <row r="3059" spans="12:12" ht="15" customHeight="1">
      <c r="L3059" s="240"/>
    </row>
    <row r="3060" spans="12:12" ht="15" customHeight="1">
      <c r="L3060" s="240"/>
    </row>
    <row r="3061" spans="12:12" ht="15" customHeight="1">
      <c r="L3061" s="240"/>
    </row>
    <row r="3062" spans="12:12" ht="15" customHeight="1">
      <c r="L3062" s="240"/>
    </row>
    <row r="3063" spans="12:12" ht="15" customHeight="1">
      <c r="L3063" s="240"/>
    </row>
    <row r="3064" spans="12:12" ht="15" customHeight="1">
      <c r="L3064" s="240"/>
    </row>
    <row r="3065" spans="12:12" ht="15" customHeight="1">
      <c r="L3065" s="240"/>
    </row>
    <row r="3066" spans="12:12" ht="15" customHeight="1">
      <c r="L3066" s="240"/>
    </row>
    <row r="3067" spans="12:12" ht="15" customHeight="1">
      <c r="L3067" s="240"/>
    </row>
    <row r="3068" spans="12:12" ht="15" customHeight="1">
      <c r="L3068" s="240"/>
    </row>
    <row r="3069" spans="12:12" ht="15" customHeight="1">
      <c r="L3069" s="240"/>
    </row>
    <row r="3070" spans="12:12" ht="15" customHeight="1">
      <c r="L3070" s="240"/>
    </row>
    <row r="3071" spans="12:12" ht="15" customHeight="1">
      <c r="L3071" s="240"/>
    </row>
    <row r="3072" spans="12:12" ht="15" customHeight="1">
      <c r="L3072" s="240"/>
    </row>
    <row r="3073" spans="12:12" ht="15" customHeight="1">
      <c r="L3073" s="240"/>
    </row>
    <row r="3074" spans="12:12" ht="15" customHeight="1">
      <c r="L3074" s="240"/>
    </row>
    <row r="3075" spans="12:12" ht="15" customHeight="1">
      <c r="L3075" s="240"/>
    </row>
    <row r="3076" spans="12:12" ht="15" customHeight="1">
      <c r="L3076" s="240"/>
    </row>
    <row r="3077" spans="12:12" ht="15" customHeight="1">
      <c r="L3077" s="240"/>
    </row>
    <row r="3078" spans="12:12" ht="15" customHeight="1">
      <c r="L3078" s="240"/>
    </row>
    <row r="3079" spans="12:12" ht="15" customHeight="1">
      <c r="L3079" s="240"/>
    </row>
    <row r="3080" spans="12:12" ht="15" customHeight="1">
      <c r="L3080" s="240"/>
    </row>
    <row r="3081" spans="12:12" ht="15" customHeight="1">
      <c r="L3081" s="240"/>
    </row>
    <row r="3082" spans="12:12" ht="15" customHeight="1">
      <c r="L3082" s="240"/>
    </row>
    <row r="3083" spans="12:12" ht="15" customHeight="1">
      <c r="L3083" s="240"/>
    </row>
    <row r="3084" spans="12:12" ht="15" customHeight="1">
      <c r="L3084" s="240"/>
    </row>
    <row r="3085" spans="12:12" ht="15" customHeight="1">
      <c r="L3085" s="240"/>
    </row>
    <row r="3086" spans="12:12" ht="15" customHeight="1">
      <c r="L3086" s="240"/>
    </row>
    <row r="3087" spans="12:12" ht="15" customHeight="1">
      <c r="L3087" s="240"/>
    </row>
    <row r="3088" spans="12:12" ht="15" customHeight="1">
      <c r="L3088" s="240"/>
    </row>
    <row r="3089" spans="12:12" ht="15" customHeight="1">
      <c r="L3089" s="240"/>
    </row>
    <row r="3090" spans="12:12" ht="15" customHeight="1">
      <c r="L3090" s="240"/>
    </row>
    <row r="3091" spans="12:12" ht="15" customHeight="1">
      <c r="L3091" s="240"/>
    </row>
    <row r="3092" spans="12:12" ht="15" customHeight="1">
      <c r="L3092" s="240"/>
    </row>
    <row r="3093" spans="12:12" ht="15" customHeight="1">
      <c r="L3093" s="240"/>
    </row>
    <row r="3094" spans="12:12" ht="15" customHeight="1">
      <c r="L3094" s="240"/>
    </row>
    <row r="3095" spans="12:12" ht="15" customHeight="1">
      <c r="L3095" s="240"/>
    </row>
    <row r="3096" spans="12:12" ht="15" customHeight="1">
      <c r="L3096" s="240"/>
    </row>
    <row r="3097" spans="12:12" ht="15" customHeight="1">
      <c r="L3097" s="240"/>
    </row>
    <row r="3098" spans="12:12" ht="15" customHeight="1">
      <c r="L3098" s="240"/>
    </row>
    <row r="3099" spans="12:12" ht="15" customHeight="1">
      <c r="L3099" s="240"/>
    </row>
    <row r="3100" spans="12:12" ht="15" customHeight="1">
      <c r="L3100" s="240"/>
    </row>
    <row r="3101" spans="12:12" ht="15" customHeight="1">
      <c r="L3101" s="240"/>
    </row>
    <row r="3102" spans="12:12" ht="15" customHeight="1">
      <c r="L3102" s="240"/>
    </row>
    <row r="3103" spans="12:12" ht="15" customHeight="1">
      <c r="L3103" s="240"/>
    </row>
    <row r="3104" spans="12:12" ht="15" customHeight="1">
      <c r="L3104" s="240"/>
    </row>
    <row r="3105" spans="12:12" ht="15" customHeight="1">
      <c r="L3105" s="240"/>
    </row>
    <row r="3106" spans="12:12" ht="15" customHeight="1">
      <c r="L3106" s="240"/>
    </row>
    <row r="3107" spans="12:12" ht="15" customHeight="1">
      <c r="L3107" s="240"/>
    </row>
    <row r="3108" spans="12:12" ht="15" customHeight="1">
      <c r="L3108" s="240"/>
    </row>
    <row r="3109" spans="12:12" ht="15" customHeight="1">
      <c r="L3109" s="240"/>
    </row>
    <row r="3110" spans="12:12" ht="15" customHeight="1">
      <c r="L3110" s="240"/>
    </row>
    <row r="3111" spans="12:12" ht="15" customHeight="1">
      <c r="L3111" s="240"/>
    </row>
    <row r="3112" spans="12:12" ht="15" customHeight="1">
      <c r="L3112" s="240"/>
    </row>
    <row r="3113" spans="12:12" ht="15" customHeight="1">
      <c r="L3113" s="240"/>
    </row>
    <row r="3114" spans="12:12" ht="15" customHeight="1">
      <c r="L3114" s="240"/>
    </row>
    <row r="3115" spans="12:12" ht="15" customHeight="1">
      <c r="L3115" s="240"/>
    </row>
    <row r="3116" spans="12:12" ht="15" customHeight="1">
      <c r="L3116" s="240"/>
    </row>
    <row r="3117" spans="12:12" ht="15" customHeight="1">
      <c r="L3117" s="240"/>
    </row>
    <row r="3118" spans="12:12" ht="15" customHeight="1">
      <c r="L3118" s="240"/>
    </row>
    <row r="3119" spans="12:12" ht="15" customHeight="1">
      <c r="L3119" s="240"/>
    </row>
    <row r="3120" spans="12:12" ht="15" customHeight="1">
      <c r="L3120" s="240"/>
    </row>
    <row r="3121" spans="12:12" ht="15" customHeight="1">
      <c r="L3121" s="240"/>
    </row>
    <row r="3122" spans="12:12" ht="15" customHeight="1">
      <c r="L3122" s="240"/>
    </row>
    <row r="3123" spans="12:12" ht="15" customHeight="1">
      <c r="L3123" s="240"/>
    </row>
    <row r="3124" spans="12:12" ht="15" customHeight="1">
      <c r="L3124" s="240"/>
    </row>
    <row r="3125" spans="12:12" ht="15" customHeight="1">
      <c r="L3125" s="240"/>
    </row>
    <row r="3126" spans="12:12" ht="15" customHeight="1">
      <c r="L3126" s="240"/>
    </row>
    <row r="3127" spans="12:12" ht="15" customHeight="1">
      <c r="L3127" s="240"/>
    </row>
    <row r="3128" spans="12:12" ht="15" customHeight="1">
      <c r="L3128" s="240"/>
    </row>
    <row r="3129" spans="12:12" ht="15" customHeight="1">
      <c r="L3129" s="240"/>
    </row>
    <row r="3130" spans="12:12" ht="15" customHeight="1">
      <c r="L3130" s="240"/>
    </row>
    <row r="3131" spans="12:12" ht="15" customHeight="1">
      <c r="L3131" s="240"/>
    </row>
    <row r="3132" spans="12:12" ht="15" customHeight="1">
      <c r="L3132" s="240"/>
    </row>
    <row r="3133" spans="12:12" ht="15" customHeight="1">
      <c r="L3133" s="240"/>
    </row>
    <row r="3134" spans="12:12" ht="15" customHeight="1">
      <c r="L3134" s="240"/>
    </row>
    <row r="3135" spans="12:12" ht="15" customHeight="1">
      <c r="L3135" s="240"/>
    </row>
    <row r="3136" spans="12:12" ht="15" customHeight="1">
      <c r="L3136" s="240"/>
    </row>
    <row r="3137" spans="12:12" ht="15" customHeight="1">
      <c r="L3137" s="240"/>
    </row>
    <row r="3138" spans="12:12" ht="15" customHeight="1">
      <c r="L3138" s="240"/>
    </row>
    <row r="3139" spans="12:12" ht="15" customHeight="1">
      <c r="L3139" s="240"/>
    </row>
    <row r="3140" spans="12:12" ht="15" customHeight="1">
      <c r="L3140" s="240"/>
    </row>
    <row r="3141" spans="12:12" ht="15" customHeight="1">
      <c r="L3141" s="240"/>
    </row>
    <row r="3142" spans="12:12" ht="15" customHeight="1">
      <c r="L3142" s="240"/>
    </row>
    <row r="3143" spans="12:12" ht="15" customHeight="1">
      <c r="L3143" s="240"/>
    </row>
    <row r="3144" spans="12:12" ht="15" customHeight="1">
      <c r="L3144" s="240"/>
    </row>
    <row r="3145" spans="12:12" ht="15" customHeight="1">
      <c r="L3145" s="240"/>
    </row>
    <row r="3146" spans="12:12" ht="15" customHeight="1">
      <c r="L3146" s="240"/>
    </row>
    <row r="3147" spans="12:12" ht="15" customHeight="1">
      <c r="L3147" s="240"/>
    </row>
    <row r="3148" spans="12:12" ht="15" customHeight="1">
      <c r="L3148" s="240"/>
    </row>
    <row r="3149" spans="12:12" ht="15" customHeight="1">
      <c r="L3149" s="240"/>
    </row>
    <row r="3150" spans="12:12" ht="15" customHeight="1">
      <c r="L3150" s="240"/>
    </row>
    <row r="3151" spans="12:12" ht="15" customHeight="1">
      <c r="L3151" s="240"/>
    </row>
    <row r="3152" spans="12:12" ht="15" customHeight="1">
      <c r="L3152" s="240"/>
    </row>
    <row r="3153" spans="12:12" ht="15" customHeight="1">
      <c r="L3153" s="240"/>
    </row>
    <row r="3154" spans="12:12" ht="15" customHeight="1">
      <c r="L3154" s="240"/>
    </row>
    <row r="3155" spans="12:12" ht="15" customHeight="1">
      <c r="L3155" s="240"/>
    </row>
    <row r="3156" spans="12:12" ht="15" customHeight="1">
      <c r="L3156" s="240"/>
    </row>
    <row r="3157" spans="12:12" ht="15" customHeight="1">
      <c r="L3157" s="240"/>
    </row>
    <row r="3158" spans="12:12" ht="15" customHeight="1">
      <c r="L3158" s="240"/>
    </row>
    <row r="3159" spans="12:12" ht="15" customHeight="1">
      <c r="L3159" s="240"/>
    </row>
    <row r="3160" spans="12:12" ht="15" customHeight="1">
      <c r="L3160" s="240"/>
    </row>
    <row r="3161" spans="12:12" ht="15" customHeight="1">
      <c r="L3161" s="240"/>
    </row>
    <row r="3162" spans="12:12" ht="15" customHeight="1">
      <c r="L3162" s="240"/>
    </row>
    <row r="3163" spans="12:12" ht="15" customHeight="1">
      <c r="L3163" s="240"/>
    </row>
    <row r="3164" spans="12:12" ht="15" customHeight="1">
      <c r="L3164" s="240"/>
    </row>
    <row r="3165" spans="12:12" ht="15" customHeight="1">
      <c r="L3165" s="240"/>
    </row>
    <row r="3166" spans="12:12" ht="15" customHeight="1">
      <c r="L3166" s="240"/>
    </row>
    <row r="3167" spans="12:12" ht="15" customHeight="1">
      <c r="L3167" s="240"/>
    </row>
    <row r="3168" spans="12:12" ht="15" customHeight="1">
      <c r="L3168" s="240"/>
    </row>
    <row r="3169" spans="12:12" ht="15" customHeight="1">
      <c r="L3169" s="240"/>
    </row>
    <row r="3170" spans="12:12" ht="15" customHeight="1">
      <c r="L3170" s="240"/>
    </row>
    <row r="3171" spans="12:12" ht="15" customHeight="1">
      <c r="L3171" s="240"/>
    </row>
    <row r="3172" spans="12:12" ht="15" customHeight="1">
      <c r="L3172" s="240"/>
    </row>
    <row r="3173" spans="12:12" ht="15" customHeight="1">
      <c r="L3173" s="240"/>
    </row>
    <row r="3174" spans="12:12" ht="15" customHeight="1">
      <c r="L3174" s="240"/>
    </row>
    <row r="3175" spans="12:12" ht="15" customHeight="1">
      <c r="L3175" s="240"/>
    </row>
    <row r="3176" spans="12:12" ht="15" customHeight="1">
      <c r="L3176" s="240"/>
    </row>
    <row r="3177" spans="12:12" ht="15" customHeight="1">
      <c r="L3177" s="240"/>
    </row>
    <row r="3178" spans="12:12" ht="15" customHeight="1">
      <c r="L3178" s="240"/>
    </row>
    <row r="3179" spans="12:12" ht="15" customHeight="1">
      <c r="L3179" s="240"/>
    </row>
    <row r="3180" spans="12:12" ht="15" customHeight="1">
      <c r="L3180" s="240"/>
    </row>
    <row r="3181" spans="12:12" ht="15" customHeight="1">
      <c r="L3181" s="240"/>
    </row>
    <row r="3182" spans="12:12" ht="15" customHeight="1">
      <c r="L3182" s="240"/>
    </row>
    <row r="3183" spans="12:12" ht="15" customHeight="1">
      <c r="L3183" s="240"/>
    </row>
    <row r="3184" spans="12:12" ht="15" customHeight="1">
      <c r="L3184" s="240"/>
    </row>
    <row r="3185" spans="12:12" ht="15" customHeight="1">
      <c r="L3185" s="240"/>
    </row>
    <row r="3186" spans="12:12" ht="15" customHeight="1">
      <c r="L3186" s="240"/>
    </row>
    <row r="3187" spans="12:12" ht="15" customHeight="1">
      <c r="L3187" s="240"/>
    </row>
    <row r="3188" spans="12:12" ht="15" customHeight="1">
      <c r="L3188" s="240"/>
    </row>
    <row r="3189" spans="12:12" ht="15" customHeight="1">
      <c r="L3189" s="240"/>
    </row>
    <row r="3190" spans="12:12" ht="15" customHeight="1">
      <c r="L3190" s="240"/>
    </row>
    <row r="3191" spans="12:12" ht="15" customHeight="1">
      <c r="L3191" s="240"/>
    </row>
    <row r="3192" spans="12:12" ht="15" customHeight="1">
      <c r="L3192" s="240"/>
    </row>
    <row r="3193" spans="12:12" ht="15" customHeight="1">
      <c r="L3193" s="240"/>
    </row>
    <row r="3194" spans="12:12" ht="15" customHeight="1">
      <c r="L3194" s="240"/>
    </row>
    <row r="3195" spans="12:12" ht="15" customHeight="1">
      <c r="L3195" s="240"/>
    </row>
    <row r="3196" spans="12:12" ht="15" customHeight="1">
      <c r="L3196" s="240"/>
    </row>
    <row r="3197" spans="12:12" ht="15" customHeight="1">
      <c r="L3197" s="240"/>
    </row>
    <row r="3198" spans="12:12" ht="15" customHeight="1">
      <c r="L3198" s="240"/>
    </row>
    <row r="3199" spans="12:12" ht="15" customHeight="1">
      <c r="L3199" s="240"/>
    </row>
    <row r="3200" spans="12:12" ht="15" customHeight="1">
      <c r="L3200" s="240"/>
    </row>
    <row r="3201" spans="12:12" ht="15" customHeight="1">
      <c r="L3201" s="240"/>
    </row>
    <row r="3202" spans="12:12" ht="15" customHeight="1">
      <c r="L3202" s="240"/>
    </row>
    <row r="3203" spans="12:12" ht="15" customHeight="1">
      <c r="L3203" s="240"/>
    </row>
    <row r="3204" spans="12:12" ht="15" customHeight="1">
      <c r="L3204" s="240"/>
    </row>
    <row r="3205" spans="12:12" ht="15" customHeight="1">
      <c r="L3205" s="240"/>
    </row>
    <row r="3206" spans="12:12" ht="15" customHeight="1">
      <c r="L3206" s="240"/>
    </row>
    <row r="3207" spans="12:12" ht="15" customHeight="1">
      <c r="L3207" s="240"/>
    </row>
    <row r="3208" spans="12:12" ht="15" customHeight="1">
      <c r="L3208" s="240"/>
    </row>
    <row r="3209" spans="12:12" ht="15" customHeight="1">
      <c r="L3209" s="240"/>
    </row>
    <row r="3210" spans="12:12" ht="15" customHeight="1">
      <c r="L3210" s="240"/>
    </row>
    <row r="3211" spans="12:12" ht="15" customHeight="1">
      <c r="L3211" s="240"/>
    </row>
    <row r="3212" spans="12:12" ht="15" customHeight="1">
      <c r="L3212" s="240"/>
    </row>
    <row r="3213" spans="12:12" ht="15" customHeight="1">
      <c r="L3213" s="240"/>
    </row>
    <row r="3214" spans="12:12" ht="15" customHeight="1">
      <c r="L3214" s="240"/>
    </row>
    <row r="3215" spans="12:12" ht="15" customHeight="1">
      <c r="L3215" s="240"/>
    </row>
    <row r="3216" spans="12:12" ht="15" customHeight="1">
      <c r="L3216" s="240"/>
    </row>
    <row r="3217" spans="12:12" ht="15" customHeight="1">
      <c r="L3217" s="240"/>
    </row>
    <row r="3218" spans="12:12" ht="15" customHeight="1">
      <c r="L3218" s="240"/>
    </row>
    <row r="3219" spans="12:12" ht="15" customHeight="1">
      <c r="L3219" s="240"/>
    </row>
    <row r="3220" spans="12:12" ht="15" customHeight="1">
      <c r="L3220" s="240"/>
    </row>
    <row r="3221" spans="12:12" ht="15" customHeight="1">
      <c r="L3221" s="240"/>
    </row>
    <row r="3222" spans="12:12" ht="15" customHeight="1">
      <c r="L3222" s="240"/>
    </row>
    <row r="3223" spans="12:12" ht="15" customHeight="1">
      <c r="L3223" s="240"/>
    </row>
    <row r="3224" spans="12:12" ht="15" customHeight="1">
      <c r="L3224" s="240"/>
    </row>
    <row r="3225" spans="12:12" ht="15" customHeight="1">
      <c r="L3225" s="240"/>
    </row>
    <row r="3226" spans="12:12" ht="15" customHeight="1">
      <c r="L3226" s="240"/>
    </row>
    <row r="3227" spans="12:12" ht="15" customHeight="1">
      <c r="L3227" s="240"/>
    </row>
    <row r="3228" spans="12:12" ht="15" customHeight="1">
      <c r="L3228" s="240"/>
    </row>
    <row r="3229" spans="12:12" ht="15" customHeight="1">
      <c r="L3229" s="240"/>
    </row>
    <row r="3230" spans="12:12" ht="15" customHeight="1">
      <c r="L3230" s="240"/>
    </row>
    <row r="3231" spans="12:12" ht="15" customHeight="1">
      <c r="L3231" s="240"/>
    </row>
    <row r="3232" spans="12:12" ht="15" customHeight="1">
      <c r="L3232" s="240"/>
    </row>
    <row r="3233" spans="12:12" ht="15" customHeight="1">
      <c r="L3233" s="240"/>
    </row>
    <row r="3234" spans="12:12" ht="15" customHeight="1">
      <c r="L3234" s="240"/>
    </row>
    <row r="3235" spans="12:12" ht="15" customHeight="1">
      <c r="L3235" s="240"/>
    </row>
    <row r="3236" spans="12:12" ht="15" customHeight="1">
      <c r="L3236" s="240"/>
    </row>
    <row r="3237" spans="12:12" ht="15" customHeight="1">
      <c r="L3237" s="240"/>
    </row>
    <row r="3238" spans="12:12" ht="15" customHeight="1">
      <c r="L3238" s="240"/>
    </row>
    <row r="3239" spans="12:12" ht="15" customHeight="1">
      <c r="L3239" s="240"/>
    </row>
    <row r="3240" spans="12:12" ht="15" customHeight="1">
      <c r="L3240" s="240"/>
    </row>
    <row r="3241" spans="12:12" ht="15" customHeight="1">
      <c r="L3241" s="240"/>
    </row>
    <row r="3242" spans="12:12" ht="15" customHeight="1">
      <c r="L3242" s="240"/>
    </row>
    <row r="3243" spans="12:12" ht="15" customHeight="1">
      <c r="L3243" s="240"/>
    </row>
    <row r="3244" spans="12:12" ht="15" customHeight="1">
      <c r="L3244" s="240"/>
    </row>
    <row r="3245" spans="12:12" ht="15" customHeight="1">
      <c r="L3245" s="240"/>
    </row>
    <row r="3246" spans="12:12" ht="15" customHeight="1">
      <c r="L3246" s="240"/>
    </row>
    <row r="3247" spans="12:12" ht="15" customHeight="1">
      <c r="L3247" s="240"/>
    </row>
    <row r="3248" spans="12:12" ht="15" customHeight="1">
      <c r="L3248" s="240"/>
    </row>
    <row r="3249" spans="12:12" ht="15" customHeight="1">
      <c r="L3249" s="240"/>
    </row>
    <row r="3250" spans="12:12" ht="15" customHeight="1">
      <c r="L3250" s="240"/>
    </row>
    <row r="3251" spans="12:12" ht="15" customHeight="1">
      <c r="L3251" s="240"/>
    </row>
    <row r="3252" spans="12:12" ht="15" customHeight="1">
      <c r="L3252" s="240"/>
    </row>
    <row r="3253" spans="12:12" ht="15" customHeight="1">
      <c r="L3253" s="240"/>
    </row>
    <row r="3254" spans="12:12" ht="15" customHeight="1">
      <c r="L3254" s="240"/>
    </row>
    <row r="3255" spans="12:12" ht="15" customHeight="1">
      <c r="L3255" s="240"/>
    </row>
    <row r="3256" spans="12:12" ht="15" customHeight="1">
      <c r="L3256" s="240"/>
    </row>
    <row r="3257" spans="12:12" ht="15" customHeight="1">
      <c r="L3257" s="240"/>
    </row>
    <row r="3258" spans="12:12" ht="15" customHeight="1">
      <c r="L3258" s="240"/>
    </row>
    <row r="3259" spans="12:12" ht="15" customHeight="1">
      <c r="L3259" s="240"/>
    </row>
    <row r="3260" spans="12:12" ht="15" customHeight="1">
      <c r="L3260" s="240"/>
    </row>
    <row r="3261" spans="12:12" ht="15" customHeight="1">
      <c r="L3261" s="240"/>
    </row>
    <row r="3262" spans="12:12" ht="15" customHeight="1">
      <c r="L3262" s="240"/>
    </row>
    <row r="3263" spans="12:12" ht="15" customHeight="1">
      <c r="L3263" s="240"/>
    </row>
    <row r="3264" spans="12:12" ht="15" customHeight="1">
      <c r="L3264" s="240"/>
    </row>
    <row r="3265" spans="12:12" ht="15" customHeight="1">
      <c r="L3265" s="240"/>
    </row>
    <row r="3266" spans="12:12" ht="15" customHeight="1">
      <c r="L3266" s="240"/>
    </row>
    <row r="3267" spans="12:12" ht="15" customHeight="1">
      <c r="L3267" s="240"/>
    </row>
    <row r="3268" spans="12:12" ht="15" customHeight="1">
      <c r="L3268" s="240"/>
    </row>
    <row r="3269" spans="12:12" ht="15" customHeight="1">
      <c r="L3269" s="240"/>
    </row>
    <row r="3270" spans="12:12" ht="15" customHeight="1">
      <c r="L3270" s="240"/>
    </row>
    <row r="3271" spans="12:12" ht="15" customHeight="1">
      <c r="L3271" s="240"/>
    </row>
    <row r="3272" spans="12:12" ht="15" customHeight="1">
      <c r="L3272" s="240"/>
    </row>
    <row r="3273" spans="12:12" ht="15" customHeight="1">
      <c r="L3273" s="240"/>
    </row>
    <row r="3274" spans="12:12" ht="15" customHeight="1">
      <c r="L3274" s="240"/>
    </row>
    <row r="3275" spans="12:12" ht="15" customHeight="1">
      <c r="L3275" s="240"/>
    </row>
    <row r="3276" spans="12:12" ht="15" customHeight="1">
      <c r="L3276" s="240"/>
    </row>
    <row r="3277" spans="12:12" ht="15" customHeight="1">
      <c r="L3277" s="240"/>
    </row>
    <row r="3278" spans="12:12" ht="15" customHeight="1">
      <c r="L3278" s="240"/>
    </row>
    <row r="3279" spans="12:12" ht="15" customHeight="1">
      <c r="L3279" s="240"/>
    </row>
    <row r="3280" spans="12:12" ht="15" customHeight="1">
      <c r="L3280" s="240"/>
    </row>
    <row r="3281" spans="12:12" ht="15" customHeight="1">
      <c r="L3281" s="240"/>
    </row>
    <row r="3282" spans="12:12" ht="15" customHeight="1">
      <c r="L3282" s="240"/>
    </row>
    <row r="3283" spans="12:12" ht="15" customHeight="1">
      <c r="L3283" s="240"/>
    </row>
    <row r="3284" spans="12:12" ht="15" customHeight="1">
      <c r="L3284" s="240"/>
    </row>
    <row r="3285" spans="12:12" ht="15" customHeight="1">
      <c r="L3285" s="240"/>
    </row>
    <row r="3286" spans="12:12" ht="15" customHeight="1">
      <c r="L3286" s="240"/>
    </row>
    <row r="3287" spans="12:12" ht="15" customHeight="1">
      <c r="L3287" s="240"/>
    </row>
    <row r="3288" spans="12:12" ht="15" customHeight="1">
      <c r="L3288" s="240"/>
    </row>
    <row r="3289" spans="12:12" ht="15" customHeight="1">
      <c r="L3289" s="240"/>
    </row>
    <row r="3290" spans="12:12" ht="15" customHeight="1">
      <c r="L3290" s="240"/>
    </row>
    <row r="3291" spans="12:12" ht="15" customHeight="1">
      <c r="L3291" s="240"/>
    </row>
    <row r="3292" spans="12:12" ht="15" customHeight="1">
      <c r="L3292" s="240"/>
    </row>
    <row r="3293" spans="12:12" ht="15" customHeight="1">
      <c r="L3293" s="240"/>
    </row>
    <row r="3294" spans="12:12" ht="15" customHeight="1">
      <c r="L3294" s="240"/>
    </row>
    <row r="3295" spans="12:12" ht="15" customHeight="1">
      <c r="L3295" s="240"/>
    </row>
    <row r="3296" spans="12:12" ht="15" customHeight="1">
      <c r="L3296" s="240"/>
    </row>
    <row r="3297" spans="12:12" ht="15" customHeight="1">
      <c r="L3297" s="240"/>
    </row>
    <row r="3298" spans="12:12" ht="15" customHeight="1">
      <c r="L3298" s="240"/>
    </row>
    <row r="3299" spans="12:12" ht="15" customHeight="1">
      <c r="L3299" s="240"/>
    </row>
    <row r="3300" spans="12:12" ht="15" customHeight="1">
      <c r="L3300" s="240"/>
    </row>
    <row r="3301" spans="12:12" ht="15" customHeight="1">
      <c r="L3301" s="240"/>
    </row>
    <row r="3302" spans="12:12" ht="15" customHeight="1">
      <c r="L3302" s="240"/>
    </row>
    <row r="3303" spans="12:12" ht="15" customHeight="1">
      <c r="L3303" s="240"/>
    </row>
    <row r="3304" spans="12:12" ht="15" customHeight="1">
      <c r="L3304" s="240"/>
    </row>
    <row r="3305" spans="12:12" ht="15" customHeight="1">
      <c r="L3305" s="240"/>
    </row>
    <row r="3306" spans="12:12" ht="15" customHeight="1">
      <c r="L3306" s="240"/>
    </row>
    <row r="3307" spans="12:12" ht="15" customHeight="1">
      <c r="L3307" s="240"/>
    </row>
    <row r="3308" spans="12:12" ht="15" customHeight="1">
      <c r="L3308" s="240"/>
    </row>
    <row r="3309" spans="12:12" ht="15" customHeight="1">
      <c r="L3309" s="240"/>
    </row>
    <row r="3310" spans="12:12" ht="15" customHeight="1">
      <c r="L3310" s="240"/>
    </row>
    <row r="3311" spans="12:12" ht="15" customHeight="1">
      <c r="L3311" s="240"/>
    </row>
    <row r="3312" spans="12:12" ht="15" customHeight="1">
      <c r="L3312" s="240"/>
    </row>
    <row r="3313" spans="12:12" ht="15" customHeight="1">
      <c r="L3313" s="240"/>
    </row>
    <row r="3314" spans="12:12" ht="15" customHeight="1">
      <c r="L3314" s="240"/>
    </row>
    <row r="3315" spans="12:12" ht="15" customHeight="1">
      <c r="L3315" s="240"/>
    </row>
    <row r="3316" spans="12:12" ht="15" customHeight="1">
      <c r="L3316" s="240"/>
    </row>
    <row r="3317" spans="12:12" ht="15" customHeight="1">
      <c r="L3317" s="240"/>
    </row>
    <row r="3318" spans="12:12" ht="15" customHeight="1">
      <c r="L3318" s="240"/>
    </row>
    <row r="3319" spans="12:12" ht="15" customHeight="1">
      <c r="L3319" s="240"/>
    </row>
    <row r="3320" spans="12:12" ht="15" customHeight="1">
      <c r="L3320" s="240"/>
    </row>
    <row r="3321" spans="12:12" ht="15" customHeight="1">
      <c r="L3321" s="240"/>
    </row>
    <row r="3322" spans="12:12" ht="15" customHeight="1">
      <c r="L3322" s="240"/>
    </row>
    <row r="3323" spans="12:12" ht="15" customHeight="1">
      <c r="L3323" s="240"/>
    </row>
    <row r="3324" spans="12:12" ht="15" customHeight="1">
      <c r="L3324" s="240"/>
    </row>
    <row r="3325" spans="12:12" ht="15" customHeight="1">
      <c r="L3325" s="240"/>
    </row>
    <row r="3326" spans="12:12" ht="15" customHeight="1">
      <c r="L3326" s="240"/>
    </row>
    <row r="3327" spans="12:12" ht="15" customHeight="1">
      <c r="L3327" s="240"/>
    </row>
    <row r="3328" spans="12:12" ht="15" customHeight="1">
      <c r="L3328" s="240"/>
    </row>
    <row r="3329" spans="12:12" ht="15" customHeight="1">
      <c r="L3329" s="240"/>
    </row>
    <row r="3330" spans="12:12" ht="15" customHeight="1">
      <c r="L3330" s="240"/>
    </row>
    <row r="3331" spans="12:12" ht="15" customHeight="1">
      <c r="L3331" s="240"/>
    </row>
    <row r="3332" spans="12:12" ht="15" customHeight="1">
      <c r="L3332" s="240"/>
    </row>
    <row r="3333" spans="12:12" ht="15" customHeight="1">
      <c r="L3333" s="240"/>
    </row>
    <row r="3334" spans="12:12" ht="15" customHeight="1">
      <c r="L3334" s="240"/>
    </row>
    <row r="3335" spans="12:12" ht="15" customHeight="1">
      <c r="L3335" s="240"/>
    </row>
    <row r="3336" spans="12:12" ht="15" customHeight="1">
      <c r="L3336" s="240"/>
    </row>
    <row r="3337" spans="12:12" ht="15" customHeight="1">
      <c r="L3337" s="240"/>
    </row>
    <row r="3338" spans="12:12" ht="15" customHeight="1">
      <c r="L3338" s="240"/>
    </row>
    <row r="3339" spans="12:12" ht="15" customHeight="1">
      <c r="L3339" s="240"/>
    </row>
    <row r="3340" spans="12:12" ht="15" customHeight="1">
      <c r="L3340" s="240"/>
    </row>
    <row r="3341" spans="12:12" ht="15" customHeight="1">
      <c r="L3341" s="240"/>
    </row>
    <row r="3342" spans="12:12" ht="15" customHeight="1">
      <c r="L3342" s="240"/>
    </row>
    <row r="3343" spans="12:12" ht="15" customHeight="1">
      <c r="L3343" s="240"/>
    </row>
    <row r="3344" spans="12:12" ht="15" customHeight="1">
      <c r="L3344" s="240"/>
    </row>
    <row r="3345" spans="12:12" ht="15" customHeight="1">
      <c r="L3345" s="240"/>
    </row>
    <row r="3346" spans="12:12" ht="15" customHeight="1">
      <c r="L3346" s="240"/>
    </row>
    <row r="3347" spans="12:12" ht="15" customHeight="1">
      <c r="L3347" s="240"/>
    </row>
    <row r="3348" spans="12:12" ht="15" customHeight="1">
      <c r="L3348" s="240"/>
    </row>
    <row r="3349" spans="12:12" ht="15" customHeight="1">
      <c r="L3349" s="240"/>
    </row>
    <row r="3350" spans="12:12" ht="15" customHeight="1">
      <c r="L3350" s="240"/>
    </row>
    <row r="3351" spans="12:12" ht="15" customHeight="1">
      <c r="L3351" s="240"/>
    </row>
    <row r="3352" spans="12:12" ht="15" customHeight="1">
      <c r="L3352" s="240"/>
    </row>
    <row r="3353" spans="12:12" ht="15" customHeight="1">
      <c r="L3353" s="240"/>
    </row>
    <row r="3354" spans="12:12" ht="15" customHeight="1">
      <c r="L3354" s="240"/>
    </row>
    <row r="3355" spans="12:12" ht="15" customHeight="1">
      <c r="L3355" s="240"/>
    </row>
    <row r="3356" spans="12:12" ht="15" customHeight="1">
      <c r="L3356" s="240"/>
    </row>
    <row r="3357" spans="12:12" ht="15" customHeight="1">
      <c r="L3357" s="240"/>
    </row>
    <row r="3358" spans="12:12" ht="15" customHeight="1">
      <c r="L3358" s="240"/>
    </row>
    <row r="3359" spans="12:12" ht="15" customHeight="1">
      <c r="L3359" s="240"/>
    </row>
    <row r="3360" spans="12:12" ht="15" customHeight="1">
      <c r="L3360" s="240"/>
    </row>
    <row r="3361" spans="12:12" ht="15" customHeight="1">
      <c r="L3361" s="240"/>
    </row>
    <row r="3362" spans="12:12" ht="15" customHeight="1">
      <c r="L3362" s="240"/>
    </row>
    <row r="3363" spans="12:12" ht="15" customHeight="1">
      <c r="L3363" s="240"/>
    </row>
    <row r="3364" spans="12:12" ht="15" customHeight="1">
      <c r="L3364" s="240"/>
    </row>
    <row r="3365" spans="12:12" ht="15" customHeight="1">
      <c r="L3365" s="240"/>
    </row>
    <row r="3366" spans="12:12" ht="15" customHeight="1">
      <c r="L3366" s="240"/>
    </row>
    <row r="3367" spans="12:12" ht="15" customHeight="1">
      <c r="L3367" s="240"/>
    </row>
    <row r="3368" spans="12:12" ht="15" customHeight="1">
      <c r="L3368" s="240"/>
    </row>
    <row r="3369" spans="12:12" ht="15" customHeight="1">
      <c r="L3369" s="240"/>
    </row>
    <row r="3370" spans="12:12" ht="15" customHeight="1">
      <c r="L3370" s="240"/>
    </row>
    <row r="3371" spans="12:12" ht="15" customHeight="1">
      <c r="L3371" s="240"/>
    </row>
    <row r="3372" spans="12:12" ht="15" customHeight="1">
      <c r="L3372" s="240"/>
    </row>
    <row r="3373" spans="12:12" ht="15" customHeight="1">
      <c r="L3373" s="240"/>
    </row>
    <row r="3374" spans="12:12" ht="15" customHeight="1">
      <c r="L3374" s="240"/>
    </row>
    <row r="3375" spans="12:12" ht="15" customHeight="1">
      <c r="L3375" s="240"/>
    </row>
    <row r="3376" spans="12:12" ht="15" customHeight="1">
      <c r="L3376" s="240"/>
    </row>
    <row r="3377" spans="12:12" ht="15" customHeight="1">
      <c r="L3377" s="240"/>
    </row>
    <row r="3378" spans="12:12" ht="15" customHeight="1">
      <c r="L3378" s="240"/>
    </row>
    <row r="3379" spans="12:12" ht="15" customHeight="1">
      <c r="L3379" s="240"/>
    </row>
    <row r="3380" spans="12:12" ht="15" customHeight="1">
      <c r="L3380" s="240"/>
    </row>
    <row r="3381" spans="12:12" ht="15" customHeight="1">
      <c r="L3381" s="240"/>
    </row>
    <row r="3382" spans="12:12" ht="15" customHeight="1">
      <c r="L3382" s="240"/>
    </row>
    <row r="3383" spans="12:12" ht="15" customHeight="1">
      <c r="L3383" s="240"/>
    </row>
    <row r="3384" spans="12:12" ht="15" customHeight="1">
      <c r="L3384" s="240"/>
    </row>
    <row r="3385" spans="12:12" ht="15" customHeight="1">
      <c r="L3385" s="240"/>
    </row>
    <row r="3386" spans="12:12" ht="15" customHeight="1">
      <c r="L3386" s="240"/>
    </row>
    <row r="3387" spans="12:12" ht="15" customHeight="1">
      <c r="L3387" s="240"/>
    </row>
    <row r="3388" spans="12:12" ht="15" customHeight="1">
      <c r="L3388" s="240"/>
    </row>
    <row r="3389" spans="12:12" ht="15" customHeight="1">
      <c r="L3389" s="240"/>
    </row>
    <row r="3390" spans="12:12" ht="15" customHeight="1">
      <c r="L3390" s="240"/>
    </row>
    <row r="3391" spans="12:12" ht="15" customHeight="1">
      <c r="L3391" s="240"/>
    </row>
    <row r="3392" spans="12:12" ht="15" customHeight="1">
      <c r="L3392" s="240"/>
    </row>
    <row r="3393" spans="12:12" ht="15" customHeight="1">
      <c r="L3393" s="240"/>
    </row>
    <row r="3394" spans="12:12" ht="15" customHeight="1">
      <c r="L3394" s="240"/>
    </row>
    <row r="3395" spans="12:12" ht="15" customHeight="1">
      <c r="L3395" s="240"/>
    </row>
    <row r="3396" spans="12:12" ht="15" customHeight="1">
      <c r="L3396" s="240"/>
    </row>
    <row r="3397" spans="12:12" ht="15" customHeight="1">
      <c r="L3397" s="240"/>
    </row>
    <row r="3398" spans="12:12" ht="15" customHeight="1">
      <c r="L3398" s="240"/>
    </row>
    <row r="3399" spans="12:12" ht="15" customHeight="1">
      <c r="L3399" s="240"/>
    </row>
    <row r="3400" spans="12:12" ht="15" customHeight="1">
      <c r="L3400" s="240"/>
    </row>
    <row r="3401" spans="12:12" ht="15" customHeight="1">
      <c r="L3401" s="240"/>
    </row>
    <row r="3402" spans="12:12" ht="15" customHeight="1">
      <c r="L3402" s="240"/>
    </row>
    <row r="3403" spans="12:12" ht="15" customHeight="1">
      <c r="L3403" s="240"/>
    </row>
    <row r="3404" spans="12:12" ht="15" customHeight="1">
      <c r="L3404" s="240"/>
    </row>
    <row r="3405" spans="12:12" ht="15" customHeight="1">
      <c r="L3405" s="240"/>
    </row>
    <row r="3406" spans="12:12" ht="15" customHeight="1">
      <c r="L3406" s="240"/>
    </row>
    <row r="3407" spans="12:12" ht="15" customHeight="1">
      <c r="L3407" s="240"/>
    </row>
    <row r="3408" spans="12:12" ht="15" customHeight="1">
      <c r="L3408" s="240"/>
    </row>
    <row r="3409" spans="12:12" ht="15" customHeight="1">
      <c r="L3409" s="240"/>
    </row>
    <row r="3410" spans="12:12" ht="15" customHeight="1">
      <c r="L3410" s="240"/>
    </row>
    <row r="3411" spans="12:12" ht="15" customHeight="1">
      <c r="L3411" s="240"/>
    </row>
    <row r="3412" spans="12:12" ht="15" customHeight="1">
      <c r="L3412" s="240"/>
    </row>
    <row r="3413" spans="12:12" ht="15" customHeight="1">
      <c r="L3413" s="240"/>
    </row>
    <row r="3414" spans="12:12" ht="15" customHeight="1">
      <c r="L3414" s="240"/>
    </row>
    <row r="3415" spans="12:12" ht="15" customHeight="1">
      <c r="L3415" s="240"/>
    </row>
    <row r="3416" spans="12:12" ht="15" customHeight="1">
      <c r="L3416" s="240"/>
    </row>
    <row r="3417" spans="12:12" ht="15" customHeight="1">
      <c r="L3417" s="240"/>
    </row>
    <row r="3418" spans="12:12" ht="15" customHeight="1">
      <c r="L3418" s="240"/>
    </row>
    <row r="3419" spans="12:12" ht="15" customHeight="1">
      <c r="L3419" s="240"/>
    </row>
    <row r="3420" spans="12:12" ht="15" customHeight="1">
      <c r="L3420" s="240"/>
    </row>
    <row r="3421" spans="12:12" ht="15" customHeight="1">
      <c r="L3421" s="240"/>
    </row>
    <row r="3422" spans="12:12" ht="15" customHeight="1">
      <c r="L3422" s="240"/>
    </row>
    <row r="3423" spans="12:12" ht="15" customHeight="1">
      <c r="L3423" s="240"/>
    </row>
    <row r="3424" spans="12:12" ht="15" customHeight="1">
      <c r="L3424" s="240"/>
    </row>
    <row r="3425" spans="12:12" ht="15" customHeight="1">
      <c r="L3425" s="240"/>
    </row>
    <row r="3426" spans="12:12" ht="15" customHeight="1">
      <c r="L3426" s="240"/>
    </row>
    <row r="3427" spans="12:12" ht="15" customHeight="1">
      <c r="L3427" s="240"/>
    </row>
    <row r="3428" spans="12:12" ht="15" customHeight="1">
      <c r="L3428" s="240"/>
    </row>
    <row r="3429" spans="12:12" ht="15" customHeight="1">
      <c r="L3429" s="240"/>
    </row>
    <row r="3430" spans="12:12" ht="15" customHeight="1">
      <c r="L3430" s="240"/>
    </row>
    <row r="3431" spans="12:12" ht="15" customHeight="1">
      <c r="L3431" s="240"/>
    </row>
    <row r="3432" spans="12:12" ht="15" customHeight="1">
      <c r="L3432" s="240"/>
    </row>
    <row r="3433" spans="12:12" ht="15" customHeight="1">
      <c r="L3433" s="240"/>
    </row>
    <row r="3434" spans="12:12" ht="15" customHeight="1">
      <c r="L3434" s="240"/>
    </row>
    <row r="3435" spans="12:12" ht="15" customHeight="1">
      <c r="L3435" s="240"/>
    </row>
    <row r="3436" spans="12:12" ht="15" customHeight="1">
      <c r="L3436" s="240"/>
    </row>
    <row r="3437" spans="12:12" ht="15" customHeight="1">
      <c r="L3437" s="240"/>
    </row>
    <row r="3438" spans="12:12" ht="15" customHeight="1">
      <c r="L3438" s="240"/>
    </row>
    <row r="3439" spans="12:12" ht="15" customHeight="1">
      <c r="L3439" s="240"/>
    </row>
    <row r="3440" spans="12:12" ht="15" customHeight="1">
      <c r="L3440" s="240"/>
    </row>
    <row r="3441" spans="12:12" ht="15" customHeight="1">
      <c r="L3441" s="240"/>
    </row>
    <row r="3442" spans="12:12" ht="15" customHeight="1">
      <c r="L3442" s="240"/>
    </row>
    <row r="3443" spans="12:12" ht="15" customHeight="1">
      <c r="L3443" s="240"/>
    </row>
    <row r="3444" spans="12:12" ht="15" customHeight="1">
      <c r="L3444" s="240"/>
    </row>
    <row r="3445" spans="12:12" ht="15" customHeight="1">
      <c r="L3445" s="240"/>
    </row>
    <row r="3446" spans="12:12" ht="15" customHeight="1">
      <c r="L3446" s="240"/>
    </row>
    <row r="3447" spans="12:12" ht="15" customHeight="1">
      <c r="L3447" s="240"/>
    </row>
    <row r="3448" spans="12:12" ht="15" customHeight="1">
      <c r="L3448" s="240"/>
    </row>
    <row r="3449" spans="12:12" ht="15" customHeight="1">
      <c r="L3449" s="240"/>
    </row>
    <row r="3450" spans="12:12" ht="15" customHeight="1">
      <c r="L3450" s="240"/>
    </row>
    <row r="3451" spans="12:12" ht="15" customHeight="1">
      <c r="L3451" s="240"/>
    </row>
    <row r="3452" spans="12:12" ht="15" customHeight="1">
      <c r="L3452" s="240"/>
    </row>
    <row r="3453" spans="12:12" ht="15" customHeight="1">
      <c r="L3453" s="240"/>
    </row>
    <row r="3454" spans="12:12" ht="15" customHeight="1">
      <c r="L3454" s="240"/>
    </row>
    <row r="3455" spans="12:12" ht="15" customHeight="1">
      <c r="L3455" s="240"/>
    </row>
    <row r="3456" spans="12:12" ht="15" customHeight="1">
      <c r="L3456" s="240"/>
    </row>
    <row r="3457" spans="12:12" ht="15" customHeight="1">
      <c r="L3457" s="240"/>
    </row>
    <row r="3458" spans="12:12" ht="15" customHeight="1">
      <c r="L3458" s="240"/>
    </row>
    <row r="3459" spans="12:12" ht="15" customHeight="1">
      <c r="L3459" s="240"/>
    </row>
    <row r="3460" spans="12:12" ht="15" customHeight="1">
      <c r="L3460" s="240"/>
    </row>
    <row r="3461" spans="12:12" ht="15" customHeight="1">
      <c r="L3461" s="240"/>
    </row>
    <row r="3462" spans="12:12" ht="15" customHeight="1">
      <c r="L3462" s="240"/>
    </row>
    <row r="3463" spans="12:12" ht="15" customHeight="1">
      <c r="L3463" s="240"/>
    </row>
    <row r="3464" spans="12:12" ht="15" customHeight="1">
      <c r="L3464" s="240"/>
    </row>
    <row r="3465" spans="12:12" ht="15" customHeight="1">
      <c r="L3465" s="240"/>
    </row>
    <row r="3466" spans="12:12" ht="15" customHeight="1">
      <c r="L3466" s="240"/>
    </row>
    <row r="3467" spans="12:12" ht="15" customHeight="1">
      <c r="L3467" s="240"/>
    </row>
    <row r="3468" spans="12:12" ht="15" customHeight="1">
      <c r="L3468" s="240"/>
    </row>
    <row r="3469" spans="12:12" ht="15" customHeight="1">
      <c r="L3469" s="240"/>
    </row>
    <row r="3470" spans="12:12" ht="15" customHeight="1">
      <c r="L3470" s="240"/>
    </row>
    <row r="3471" spans="12:12" ht="15" customHeight="1">
      <c r="L3471" s="240"/>
    </row>
    <row r="3472" spans="12:12" ht="15" customHeight="1">
      <c r="L3472" s="240"/>
    </row>
    <row r="3473" spans="12:12" ht="15" customHeight="1">
      <c r="L3473" s="240"/>
    </row>
    <row r="3474" spans="12:12" ht="15" customHeight="1">
      <c r="L3474" s="240"/>
    </row>
    <row r="3475" spans="12:12" ht="15" customHeight="1">
      <c r="L3475" s="240"/>
    </row>
    <row r="3476" spans="12:12" ht="15" customHeight="1">
      <c r="L3476" s="240"/>
    </row>
    <row r="3477" spans="12:12" ht="15" customHeight="1">
      <c r="L3477" s="240"/>
    </row>
    <row r="3478" spans="12:12" ht="15" customHeight="1">
      <c r="L3478" s="240"/>
    </row>
    <row r="3479" spans="12:12" ht="15" customHeight="1">
      <c r="L3479" s="240"/>
    </row>
    <row r="3480" spans="12:12" ht="15" customHeight="1">
      <c r="L3480" s="240"/>
    </row>
    <row r="3481" spans="12:12" ht="15" customHeight="1">
      <c r="L3481" s="240"/>
    </row>
    <row r="3482" spans="12:12" ht="15" customHeight="1">
      <c r="L3482" s="240"/>
    </row>
    <row r="3483" spans="12:12" ht="15" customHeight="1">
      <c r="L3483" s="240"/>
    </row>
    <row r="3484" spans="12:12" ht="15" customHeight="1">
      <c r="L3484" s="240"/>
    </row>
    <row r="3485" spans="12:12" ht="15" customHeight="1">
      <c r="L3485" s="240"/>
    </row>
    <row r="3486" spans="12:12" ht="15" customHeight="1">
      <c r="L3486" s="240"/>
    </row>
    <row r="3487" spans="12:12" ht="15" customHeight="1">
      <c r="L3487" s="240"/>
    </row>
    <row r="3488" spans="12:12" ht="15" customHeight="1">
      <c r="L3488" s="240"/>
    </row>
    <row r="3489" spans="12:12" ht="15" customHeight="1">
      <c r="L3489" s="240"/>
    </row>
    <row r="3490" spans="12:12" ht="15" customHeight="1">
      <c r="L3490" s="240"/>
    </row>
    <row r="3491" spans="12:12" ht="15" customHeight="1">
      <c r="L3491" s="240"/>
    </row>
    <row r="3492" spans="12:12" ht="15" customHeight="1">
      <c r="L3492" s="240"/>
    </row>
    <row r="3493" spans="12:12" ht="15" customHeight="1">
      <c r="L3493" s="240"/>
    </row>
    <row r="3494" spans="12:12" ht="15" customHeight="1">
      <c r="L3494" s="240"/>
    </row>
    <row r="3495" spans="12:12" ht="15" customHeight="1">
      <c r="L3495" s="240"/>
    </row>
    <row r="3496" spans="12:12" ht="15" customHeight="1">
      <c r="L3496" s="240"/>
    </row>
    <row r="3497" spans="12:12" ht="15" customHeight="1">
      <c r="L3497" s="240"/>
    </row>
    <row r="3498" spans="12:12" ht="15" customHeight="1">
      <c r="L3498" s="240"/>
    </row>
    <row r="3499" spans="12:12" ht="15" customHeight="1">
      <c r="L3499" s="240"/>
    </row>
    <row r="3500" spans="12:12" ht="15" customHeight="1">
      <c r="L3500" s="240"/>
    </row>
    <row r="3501" spans="12:12" ht="15" customHeight="1">
      <c r="L3501" s="240"/>
    </row>
    <row r="3502" spans="12:12" ht="15" customHeight="1">
      <c r="L3502" s="240"/>
    </row>
    <row r="3503" spans="12:12" ht="15" customHeight="1">
      <c r="L3503" s="240"/>
    </row>
    <row r="3504" spans="12:12" ht="15" customHeight="1">
      <c r="L3504" s="240"/>
    </row>
    <row r="3505" spans="12:12" ht="15" customHeight="1">
      <c r="L3505" s="240"/>
    </row>
    <row r="3506" spans="12:12" ht="15" customHeight="1">
      <c r="L3506" s="240"/>
    </row>
    <row r="3507" spans="12:12" ht="15" customHeight="1">
      <c r="L3507" s="240"/>
    </row>
    <row r="3508" spans="12:12" ht="15" customHeight="1">
      <c r="L3508" s="240"/>
    </row>
    <row r="3509" spans="12:12" ht="15" customHeight="1">
      <c r="L3509" s="240"/>
    </row>
    <row r="3510" spans="12:12" ht="15" customHeight="1">
      <c r="L3510" s="240"/>
    </row>
    <row r="3511" spans="12:12" ht="15" customHeight="1">
      <c r="L3511" s="240"/>
    </row>
    <row r="3512" spans="12:12" ht="15" customHeight="1">
      <c r="L3512" s="240"/>
    </row>
    <row r="3513" spans="12:12" ht="15" customHeight="1">
      <c r="L3513" s="240"/>
    </row>
    <row r="3514" spans="12:12" ht="15" customHeight="1">
      <c r="L3514" s="240"/>
    </row>
    <row r="3515" spans="12:12" ht="15" customHeight="1">
      <c r="L3515" s="240"/>
    </row>
    <row r="3516" spans="12:12" ht="15" customHeight="1">
      <c r="L3516" s="240"/>
    </row>
    <row r="3517" spans="12:12" ht="15" customHeight="1">
      <c r="L3517" s="240"/>
    </row>
    <row r="3518" spans="12:12" ht="15" customHeight="1">
      <c r="L3518" s="240"/>
    </row>
    <row r="3519" spans="12:12" ht="15" customHeight="1">
      <c r="L3519" s="240"/>
    </row>
    <row r="3520" spans="12:12" ht="15" customHeight="1">
      <c r="L3520" s="240"/>
    </row>
    <row r="3521" spans="12:12" ht="15" customHeight="1">
      <c r="L3521" s="240"/>
    </row>
    <row r="3522" spans="12:12" ht="15" customHeight="1">
      <c r="L3522" s="240"/>
    </row>
    <row r="3523" spans="12:12" ht="15" customHeight="1">
      <c r="L3523" s="240"/>
    </row>
    <row r="3524" spans="12:12" ht="15" customHeight="1">
      <c r="L3524" s="240"/>
    </row>
    <row r="3525" spans="12:12" ht="15" customHeight="1">
      <c r="L3525" s="240"/>
    </row>
    <row r="3526" spans="12:12" ht="15" customHeight="1">
      <c r="L3526" s="240"/>
    </row>
    <row r="3527" spans="12:12" ht="15" customHeight="1">
      <c r="L3527" s="240"/>
    </row>
    <row r="3528" spans="12:12" ht="15" customHeight="1">
      <c r="L3528" s="240"/>
    </row>
    <row r="3529" spans="12:12" ht="15" customHeight="1">
      <c r="L3529" s="240"/>
    </row>
    <row r="3530" spans="12:12" ht="15" customHeight="1">
      <c r="L3530" s="240"/>
    </row>
    <row r="3531" spans="12:12" ht="15" customHeight="1">
      <c r="L3531" s="240"/>
    </row>
    <row r="3532" spans="12:12" ht="15" customHeight="1">
      <c r="L3532" s="240"/>
    </row>
    <row r="3533" spans="12:12" ht="15" customHeight="1">
      <c r="L3533" s="240"/>
    </row>
    <row r="3534" spans="12:12" ht="15" customHeight="1">
      <c r="L3534" s="240"/>
    </row>
    <row r="3535" spans="12:12" ht="15" customHeight="1">
      <c r="L3535" s="240"/>
    </row>
    <row r="3536" spans="12:12" ht="15" customHeight="1">
      <c r="L3536" s="240"/>
    </row>
    <row r="3537" spans="12:12" ht="15" customHeight="1">
      <c r="L3537" s="240"/>
    </row>
    <row r="3538" spans="12:12" ht="15" customHeight="1">
      <c r="L3538" s="240"/>
    </row>
    <row r="3539" spans="12:12" ht="15" customHeight="1">
      <c r="L3539" s="240"/>
    </row>
    <row r="3540" spans="12:12" ht="15" customHeight="1">
      <c r="L3540" s="240"/>
    </row>
    <row r="3541" spans="12:12" ht="15" customHeight="1">
      <c r="L3541" s="240"/>
    </row>
    <row r="3542" spans="12:12" ht="15" customHeight="1">
      <c r="L3542" s="240"/>
    </row>
    <row r="3543" spans="12:12" ht="15" customHeight="1">
      <c r="L3543" s="240"/>
    </row>
    <row r="3544" spans="12:12" ht="15" customHeight="1">
      <c r="L3544" s="240"/>
    </row>
    <row r="3545" spans="12:12" ht="15" customHeight="1">
      <c r="L3545" s="240"/>
    </row>
    <row r="3546" spans="12:12" ht="15" customHeight="1">
      <c r="L3546" s="240"/>
    </row>
    <row r="3547" spans="12:12" ht="15" customHeight="1">
      <c r="L3547" s="240"/>
    </row>
    <row r="3548" spans="12:12" ht="15" customHeight="1">
      <c r="L3548" s="240"/>
    </row>
    <row r="3549" spans="12:12" ht="15" customHeight="1">
      <c r="L3549" s="240"/>
    </row>
    <row r="3550" spans="12:12" ht="15" customHeight="1">
      <c r="L3550" s="240"/>
    </row>
    <row r="3551" spans="12:12" ht="15" customHeight="1">
      <c r="L3551" s="240"/>
    </row>
    <row r="3552" spans="12:12" ht="15" customHeight="1">
      <c r="L3552" s="240"/>
    </row>
    <row r="3553" spans="12:12" ht="15" customHeight="1">
      <c r="L3553" s="240"/>
    </row>
    <row r="3554" spans="12:12" ht="15" customHeight="1">
      <c r="L3554" s="240"/>
    </row>
    <row r="3555" spans="12:12" ht="15" customHeight="1">
      <c r="L3555" s="240"/>
    </row>
    <row r="3556" spans="12:12" ht="15" customHeight="1">
      <c r="L3556" s="240"/>
    </row>
    <row r="3557" spans="12:12" ht="15" customHeight="1">
      <c r="L3557" s="240"/>
    </row>
    <row r="3558" spans="12:12" ht="15" customHeight="1">
      <c r="L3558" s="240"/>
    </row>
    <row r="3559" spans="12:12" ht="15" customHeight="1">
      <c r="L3559" s="240"/>
    </row>
    <row r="3560" spans="12:12" ht="15" customHeight="1">
      <c r="L3560" s="240"/>
    </row>
    <row r="3561" spans="12:12" ht="15" customHeight="1">
      <c r="L3561" s="240"/>
    </row>
    <row r="3562" spans="12:12" ht="15" customHeight="1">
      <c r="L3562" s="240"/>
    </row>
    <row r="3563" spans="12:12" ht="15" customHeight="1">
      <c r="L3563" s="240"/>
    </row>
    <row r="3564" spans="12:12" ht="15" customHeight="1">
      <c r="L3564" s="240"/>
    </row>
    <row r="3565" spans="12:12" ht="15" customHeight="1">
      <c r="L3565" s="240"/>
    </row>
    <row r="3566" spans="12:12" ht="15" customHeight="1">
      <c r="L3566" s="240"/>
    </row>
    <row r="3567" spans="12:12" ht="15" customHeight="1">
      <c r="L3567" s="240"/>
    </row>
    <row r="3568" spans="12:12" ht="15" customHeight="1">
      <c r="L3568" s="240"/>
    </row>
    <row r="3569" spans="12:12" ht="15" customHeight="1">
      <c r="L3569" s="240"/>
    </row>
    <row r="3570" spans="12:12" ht="15" customHeight="1">
      <c r="L3570" s="240"/>
    </row>
    <row r="3571" spans="12:12" ht="15" customHeight="1">
      <c r="L3571" s="240"/>
    </row>
    <row r="3572" spans="12:12" ht="15" customHeight="1">
      <c r="L3572" s="240"/>
    </row>
    <row r="3573" spans="12:12" ht="15" customHeight="1">
      <c r="L3573" s="240"/>
    </row>
    <row r="3574" spans="12:12" ht="15" customHeight="1">
      <c r="L3574" s="240"/>
    </row>
    <row r="3575" spans="12:12" ht="15" customHeight="1">
      <c r="L3575" s="240"/>
    </row>
    <row r="3576" spans="12:12" ht="15" customHeight="1">
      <c r="L3576" s="240"/>
    </row>
    <row r="3577" spans="12:12" ht="15" customHeight="1">
      <c r="L3577" s="240"/>
    </row>
    <row r="3578" spans="12:12" ht="15" customHeight="1">
      <c r="L3578" s="240"/>
    </row>
    <row r="3579" spans="12:12" ht="15" customHeight="1">
      <c r="L3579" s="240"/>
    </row>
    <row r="3580" spans="12:12" ht="15" customHeight="1">
      <c r="L3580" s="240"/>
    </row>
    <row r="3581" spans="12:12" ht="15" customHeight="1">
      <c r="L3581" s="240"/>
    </row>
    <row r="3582" spans="12:12" ht="15" customHeight="1">
      <c r="L3582" s="240"/>
    </row>
    <row r="3583" spans="12:12" ht="15" customHeight="1">
      <c r="L3583" s="240"/>
    </row>
    <row r="3584" spans="12:12" ht="15" customHeight="1">
      <c r="L3584" s="240"/>
    </row>
    <row r="3585" spans="12:12" ht="15" customHeight="1">
      <c r="L3585" s="240"/>
    </row>
    <row r="3586" spans="12:12" ht="15" customHeight="1">
      <c r="L3586" s="240"/>
    </row>
    <row r="3587" spans="12:12" ht="15" customHeight="1">
      <c r="L3587" s="240"/>
    </row>
    <row r="3588" spans="12:12" ht="15" customHeight="1">
      <c r="L3588" s="240"/>
    </row>
    <row r="3589" spans="12:12" ht="15" customHeight="1">
      <c r="L3589" s="240"/>
    </row>
    <row r="3590" spans="12:12" ht="15" customHeight="1">
      <c r="L3590" s="240"/>
    </row>
    <row r="3591" spans="12:12" ht="15" customHeight="1">
      <c r="L3591" s="240"/>
    </row>
    <row r="3592" spans="12:12" ht="15" customHeight="1">
      <c r="L3592" s="240"/>
    </row>
    <row r="3593" spans="12:12" ht="15" customHeight="1">
      <c r="L3593" s="240"/>
    </row>
    <row r="3594" spans="12:12" ht="15" customHeight="1">
      <c r="L3594" s="240"/>
    </row>
    <row r="3595" spans="12:12" ht="15" customHeight="1">
      <c r="L3595" s="240"/>
    </row>
    <row r="3596" spans="12:12" ht="15" customHeight="1">
      <c r="L3596" s="240"/>
    </row>
    <row r="3597" spans="12:12" ht="15" customHeight="1">
      <c r="L3597" s="240"/>
    </row>
    <row r="3598" spans="12:12" ht="15" customHeight="1">
      <c r="L3598" s="240"/>
    </row>
    <row r="3599" spans="12:12" ht="15" customHeight="1">
      <c r="L3599" s="240"/>
    </row>
    <row r="3600" spans="12:12" ht="15" customHeight="1">
      <c r="L3600" s="240"/>
    </row>
    <row r="3601" spans="12:12" ht="15" customHeight="1">
      <c r="L3601" s="240"/>
    </row>
    <row r="3602" spans="12:12" ht="15" customHeight="1">
      <c r="L3602" s="240"/>
    </row>
    <row r="3603" spans="12:12" ht="15" customHeight="1">
      <c r="L3603" s="240"/>
    </row>
    <row r="3604" spans="12:12" ht="15" customHeight="1">
      <c r="L3604" s="240"/>
    </row>
    <row r="3605" spans="12:12" ht="15" customHeight="1">
      <c r="L3605" s="240"/>
    </row>
    <row r="3606" spans="12:12" ht="15" customHeight="1">
      <c r="L3606" s="240"/>
    </row>
    <row r="3607" spans="12:12" ht="15" customHeight="1">
      <c r="L3607" s="240"/>
    </row>
    <row r="3608" spans="12:12" ht="15" customHeight="1">
      <c r="L3608" s="240"/>
    </row>
    <row r="3609" spans="12:12" ht="15" customHeight="1">
      <c r="L3609" s="240"/>
    </row>
    <row r="3610" spans="12:12" ht="15" customHeight="1">
      <c r="L3610" s="240"/>
    </row>
    <row r="3611" spans="12:12" ht="15" customHeight="1">
      <c r="L3611" s="240"/>
    </row>
    <row r="3612" spans="12:12" ht="15" customHeight="1">
      <c r="L3612" s="240"/>
    </row>
    <row r="3613" spans="12:12" ht="15" customHeight="1">
      <c r="L3613" s="240"/>
    </row>
    <row r="3614" spans="12:12" ht="15" customHeight="1">
      <c r="L3614" s="240"/>
    </row>
    <row r="3615" spans="12:12" ht="15" customHeight="1">
      <c r="L3615" s="240"/>
    </row>
    <row r="3616" spans="12:12" ht="15" customHeight="1">
      <c r="L3616" s="240"/>
    </row>
    <row r="3617" spans="12:12" ht="15" customHeight="1">
      <c r="L3617" s="240"/>
    </row>
    <row r="3618" spans="12:12" ht="15" customHeight="1">
      <c r="L3618" s="240"/>
    </row>
    <row r="3619" spans="12:12" ht="15" customHeight="1">
      <c r="L3619" s="240"/>
    </row>
    <row r="3620" spans="12:12" ht="15" customHeight="1">
      <c r="L3620" s="240"/>
    </row>
    <row r="3621" spans="12:12" ht="15" customHeight="1">
      <c r="L3621" s="240"/>
    </row>
    <row r="3622" spans="12:12" ht="15" customHeight="1">
      <c r="L3622" s="240"/>
    </row>
    <row r="3623" spans="12:12" ht="15" customHeight="1">
      <c r="L3623" s="240"/>
    </row>
    <row r="3624" spans="12:12" ht="15" customHeight="1">
      <c r="L3624" s="240"/>
    </row>
    <row r="3625" spans="12:12" ht="15" customHeight="1">
      <c r="L3625" s="240"/>
    </row>
    <row r="3626" spans="12:12" ht="15" customHeight="1">
      <c r="L3626" s="240"/>
    </row>
    <row r="3627" spans="12:12" ht="15" customHeight="1">
      <c r="L3627" s="240"/>
    </row>
    <row r="3628" spans="12:12" ht="15" customHeight="1">
      <c r="L3628" s="240"/>
    </row>
    <row r="3629" spans="12:12" ht="15" customHeight="1">
      <c r="L3629" s="240"/>
    </row>
    <row r="3630" spans="12:12" ht="15" customHeight="1">
      <c r="L3630" s="240"/>
    </row>
    <row r="3631" spans="12:12" ht="15" customHeight="1">
      <c r="L3631" s="240"/>
    </row>
    <row r="3632" spans="12:12" ht="15" customHeight="1">
      <c r="L3632" s="240"/>
    </row>
    <row r="3633" spans="12:12" ht="15" customHeight="1">
      <c r="L3633" s="240"/>
    </row>
    <row r="3634" spans="12:12" ht="15" customHeight="1">
      <c r="L3634" s="240"/>
    </row>
    <row r="3635" spans="12:12" ht="15" customHeight="1">
      <c r="L3635" s="240"/>
    </row>
    <row r="3636" spans="12:12" ht="15" customHeight="1">
      <c r="L3636" s="240"/>
    </row>
    <row r="3637" spans="12:12" ht="15" customHeight="1">
      <c r="L3637" s="240"/>
    </row>
    <row r="3638" spans="12:12" ht="15" customHeight="1">
      <c r="L3638" s="240"/>
    </row>
    <row r="3639" spans="12:12" ht="15" customHeight="1">
      <c r="L3639" s="240"/>
    </row>
    <row r="3640" spans="12:12" ht="15" customHeight="1">
      <c r="L3640" s="240"/>
    </row>
    <row r="3641" spans="12:12" ht="15" customHeight="1">
      <c r="L3641" s="240"/>
    </row>
    <row r="3642" spans="12:12" ht="15" customHeight="1">
      <c r="L3642" s="240"/>
    </row>
    <row r="3643" spans="12:12" ht="15" customHeight="1">
      <c r="L3643" s="240"/>
    </row>
    <row r="3644" spans="12:12" ht="15" customHeight="1">
      <c r="L3644" s="240"/>
    </row>
    <row r="3645" spans="12:12" ht="15" customHeight="1">
      <c r="L3645" s="240"/>
    </row>
    <row r="3646" spans="12:12" ht="15" customHeight="1">
      <c r="L3646" s="240"/>
    </row>
    <row r="3647" spans="12:12" ht="15" customHeight="1">
      <c r="L3647" s="240"/>
    </row>
    <row r="3648" spans="12:12" ht="15" customHeight="1">
      <c r="L3648" s="240"/>
    </row>
    <row r="3649" spans="12:12" ht="15" customHeight="1">
      <c r="L3649" s="240"/>
    </row>
    <row r="3650" spans="12:12" ht="15" customHeight="1">
      <c r="L3650" s="240"/>
    </row>
    <row r="3651" spans="12:12" ht="15" customHeight="1">
      <c r="L3651" s="240"/>
    </row>
    <row r="3652" spans="12:12" ht="15" customHeight="1">
      <c r="L3652" s="240"/>
    </row>
    <row r="3653" spans="12:12" ht="15" customHeight="1">
      <c r="L3653" s="240"/>
    </row>
    <row r="3654" spans="12:12" ht="15" customHeight="1">
      <c r="L3654" s="240"/>
    </row>
    <row r="3655" spans="12:12" ht="15" customHeight="1">
      <c r="L3655" s="240"/>
    </row>
    <row r="3656" spans="12:12" ht="15" customHeight="1">
      <c r="L3656" s="240"/>
    </row>
    <row r="3657" spans="12:12" ht="15" customHeight="1">
      <c r="L3657" s="240"/>
    </row>
    <row r="3658" spans="12:12" ht="15" customHeight="1">
      <c r="L3658" s="240"/>
    </row>
    <row r="3659" spans="12:12" ht="15" customHeight="1">
      <c r="L3659" s="240"/>
    </row>
    <row r="3660" spans="12:12" ht="15" customHeight="1">
      <c r="L3660" s="240"/>
    </row>
    <row r="3661" spans="12:12" ht="15" customHeight="1">
      <c r="L3661" s="240"/>
    </row>
    <row r="3662" spans="12:12" ht="15" customHeight="1">
      <c r="L3662" s="240"/>
    </row>
    <row r="3663" spans="12:12" ht="15" customHeight="1">
      <c r="L3663" s="240"/>
    </row>
    <row r="3664" spans="12:12" ht="15" customHeight="1">
      <c r="L3664" s="240"/>
    </row>
    <row r="3665" spans="12:12" ht="15" customHeight="1">
      <c r="L3665" s="240"/>
    </row>
    <row r="3666" spans="12:12" ht="15" customHeight="1">
      <c r="L3666" s="240"/>
    </row>
    <row r="3667" spans="12:12" ht="15" customHeight="1">
      <c r="L3667" s="240"/>
    </row>
    <row r="3668" spans="12:12" ht="15" customHeight="1">
      <c r="L3668" s="240"/>
    </row>
    <row r="3669" spans="12:12" ht="15" customHeight="1">
      <c r="L3669" s="240"/>
    </row>
    <row r="3670" spans="12:12" ht="15" customHeight="1">
      <c r="L3670" s="240"/>
    </row>
    <row r="3671" spans="12:12" ht="15" customHeight="1">
      <c r="L3671" s="240"/>
    </row>
    <row r="3672" spans="12:12" ht="15" customHeight="1">
      <c r="L3672" s="240"/>
    </row>
    <row r="3673" spans="12:12" ht="15" customHeight="1">
      <c r="L3673" s="240"/>
    </row>
    <row r="3674" spans="12:12" ht="15" customHeight="1">
      <c r="L3674" s="240"/>
    </row>
    <row r="3675" spans="12:12" ht="15" customHeight="1">
      <c r="L3675" s="240"/>
    </row>
    <row r="3676" spans="12:12" ht="15" customHeight="1">
      <c r="L3676" s="240"/>
    </row>
    <row r="3677" spans="12:12" ht="15" customHeight="1">
      <c r="L3677" s="240"/>
    </row>
    <row r="3678" spans="12:12" ht="15" customHeight="1">
      <c r="L3678" s="240"/>
    </row>
    <row r="3679" spans="12:12" ht="15" customHeight="1">
      <c r="L3679" s="240"/>
    </row>
    <row r="3680" spans="12:12" ht="15" customHeight="1">
      <c r="L3680" s="240"/>
    </row>
    <row r="3681" spans="12:12" ht="15" customHeight="1">
      <c r="L3681" s="240"/>
    </row>
    <row r="3682" spans="12:12" ht="15" customHeight="1">
      <c r="L3682" s="240"/>
    </row>
    <row r="3683" spans="12:12" ht="15" customHeight="1">
      <c r="L3683" s="240"/>
    </row>
    <row r="3684" spans="12:12" ht="15" customHeight="1">
      <c r="L3684" s="240"/>
    </row>
    <row r="3685" spans="12:12" ht="15" customHeight="1">
      <c r="L3685" s="240"/>
    </row>
    <row r="3686" spans="12:12" ht="15" customHeight="1">
      <c r="L3686" s="240"/>
    </row>
    <row r="3687" spans="12:12" ht="15" customHeight="1">
      <c r="L3687" s="240"/>
    </row>
    <row r="3688" spans="12:12" ht="15" customHeight="1">
      <c r="L3688" s="240"/>
    </row>
    <row r="3689" spans="12:12" ht="15" customHeight="1">
      <c r="L3689" s="240"/>
    </row>
    <row r="3690" spans="12:12" ht="15" customHeight="1">
      <c r="L3690" s="240"/>
    </row>
    <row r="3691" spans="12:12" ht="15" customHeight="1">
      <c r="L3691" s="240"/>
    </row>
    <row r="3692" spans="12:12" ht="15" customHeight="1">
      <c r="L3692" s="240"/>
    </row>
    <row r="3693" spans="12:12" ht="15" customHeight="1">
      <c r="L3693" s="240"/>
    </row>
    <row r="3694" spans="12:12" ht="15" customHeight="1">
      <c r="L3694" s="240"/>
    </row>
    <row r="3695" spans="12:12" ht="15" customHeight="1">
      <c r="L3695" s="240"/>
    </row>
    <row r="3696" spans="12:12" ht="15" customHeight="1">
      <c r="L3696" s="240"/>
    </row>
    <row r="3697" spans="12:12" ht="15" customHeight="1">
      <c r="L3697" s="240"/>
    </row>
    <row r="3698" spans="12:12" ht="15" customHeight="1">
      <c r="L3698" s="240"/>
    </row>
    <row r="3699" spans="12:12" ht="15" customHeight="1">
      <c r="L3699" s="240"/>
    </row>
    <row r="3700" spans="12:12" ht="15" customHeight="1">
      <c r="L3700" s="240"/>
    </row>
    <row r="3701" spans="12:12" ht="15" customHeight="1">
      <c r="L3701" s="240"/>
    </row>
    <row r="3702" spans="12:12" ht="15" customHeight="1">
      <c r="L3702" s="240"/>
    </row>
    <row r="3703" spans="12:12" ht="15" customHeight="1">
      <c r="L3703" s="240"/>
    </row>
    <row r="3704" spans="12:12" ht="15" customHeight="1">
      <c r="L3704" s="240"/>
    </row>
    <row r="3705" spans="12:12" ht="15" customHeight="1">
      <c r="L3705" s="240"/>
    </row>
    <row r="3706" spans="12:12" ht="15" customHeight="1">
      <c r="L3706" s="240"/>
    </row>
    <row r="3707" spans="12:12" ht="15" customHeight="1">
      <c r="L3707" s="240"/>
    </row>
    <row r="3708" spans="12:12" ht="15" customHeight="1">
      <c r="L3708" s="240"/>
    </row>
    <row r="3709" spans="12:12" ht="15" customHeight="1">
      <c r="L3709" s="240"/>
    </row>
  </sheetData>
  <mergeCells count="2">
    <mergeCell ref="AJ12:AJ37"/>
    <mergeCell ref="G5:H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Iterate_Convergence">
                <anchor moveWithCells="1" sizeWithCells="1">
                  <from>
                    <xdr:col>28</xdr:col>
                    <xdr:colOff>19050</xdr:colOff>
                    <xdr:row>10</xdr:row>
                    <xdr:rowOff>9525</xdr:rowOff>
                  </from>
                  <to>
                    <xdr:col>28</xdr:col>
                    <xdr:colOff>1047750</xdr:colOff>
                    <xdr:row>10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X235"/>
  <sheetViews>
    <sheetView workbookViewId="0">
      <selection activeCell="H8" sqref="H8"/>
    </sheetView>
  </sheetViews>
  <sheetFormatPr defaultRowHeight="12.75"/>
  <cols>
    <col min="1" max="1" width="9.140625" style="321"/>
    <col min="2" max="2" width="26" style="321" bestFit="1" customWidth="1"/>
    <col min="3" max="3" width="16.28515625" style="321" customWidth="1"/>
    <col min="4" max="4" width="15.140625" style="321" bestFit="1" customWidth="1"/>
    <col min="5" max="5" width="12" style="321" bestFit="1" customWidth="1"/>
    <col min="6" max="13" width="9.140625" style="321"/>
    <col min="14" max="14" width="14.140625" style="321" bestFit="1" customWidth="1"/>
    <col min="15" max="16384" width="9.140625" style="321"/>
  </cols>
  <sheetData>
    <row r="2" spans="2:24" ht="13.5" thickBot="1"/>
    <row r="3" spans="2:24" ht="15" thickBot="1">
      <c r="N3" s="372"/>
      <c r="O3" s="372"/>
      <c r="P3" s="324"/>
      <c r="Q3" s="324"/>
      <c r="R3" s="324"/>
      <c r="S3" s="324"/>
      <c r="T3" s="324"/>
      <c r="U3" s="373"/>
      <c r="V3" s="373"/>
      <c r="W3" s="373"/>
      <c r="X3" s="373"/>
    </row>
    <row r="4" spans="2:24" ht="15" thickBot="1">
      <c r="N4" s="372"/>
      <c r="O4" s="372"/>
      <c r="P4" s="373"/>
      <c r="Q4" s="373"/>
      <c r="R4" s="373"/>
      <c r="S4" s="373"/>
      <c r="T4" s="342"/>
      <c r="U4" s="370"/>
      <c r="V4" s="370"/>
      <c r="W4" s="370"/>
      <c r="X4" s="370"/>
    </row>
    <row r="5" spans="2:24" ht="30.75" thickBot="1">
      <c r="I5" s="372" t="s">
        <v>1065</v>
      </c>
      <c r="J5" s="372" t="str">
        <f>VLOOKUP(D10,N5:O235,2,FALSE)</f>
        <v>O3</v>
      </c>
      <c r="K5" s="372" t="str">
        <f>VLOOKUP(D18,Q5:S234,3,FALSE)</f>
        <v>E14</v>
      </c>
      <c r="L5" s="372" t="str">
        <f>VLOOKUP(D25,V5:X234,3,FALSE)</f>
        <v>C10</v>
      </c>
      <c r="M5" s="372">
        <v>4</v>
      </c>
      <c r="N5" s="83" t="s">
        <v>1050</v>
      </c>
      <c r="O5" s="371"/>
      <c r="P5" s="325" t="s">
        <v>983</v>
      </c>
      <c r="Q5" s="336" t="s">
        <v>984</v>
      </c>
      <c r="R5" s="370"/>
      <c r="S5" s="325" t="s">
        <v>983</v>
      </c>
      <c r="T5" s="342"/>
      <c r="U5" s="336" t="s">
        <v>981</v>
      </c>
      <c r="V5" s="336" t="s">
        <v>982</v>
      </c>
      <c r="W5" s="370"/>
      <c r="X5" s="336" t="s">
        <v>981</v>
      </c>
    </row>
    <row r="6" spans="2:24" ht="15.75" thickBot="1">
      <c r="N6" s="83"/>
      <c r="O6" s="326" t="s">
        <v>980</v>
      </c>
      <c r="P6" s="369"/>
      <c r="Q6" s="370"/>
      <c r="R6" s="370"/>
      <c r="S6" s="369"/>
      <c r="T6" s="342"/>
      <c r="U6" s="346" t="s">
        <v>978</v>
      </c>
      <c r="V6" s="336" t="s">
        <v>979</v>
      </c>
      <c r="W6" s="336">
        <v>442</v>
      </c>
      <c r="X6" s="346" t="s">
        <v>978</v>
      </c>
    </row>
    <row r="7" spans="2:24" ht="15.75" thickBot="1">
      <c r="N7" s="83"/>
      <c r="O7" s="326" t="s">
        <v>977</v>
      </c>
      <c r="P7" s="325" t="s">
        <v>975</v>
      </c>
      <c r="Q7" s="336" t="s">
        <v>976</v>
      </c>
      <c r="R7" s="336">
        <v>560</v>
      </c>
      <c r="S7" s="325" t="s">
        <v>975</v>
      </c>
      <c r="T7" s="342"/>
      <c r="U7" s="345" t="s">
        <v>973</v>
      </c>
      <c r="V7" s="336" t="s">
        <v>974</v>
      </c>
      <c r="W7" s="336">
        <v>476</v>
      </c>
      <c r="X7" s="345" t="s">
        <v>973</v>
      </c>
    </row>
    <row r="8" spans="2:24" ht="45.75" thickBot="1">
      <c r="N8" s="83"/>
      <c r="O8" s="326" t="s">
        <v>972</v>
      </c>
      <c r="P8" s="325" t="s">
        <v>970</v>
      </c>
      <c r="Q8" s="336" t="s">
        <v>971</v>
      </c>
      <c r="R8" s="336">
        <v>524</v>
      </c>
      <c r="S8" s="325" t="s">
        <v>970</v>
      </c>
      <c r="T8" s="342"/>
      <c r="U8" s="346" t="s">
        <v>968</v>
      </c>
      <c r="V8" s="336" t="s">
        <v>969</v>
      </c>
      <c r="W8" s="336">
        <v>340</v>
      </c>
      <c r="X8" s="346" t="s">
        <v>968</v>
      </c>
    </row>
    <row r="9" spans="2:24" ht="15.75" thickBot="1">
      <c r="B9" s="581" t="s">
        <v>967</v>
      </c>
      <c r="C9" s="582"/>
      <c r="D9" s="587" t="str">
        <f>I5 &amp; " "&amp;J5 &amp; " "&amp;K5&amp;" "&amp;L5&amp;" "&amp;M5</f>
        <v>KWI O3 E14 C10 4</v>
      </c>
      <c r="E9" s="588"/>
      <c r="N9" s="83"/>
      <c r="O9" s="326" t="s">
        <v>966</v>
      </c>
      <c r="P9" s="325"/>
      <c r="Q9" s="336"/>
      <c r="R9" s="336"/>
      <c r="S9" s="325"/>
      <c r="T9" s="342"/>
      <c r="U9" s="346"/>
      <c r="V9" s="336"/>
      <c r="W9" s="336"/>
      <c r="X9" s="346"/>
    </row>
    <row r="10" spans="2:24" ht="20.25" customHeight="1" thickBot="1">
      <c r="B10" s="581" t="s">
        <v>965</v>
      </c>
      <c r="C10" s="582"/>
      <c r="D10" s="589" t="str">
        <f>Sheet3!AH14</f>
        <v>KXI91-160-702Y</v>
      </c>
      <c r="E10" s="590"/>
      <c r="N10" s="83"/>
      <c r="O10" s="326" t="s">
        <v>964</v>
      </c>
      <c r="P10" s="329" t="s">
        <v>963</v>
      </c>
      <c r="Q10" s="330"/>
      <c r="R10" s="330"/>
      <c r="S10" s="329" t="s">
        <v>963</v>
      </c>
      <c r="T10" s="342"/>
      <c r="U10" s="345" t="s">
        <v>961</v>
      </c>
      <c r="V10" s="336" t="s">
        <v>962</v>
      </c>
      <c r="W10" s="336">
        <v>324</v>
      </c>
      <c r="X10" s="345" t="s">
        <v>961</v>
      </c>
    </row>
    <row r="11" spans="2:24" ht="17.25" customHeight="1" thickBot="1">
      <c r="B11" s="581" t="s">
        <v>280</v>
      </c>
      <c r="C11" s="582"/>
      <c r="D11" s="368" t="s">
        <v>281</v>
      </c>
      <c r="E11" s="367"/>
      <c r="N11" s="83"/>
      <c r="O11" s="326" t="s">
        <v>960</v>
      </c>
      <c r="P11" s="334" t="s">
        <v>958</v>
      </c>
      <c r="Q11" s="336" t="s">
        <v>959</v>
      </c>
      <c r="R11" s="336">
        <v>734</v>
      </c>
      <c r="S11" s="334" t="s">
        <v>958</v>
      </c>
      <c r="T11" s="342"/>
      <c r="U11" s="346" t="s">
        <v>956</v>
      </c>
      <c r="V11" s="336" t="s">
        <v>957</v>
      </c>
      <c r="W11" s="336">
        <v>270</v>
      </c>
      <c r="X11" s="346" t="s">
        <v>956</v>
      </c>
    </row>
    <row r="12" spans="2:24" ht="18" customHeight="1" thickBot="1">
      <c r="B12" s="581" t="s">
        <v>955</v>
      </c>
      <c r="C12" s="582"/>
      <c r="D12" s="362" t="s">
        <v>284</v>
      </c>
      <c r="E12" s="364">
        <f>Sheet3!AD130</f>
        <v>169.32023925700798</v>
      </c>
      <c r="N12" s="83"/>
      <c r="O12" s="326" t="s">
        <v>954</v>
      </c>
      <c r="P12" s="337" t="s">
        <v>952</v>
      </c>
      <c r="Q12" s="336" t="s">
        <v>953</v>
      </c>
      <c r="R12" s="336">
        <v>484</v>
      </c>
      <c r="S12" s="337" t="s">
        <v>952</v>
      </c>
      <c r="T12" s="342"/>
      <c r="U12" s="345" t="s">
        <v>950</v>
      </c>
      <c r="V12" s="336" t="s">
        <v>951</v>
      </c>
      <c r="W12" s="336">
        <v>274</v>
      </c>
      <c r="X12" s="345" t="s">
        <v>950</v>
      </c>
    </row>
    <row r="13" spans="2:24" ht="17.25" customHeight="1" thickBot="1">
      <c r="B13" s="581" t="s">
        <v>285</v>
      </c>
      <c r="C13" s="582"/>
      <c r="D13" s="362" t="s">
        <v>949</v>
      </c>
      <c r="E13" s="366">
        <f>Sheet3!AF130</f>
        <v>126.90988219885328</v>
      </c>
      <c r="N13" s="83"/>
      <c r="O13" s="326" t="s">
        <v>948</v>
      </c>
      <c r="P13" s="334" t="s">
        <v>946</v>
      </c>
      <c r="Q13" s="336" t="s">
        <v>947</v>
      </c>
      <c r="R13" s="336">
        <v>500</v>
      </c>
      <c r="S13" s="334" t="s">
        <v>946</v>
      </c>
      <c r="T13" s="342"/>
      <c r="U13" s="346" t="s">
        <v>944</v>
      </c>
      <c r="V13" s="336" t="s">
        <v>945</v>
      </c>
      <c r="W13" s="336">
        <v>266</v>
      </c>
      <c r="X13" s="346" t="s">
        <v>944</v>
      </c>
    </row>
    <row r="14" spans="2:24" ht="17.25" customHeight="1" thickBot="1">
      <c r="B14" s="581" t="s">
        <v>943</v>
      </c>
      <c r="C14" s="582"/>
      <c r="D14" s="362" t="s">
        <v>21</v>
      </c>
      <c r="E14" s="364">
        <f>Sheet3!AI130</f>
        <v>12</v>
      </c>
      <c r="N14" s="83"/>
      <c r="O14" s="326" t="s">
        <v>942</v>
      </c>
      <c r="P14" s="337" t="s">
        <v>941</v>
      </c>
      <c r="Q14" s="336" t="s">
        <v>675</v>
      </c>
      <c r="R14" s="335">
        <v>262</v>
      </c>
      <c r="S14" s="337" t="s">
        <v>941</v>
      </c>
      <c r="T14" s="342"/>
      <c r="U14" s="345" t="s">
        <v>939</v>
      </c>
      <c r="V14" s="336" t="s">
        <v>940</v>
      </c>
      <c r="W14" s="336">
        <v>242</v>
      </c>
      <c r="X14" s="345" t="s">
        <v>939</v>
      </c>
    </row>
    <row r="15" spans="2:24" ht="15.75" customHeight="1" thickBot="1">
      <c r="B15" s="581" t="s">
        <v>938</v>
      </c>
      <c r="C15" s="582"/>
      <c r="D15" s="362" t="s">
        <v>21</v>
      </c>
      <c r="E15" s="365">
        <f>Sheet3!AJ130</f>
        <v>7</v>
      </c>
      <c r="N15" s="83"/>
      <c r="O15" s="326" t="s">
        <v>937</v>
      </c>
      <c r="P15" s="334" t="s">
        <v>935</v>
      </c>
      <c r="Q15" s="336" t="s">
        <v>936</v>
      </c>
      <c r="R15" s="336">
        <v>1244</v>
      </c>
      <c r="S15" s="334" t="s">
        <v>935</v>
      </c>
      <c r="T15" s="342"/>
      <c r="U15" s="346" t="s">
        <v>933</v>
      </c>
      <c r="V15" s="336" t="s">
        <v>934</v>
      </c>
      <c r="W15" s="336">
        <v>242</v>
      </c>
      <c r="X15" s="346" t="s">
        <v>933</v>
      </c>
    </row>
    <row r="16" spans="2:24" ht="14.25" customHeight="1" thickBot="1">
      <c r="B16" s="581" t="s">
        <v>162</v>
      </c>
      <c r="C16" s="582"/>
      <c r="D16" s="362" t="s">
        <v>289</v>
      </c>
      <c r="E16" s="362">
        <f>'Input data'!A15</f>
        <v>1701.9699050207403</v>
      </c>
      <c r="N16" s="83"/>
      <c r="O16" s="326" t="s">
        <v>932</v>
      </c>
      <c r="P16" s="337" t="s">
        <v>930</v>
      </c>
      <c r="Q16" s="336" t="s">
        <v>931</v>
      </c>
      <c r="R16" s="336">
        <v>1062</v>
      </c>
      <c r="S16" s="337" t="s">
        <v>930</v>
      </c>
      <c r="T16" s="342"/>
      <c r="U16" s="345" t="s">
        <v>928</v>
      </c>
      <c r="V16" s="336" t="s">
        <v>929</v>
      </c>
      <c r="W16" s="336">
        <v>210</v>
      </c>
      <c r="X16" s="345" t="s">
        <v>928</v>
      </c>
    </row>
    <row r="17" spans="2:24" ht="14.25" customHeight="1" thickBot="1">
      <c r="B17" s="581" t="s">
        <v>290</v>
      </c>
      <c r="C17" s="582"/>
      <c r="D17" s="362" t="s">
        <v>892</v>
      </c>
      <c r="E17" s="362">
        <f>'Input data'!F20</f>
        <v>0</v>
      </c>
      <c r="N17" s="83"/>
      <c r="O17" s="326" t="s">
        <v>927</v>
      </c>
      <c r="P17" s="348" t="s">
        <v>925</v>
      </c>
      <c r="Q17" s="332" t="s">
        <v>926</v>
      </c>
      <c r="R17" s="330"/>
      <c r="S17" s="348" t="s">
        <v>925</v>
      </c>
      <c r="T17" s="342"/>
      <c r="U17" s="346" t="s">
        <v>923</v>
      </c>
      <c r="V17" s="336" t="s">
        <v>924</v>
      </c>
      <c r="W17" s="336">
        <v>199</v>
      </c>
      <c r="X17" s="346" t="s">
        <v>923</v>
      </c>
    </row>
    <row r="18" spans="2:24" ht="15.75" customHeight="1" thickBot="1">
      <c r="B18" s="581" t="s">
        <v>886</v>
      </c>
      <c r="C18" s="582"/>
      <c r="D18" s="362" t="str">
        <f>Sheet3!AG18</f>
        <v>E2212-C</v>
      </c>
      <c r="E18" s="362">
        <f>Sheet3!AH18</f>
        <v>122</v>
      </c>
      <c r="N18" s="83"/>
      <c r="O18" s="326" t="s">
        <v>922</v>
      </c>
      <c r="P18" s="348" t="s">
        <v>920</v>
      </c>
      <c r="Q18" s="332" t="s">
        <v>921</v>
      </c>
      <c r="R18" s="330"/>
      <c r="S18" s="348" t="s">
        <v>920</v>
      </c>
      <c r="T18" s="342"/>
      <c r="U18" s="345" t="s">
        <v>918</v>
      </c>
      <c r="V18" s="336" t="s">
        <v>919</v>
      </c>
      <c r="W18" s="336">
        <v>188</v>
      </c>
      <c r="X18" s="345" t="s">
        <v>918</v>
      </c>
    </row>
    <row r="19" spans="2:24" ht="15.75" thickBot="1">
      <c r="B19" s="581" t="s">
        <v>294</v>
      </c>
      <c r="C19" s="582"/>
      <c r="D19" s="362" t="s">
        <v>295</v>
      </c>
      <c r="E19" s="362">
        <f>'Input data'!F16</f>
        <v>1</v>
      </c>
      <c r="N19" s="83"/>
      <c r="O19" s="326" t="s">
        <v>917</v>
      </c>
      <c r="P19" s="334" t="s">
        <v>915</v>
      </c>
      <c r="Q19" s="336" t="s">
        <v>916</v>
      </c>
      <c r="R19" s="336">
        <v>1124</v>
      </c>
      <c r="S19" s="334" t="s">
        <v>915</v>
      </c>
      <c r="T19" s="342"/>
      <c r="U19" s="346" t="s">
        <v>913</v>
      </c>
      <c r="V19" s="336" t="s">
        <v>914</v>
      </c>
      <c r="W19" s="336">
        <v>121</v>
      </c>
      <c r="X19" s="346" t="s">
        <v>913</v>
      </c>
    </row>
    <row r="20" spans="2:24" ht="15.75" thickBot="1">
      <c r="B20" s="581" t="s">
        <v>912</v>
      </c>
      <c r="C20" s="582"/>
      <c r="D20" s="362" t="s">
        <v>875</v>
      </c>
      <c r="E20" s="362">
        <f>'Input data'!F17</f>
        <v>1.7999999999999999E-2</v>
      </c>
      <c r="N20" s="83"/>
      <c r="O20" s="326" t="s">
        <v>911</v>
      </c>
      <c r="P20" s="337" t="s">
        <v>909</v>
      </c>
      <c r="Q20" s="336" t="s">
        <v>910</v>
      </c>
      <c r="R20" s="336">
        <v>1080</v>
      </c>
      <c r="S20" s="337" t="s">
        <v>909</v>
      </c>
      <c r="T20" s="342"/>
      <c r="U20" s="345" t="s">
        <v>907</v>
      </c>
      <c r="V20" s="336" t="s">
        <v>908</v>
      </c>
      <c r="W20" s="336">
        <v>94</v>
      </c>
      <c r="X20" s="345" t="s">
        <v>907</v>
      </c>
    </row>
    <row r="21" spans="2:24" ht="15.75" thickBot="1">
      <c r="B21" s="581" t="s">
        <v>298</v>
      </c>
      <c r="C21" s="582"/>
      <c r="D21" s="362" t="s">
        <v>21</v>
      </c>
      <c r="E21" s="364">
        <f>Sheet3!AL155</f>
        <v>30</v>
      </c>
      <c r="N21" s="83"/>
      <c r="O21" s="326" t="s">
        <v>906</v>
      </c>
      <c r="P21" s="334" t="s">
        <v>904</v>
      </c>
      <c r="Q21" s="336" t="s">
        <v>905</v>
      </c>
      <c r="R21" s="336">
        <v>1000</v>
      </c>
      <c r="S21" s="334" t="s">
        <v>904</v>
      </c>
      <c r="T21" s="342"/>
      <c r="U21" s="346" t="s">
        <v>902</v>
      </c>
      <c r="V21" s="336" t="s">
        <v>903</v>
      </c>
      <c r="W21" s="336">
        <v>105</v>
      </c>
      <c r="X21" s="346" t="s">
        <v>902</v>
      </c>
    </row>
    <row r="22" spans="2:24" ht="15.75" thickBot="1">
      <c r="B22" s="581" t="s">
        <v>299</v>
      </c>
      <c r="C22" s="582"/>
      <c r="D22" s="362" t="s">
        <v>21</v>
      </c>
      <c r="E22" s="364">
        <f>Sheet3!AK155</f>
        <v>35</v>
      </c>
      <c r="N22" s="83"/>
      <c r="O22" s="326" t="s">
        <v>901</v>
      </c>
      <c r="P22" s="337" t="s">
        <v>899</v>
      </c>
      <c r="Q22" s="336" t="s">
        <v>900</v>
      </c>
      <c r="R22" s="336">
        <v>950</v>
      </c>
      <c r="S22" s="337" t="s">
        <v>899</v>
      </c>
      <c r="T22" s="342"/>
      <c r="U22" s="345" t="s">
        <v>897</v>
      </c>
      <c r="V22" s="336" t="s">
        <v>898</v>
      </c>
      <c r="W22" s="336">
        <v>105</v>
      </c>
      <c r="X22" s="345" t="s">
        <v>897</v>
      </c>
    </row>
    <row r="23" spans="2:24" ht="15.75" thickBot="1">
      <c r="B23" s="581" t="s">
        <v>162</v>
      </c>
      <c r="C23" s="582"/>
      <c r="D23" s="362" t="s">
        <v>289</v>
      </c>
      <c r="E23" s="362">
        <f>'Input data'!L15</f>
        <v>2072.6331333880244</v>
      </c>
      <c r="N23" s="83"/>
      <c r="O23" s="326" t="s">
        <v>896</v>
      </c>
      <c r="P23" s="363"/>
      <c r="Q23" s="336" t="s">
        <v>895</v>
      </c>
      <c r="R23" s="336">
        <v>826</v>
      </c>
      <c r="S23" s="363"/>
      <c r="T23" s="342"/>
      <c r="U23" s="346" t="s">
        <v>893</v>
      </c>
      <c r="V23" s="336" t="s">
        <v>894</v>
      </c>
      <c r="W23" s="336">
        <v>911</v>
      </c>
      <c r="X23" s="346" t="s">
        <v>893</v>
      </c>
    </row>
    <row r="24" spans="2:24" ht="15.75" thickBot="1">
      <c r="B24" s="581" t="s">
        <v>290</v>
      </c>
      <c r="C24" s="582"/>
      <c r="D24" s="362" t="s">
        <v>892</v>
      </c>
      <c r="E24" s="362">
        <f>'Input data'!J20</f>
        <v>0</v>
      </c>
      <c r="N24" s="83"/>
      <c r="O24" s="326" t="s">
        <v>891</v>
      </c>
      <c r="P24" s="334" t="s">
        <v>889</v>
      </c>
      <c r="Q24" s="336" t="s">
        <v>890</v>
      </c>
      <c r="R24" s="336">
        <v>898</v>
      </c>
      <c r="S24" s="334" t="s">
        <v>889</v>
      </c>
      <c r="T24" s="342"/>
      <c r="U24" s="345" t="s">
        <v>887</v>
      </c>
      <c r="V24" s="336" t="s">
        <v>888</v>
      </c>
      <c r="W24" s="336">
        <v>775</v>
      </c>
      <c r="X24" s="345" t="s">
        <v>887</v>
      </c>
    </row>
    <row r="25" spans="2:24" ht="15.75" thickBot="1">
      <c r="B25" s="581" t="s">
        <v>886</v>
      </c>
      <c r="C25" s="582"/>
      <c r="D25" s="362" t="str">
        <f>Sheet3!AG19</f>
        <v>C1812-C</v>
      </c>
      <c r="E25" s="362">
        <f>Sheet3!AH19</f>
        <v>150</v>
      </c>
      <c r="N25" s="83"/>
      <c r="O25" s="326" t="s">
        <v>885</v>
      </c>
      <c r="P25" s="337" t="s">
        <v>883</v>
      </c>
      <c r="Q25" s="336" t="s">
        <v>884</v>
      </c>
      <c r="R25" s="336">
        <v>868</v>
      </c>
      <c r="S25" s="337" t="s">
        <v>883</v>
      </c>
      <c r="T25" s="342"/>
      <c r="U25" s="346" t="s">
        <v>881</v>
      </c>
      <c r="V25" s="336" t="s">
        <v>882</v>
      </c>
      <c r="W25" s="336">
        <v>670</v>
      </c>
      <c r="X25" s="346" t="s">
        <v>881</v>
      </c>
    </row>
    <row r="26" spans="2:24" ht="15.75" thickBot="1">
      <c r="B26" s="581" t="s">
        <v>302</v>
      </c>
      <c r="C26" s="582"/>
      <c r="D26" s="362" t="s">
        <v>295</v>
      </c>
      <c r="E26" s="362">
        <f>'Input data'!J16</f>
        <v>1</v>
      </c>
      <c r="N26" s="83"/>
      <c r="O26" s="326" t="s">
        <v>880</v>
      </c>
      <c r="P26" s="334" t="s">
        <v>878</v>
      </c>
      <c r="Q26" s="336" t="s">
        <v>879</v>
      </c>
      <c r="R26" s="336">
        <v>792</v>
      </c>
      <c r="S26" s="334" t="s">
        <v>878</v>
      </c>
      <c r="T26" s="342"/>
      <c r="U26" s="332" t="s">
        <v>876</v>
      </c>
      <c r="V26" s="332" t="s">
        <v>877</v>
      </c>
      <c r="W26" s="330"/>
      <c r="X26" s="332" t="s">
        <v>876</v>
      </c>
    </row>
    <row r="27" spans="2:24" ht="15.75" thickBot="1">
      <c r="B27" s="581" t="s">
        <v>303</v>
      </c>
      <c r="C27" s="582"/>
      <c r="D27" s="362" t="s">
        <v>875</v>
      </c>
      <c r="E27" s="362">
        <f>'Input data'!J17</f>
        <v>4.3999999999999997E-2</v>
      </c>
      <c r="N27" s="83"/>
      <c r="O27" s="326" t="s">
        <v>874</v>
      </c>
      <c r="P27" s="337" t="s">
        <v>872</v>
      </c>
      <c r="Q27" s="336" t="s">
        <v>873</v>
      </c>
      <c r="R27" s="336">
        <v>750</v>
      </c>
      <c r="S27" s="337" t="s">
        <v>872</v>
      </c>
      <c r="T27" s="342"/>
      <c r="U27" s="346" t="s">
        <v>870</v>
      </c>
      <c r="V27" s="336" t="s">
        <v>871</v>
      </c>
      <c r="W27" s="336">
        <v>592</v>
      </c>
      <c r="X27" s="346" t="s">
        <v>870</v>
      </c>
    </row>
    <row r="28" spans="2:24" ht="15.75" thickBot="1">
      <c r="B28" s="322"/>
      <c r="C28" s="358" t="s">
        <v>869</v>
      </c>
      <c r="D28" s="322"/>
      <c r="E28" s="322"/>
      <c r="N28" s="83"/>
      <c r="O28" s="326" t="s">
        <v>868</v>
      </c>
      <c r="P28" s="334" t="s">
        <v>866</v>
      </c>
      <c r="Q28" s="336" t="s">
        <v>867</v>
      </c>
      <c r="R28" s="336">
        <v>700</v>
      </c>
      <c r="S28" s="334" t="s">
        <v>866</v>
      </c>
      <c r="T28" s="342"/>
      <c r="U28" s="345" t="s">
        <v>864</v>
      </c>
      <c r="V28" s="336" t="s">
        <v>865</v>
      </c>
      <c r="W28" s="336">
        <v>546</v>
      </c>
      <c r="X28" s="345" t="s">
        <v>864</v>
      </c>
    </row>
    <row r="29" spans="2:24" ht="15.75" thickBot="1">
      <c r="B29" s="578" t="s">
        <v>810</v>
      </c>
      <c r="C29" s="579"/>
      <c r="D29" s="579"/>
      <c r="E29" s="580"/>
      <c r="N29" s="83"/>
      <c r="O29" s="326" t="s">
        <v>863</v>
      </c>
      <c r="P29" s="337" t="s">
        <v>861</v>
      </c>
      <c r="Q29" s="336" t="s">
        <v>862</v>
      </c>
      <c r="R29" s="336">
        <v>670</v>
      </c>
      <c r="S29" s="337" t="s">
        <v>861</v>
      </c>
      <c r="T29" s="342"/>
      <c r="U29" s="346" t="s">
        <v>859</v>
      </c>
      <c r="V29" s="336" t="s">
        <v>860</v>
      </c>
      <c r="W29" s="336">
        <v>518</v>
      </c>
      <c r="X29" s="346" t="s">
        <v>859</v>
      </c>
    </row>
    <row r="30" spans="2:24" ht="15.75" thickBot="1">
      <c r="B30" s="356" t="s">
        <v>804</v>
      </c>
      <c r="C30" s="357" t="s">
        <v>803</v>
      </c>
      <c r="D30" s="357" t="s">
        <v>802</v>
      </c>
      <c r="E30" s="356" t="s">
        <v>450</v>
      </c>
      <c r="N30" s="83"/>
      <c r="O30" s="326" t="s">
        <v>858</v>
      </c>
      <c r="P30" s="334" t="s">
        <v>856</v>
      </c>
      <c r="Q30" s="336" t="s">
        <v>857</v>
      </c>
      <c r="R30" s="336">
        <v>640</v>
      </c>
      <c r="S30" s="334" t="s">
        <v>856</v>
      </c>
      <c r="T30" s="342"/>
      <c r="U30" s="345" t="s">
        <v>854</v>
      </c>
      <c r="V30" s="336" t="s">
        <v>855</v>
      </c>
      <c r="W30" s="336">
        <v>490</v>
      </c>
      <c r="X30" s="345" t="s">
        <v>854</v>
      </c>
    </row>
    <row r="31" spans="2:24" ht="15.75" thickBot="1">
      <c r="B31" s="355">
        <v>1</v>
      </c>
      <c r="C31" s="354">
        <f>Sheet3!AD130</f>
        <v>169.32023925700798</v>
      </c>
      <c r="D31" s="353">
        <f>Sheet3!AF130</f>
        <v>126.90988219885328</v>
      </c>
      <c r="E31" s="353">
        <f t="shared" ref="E31:E42" si="0">D31/C31</f>
        <v>0.74952576700661977</v>
      </c>
      <c r="N31" s="83"/>
      <c r="O31" s="326" t="s">
        <v>853</v>
      </c>
      <c r="P31" s="334"/>
      <c r="Q31" s="336"/>
      <c r="R31" s="336"/>
      <c r="S31" s="334"/>
      <c r="T31" s="342"/>
      <c r="U31" s="345"/>
      <c r="V31" s="336"/>
      <c r="W31" s="336"/>
      <c r="X31" s="345"/>
    </row>
    <row r="32" spans="2:24" ht="15.75" thickBot="1">
      <c r="B32" s="355">
        <v>0.9</v>
      </c>
      <c r="C32" s="354">
        <f>Sheet3!AD131</f>
        <v>152.38821533130718</v>
      </c>
      <c r="D32" s="353">
        <f>Sheet3!AF131</f>
        <v>119.5822589502548</v>
      </c>
      <c r="E32" s="353">
        <f t="shared" si="0"/>
        <v>0.78472117210816494</v>
      </c>
      <c r="N32" s="83"/>
      <c r="O32" s="326" t="s">
        <v>852</v>
      </c>
      <c r="P32" s="334"/>
      <c r="Q32" s="336"/>
      <c r="R32" s="336"/>
      <c r="S32" s="334"/>
      <c r="T32" s="342"/>
      <c r="U32" s="345"/>
      <c r="V32" s="336"/>
      <c r="W32" s="336"/>
      <c r="X32" s="345"/>
    </row>
    <row r="33" spans="2:24" ht="15.75" thickBot="1">
      <c r="B33" s="355">
        <v>0.8</v>
      </c>
      <c r="C33" s="354">
        <f>Sheet3!AD132</f>
        <v>135.4561914056064</v>
      </c>
      <c r="D33" s="353">
        <f>Sheet3!AF132</f>
        <v>83.327625999531691</v>
      </c>
      <c r="E33" s="353">
        <f t="shared" si="0"/>
        <v>0.61516291824577929</v>
      </c>
      <c r="N33" s="83"/>
      <c r="O33" s="326" t="s">
        <v>851</v>
      </c>
      <c r="P33" s="334"/>
      <c r="Q33" s="336"/>
      <c r="R33" s="336"/>
      <c r="S33" s="334"/>
      <c r="T33" s="342"/>
      <c r="U33" s="345"/>
      <c r="V33" s="336"/>
      <c r="W33" s="336"/>
      <c r="X33" s="345"/>
    </row>
    <row r="34" spans="2:24" ht="15.75" thickBot="1">
      <c r="B34" s="355">
        <v>0.75</v>
      </c>
      <c r="C34" s="354">
        <f>Sheet3!AD133</f>
        <v>126.99017944275599</v>
      </c>
      <c r="D34" s="353">
        <f>Sheet3!AF133</f>
        <v>96.033371211944583</v>
      </c>
      <c r="E34" s="353">
        <f t="shared" si="0"/>
        <v>0.75622675417380636</v>
      </c>
      <c r="N34" s="83"/>
      <c r="O34" s="326" t="s">
        <v>850</v>
      </c>
      <c r="P34" s="338" t="s">
        <v>848</v>
      </c>
      <c r="Q34" s="340" t="s">
        <v>849</v>
      </c>
      <c r="R34" s="340">
        <v>570</v>
      </c>
      <c r="S34" s="338" t="s">
        <v>848</v>
      </c>
      <c r="T34" s="342"/>
      <c r="U34" s="346" t="s">
        <v>846</v>
      </c>
      <c r="V34" s="336" t="s">
        <v>847</v>
      </c>
      <c r="W34" s="336">
        <v>426</v>
      </c>
      <c r="X34" s="346" t="s">
        <v>846</v>
      </c>
    </row>
    <row r="35" spans="2:24" ht="15.75" thickBot="1">
      <c r="B35" s="355">
        <v>0.7</v>
      </c>
      <c r="C35" s="354">
        <f>Sheet3!AD134</f>
        <v>118.52416747990559</v>
      </c>
      <c r="D35" s="353">
        <f>Sheet3!AF134</f>
        <v>74.064146894576496</v>
      </c>
      <c r="E35" s="353">
        <f t="shared" si="0"/>
        <v>0.62488645539006404</v>
      </c>
      <c r="N35" s="83"/>
      <c r="O35" s="326" t="s">
        <v>845</v>
      </c>
      <c r="P35" s="338"/>
      <c r="Q35" s="340"/>
      <c r="R35" s="340"/>
      <c r="S35" s="338"/>
      <c r="T35" s="342"/>
      <c r="U35" s="346"/>
      <c r="V35" s="336"/>
      <c r="W35" s="336"/>
      <c r="X35" s="346"/>
    </row>
    <row r="36" spans="2:24" ht="15.75" thickBot="1">
      <c r="B36" s="355">
        <v>0.6</v>
      </c>
      <c r="C36" s="354">
        <f>Sheet3!AD135</f>
        <v>101.59214355420478</v>
      </c>
      <c r="D36" s="353">
        <f>Sheet3!AF135</f>
        <v>71.825600146354063</v>
      </c>
      <c r="E36" s="353">
        <f t="shared" si="0"/>
        <v>0.70699955364197342</v>
      </c>
      <c r="N36" s="83"/>
      <c r="O36" s="326" t="s">
        <v>844</v>
      </c>
      <c r="P36" s="338"/>
      <c r="Q36" s="340"/>
      <c r="R36" s="340"/>
      <c r="S36" s="338"/>
      <c r="T36" s="342"/>
      <c r="U36" s="346"/>
      <c r="V36" s="336"/>
      <c r="W36" s="336"/>
      <c r="X36" s="346"/>
    </row>
    <row r="37" spans="2:24" ht="15.75" thickBot="1">
      <c r="B37" s="355">
        <v>0.5</v>
      </c>
      <c r="C37" s="354">
        <f>Sheet3!AD136</f>
        <v>84.660119628503992</v>
      </c>
      <c r="D37" s="353">
        <f>Sheet3!AF136</f>
        <v>55.173322041736206</v>
      </c>
      <c r="E37" s="353">
        <f t="shared" si="0"/>
        <v>0.65170380438678288</v>
      </c>
      <c r="N37" s="83"/>
      <c r="O37" s="326" t="s">
        <v>843</v>
      </c>
      <c r="P37" s="338"/>
      <c r="Q37" s="340"/>
      <c r="R37" s="340"/>
      <c r="S37" s="338"/>
      <c r="T37" s="342"/>
      <c r="U37" s="346"/>
      <c r="V37" s="336"/>
      <c r="W37" s="336"/>
      <c r="X37" s="346"/>
    </row>
    <row r="38" spans="2:24" ht="15.75" thickBot="1">
      <c r="B38" s="355">
        <v>0.4</v>
      </c>
      <c r="C38" s="354">
        <f>Sheet3!AD137</f>
        <v>67.728095702803202</v>
      </c>
      <c r="D38" s="353">
        <f>Sheet3!AF137</f>
        <v>53.48973729015318</v>
      </c>
      <c r="E38" s="353">
        <f t="shared" si="0"/>
        <v>0.78977175919533926</v>
      </c>
      <c r="N38" s="83"/>
      <c r="O38" s="326" t="s">
        <v>842</v>
      </c>
      <c r="P38" s="338"/>
      <c r="Q38" s="340"/>
      <c r="R38" s="340"/>
      <c r="S38" s="338"/>
      <c r="T38" s="342"/>
      <c r="U38" s="346"/>
      <c r="V38" s="336"/>
      <c r="W38" s="336"/>
      <c r="X38" s="346"/>
    </row>
    <row r="39" spans="2:24" ht="15.75" thickBot="1">
      <c r="B39" s="355">
        <v>0.3</v>
      </c>
      <c r="C39" s="354">
        <f>Sheet3!AD138</f>
        <v>50.796071777102391</v>
      </c>
      <c r="D39" s="353">
        <f>Sheet3!AF138</f>
        <v>41.877257529934475</v>
      </c>
      <c r="E39" s="353">
        <f t="shared" si="0"/>
        <v>0.82441921323553413</v>
      </c>
      <c r="N39" s="83"/>
      <c r="O39" s="326" t="s">
        <v>841</v>
      </c>
      <c r="P39" s="338"/>
      <c r="Q39" s="340"/>
      <c r="R39" s="340"/>
      <c r="S39" s="338"/>
      <c r="T39" s="342"/>
      <c r="U39" s="346"/>
      <c r="V39" s="336"/>
      <c r="W39" s="336"/>
      <c r="X39" s="346"/>
    </row>
    <row r="40" spans="2:24" ht="15.75" thickBot="1">
      <c r="B40" s="355">
        <v>0.25</v>
      </c>
      <c r="C40" s="354">
        <f>Sheet3!AD139</f>
        <v>42.330059814251996</v>
      </c>
      <c r="D40" s="353">
        <f>Sheet3!AF139</f>
        <v>42.851372994426107</v>
      </c>
      <c r="E40" s="353">
        <f t="shared" si="0"/>
        <v>1.0123154368895693</v>
      </c>
      <c r="N40" s="83"/>
      <c r="O40" s="326" t="s">
        <v>840</v>
      </c>
      <c r="P40" s="338"/>
      <c r="Q40" s="340"/>
      <c r="R40" s="340"/>
      <c r="S40" s="338"/>
      <c r="T40" s="342"/>
      <c r="U40" s="346"/>
      <c r="V40" s="336"/>
      <c r="W40" s="336"/>
      <c r="X40" s="346"/>
    </row>
    <row r="41" spans="2:24" ht="15.75" thickBot="1">
      <c r="B41" s="355">
        <v>0.2</v>
      </c>
      <c r="C41" s="354">
        <f>Sheet3!AD140</f>
        <v>33.864047851401601</v>
      </c>
      <c r="D41" s="353">
        <f>Sheet3!AF140</f>
        <v>34.27731645773104</v>
      </c>
      <c r="E41" s="353">
        <f t="shared" si="0"/>
        <v>1.0122037568616398</v>
      </c>
      <c r="N41" s="83"/>
      <c r="O41" s="326" t="s">
        <v>839</v>
      </c>
      <c r="P41" s="338"/>
      <c r="Q41" s="340"/>
      <c r="R41" s="340"/>
      <c r="S41" s="338"/>
      <c r="T41" s="342"/>
      <c r="U41" s="346"/>
      <c r="V41" s="336"/>
      <c r="W41" s="336"/>
      <c r="X41" s="346"/>
    </row>
    <row r="42" spans="2:24" ht="15.75" thickBot="1">
      <c r="B42" s="355">
        <v>0.1</v>
      </c>
      <c r="C42" s="354">
        <f>Sheet3!AD141</f>
        <v>20.318428710840958</v>
      </c>
      <c r="D42" s="353">
        <f>Sheet3!AF141</f>
        <v>29.433799921414547</v>
      </c>
      <c r="E42" s="353">
        <f t="shared" si="0"/>
        <v>1.4486257938690925</v>
      </c>
      <c r="N42" s="83"/>
      <c r="O42" s="326" t="s">
        <v>838</v>
      </c>
      <c r="P42" s="348" t="s">
        <v>836</v>
      </c>
      <c r="Q42" s="332" t="s">
        <v>837</v>
      </c>
      <c r="R42" s="330"/>
      <c r="S42" s="348" t="s">
        <v>836</v>
      </c>
      <c r="T42" s="342"/>
      <c r="U42" s="345" t="s">
        <v>834</v>
      </c>
      <c r="V42" s="336" t="s">
        <v>835</v>
      </c>
      <c r="W42" s="336">
        <v>335</v>
      </c>
      <c r="X42" s="345" t="s">
        <v>834</v>
      </c>
    </row>
    <row r="43" spans="2:24" ht="15.75" thickBot="1">
      <c r="B43" s="352" t="s">
        <v>736</v>
      </c>
      <c r="C43" s="361"/>
      <c r="D43" s="360"/>
      <c r="E43" s="349">
        <f>(1/((0.01/E31)+(0.42/E34)+(0.45/E37)+(0.12/E40)))</f>
        <v>0.72581128524075988</v>
      </c>
      <c r="N43" s="83"/>
      <c r="O43" s="326" t="s">
        <v>833</v>
      </c>
      <c r="P43" s="348" t="s">
        <v>831</v>
      </c>
      <c r="Q43" s="332" t="s">
        <v>832</v>
      </c>
      <c r="R43" s="330"/>
      <c r="S43" s="348" t="s">
        <v>831</v>
      </c>
      <c r="T43" s="342"/>
      <c r="U43" s="346" t="s">
        <v>829</v>
      </c>
      <c r="V43" s="336" t="s">
        <v>830</v>
      </c>
      <c r="W43" s="336">
        <v>300</v>
      </c>
      <c r="X43" s="346" t="s">
        <v>829</v>
      </c>
    </row>
    <row r="44" spans="2:24" ht="15.75" thickBot="1">
      <c r="B44" s="322"/>
      <c r="C44" s="583" t="s">
        <v>828</v>
      </c>
      <c r="D44" s="584"/>
      <c r="E44" s="359" t="str">
        <f>'Input data'!J18</f>
        <v>Copper (Cu)</v>
      </c>
      <c r="N44" s="83"/>
      <c r="O44" s="326" t="s">
        <v>827</v>
      </c>
      <c r="P44" s="334" t="s">
        <v>825</v>
      </c>
      <c r="Q44" s="336" t="s">
        <v>826</v>
      </c>
      <c r="R44" s="336">
        <v>594</v>
      </c>
      <c r="S44" s="334" t="s">
        <v>825</v>
      </c>
      <c r="T44" s="342"/>
      <c r="U44" s="345" t="s">
        <v>823</v>
      </c>
      <c r="V44" s="336" t="s">
        <v>824</v>
      </c>
      <c r="W44" s="336">
        <v>270</v>
      </c>
      <c r="X44" s="345" t="s">
        <v>823</v>
      </c>
    </row>
    <row r="45" spans="2:24" ht="15.75" thickBot="1">
      <c r="B45" s="322"/>
      <c r="C45" s="585" t="s">
        <v>822</v>
      </c>
      <c r="D45" s="586"/>
      <c r="E45" s="354" t="str">
        <f>'Input data'!F18</f>
        <v>Copper (Cu)</v>
      </c>
      <c r="N45" s="83"/>
      <c r="O45" s="326" t="s">
        <v>821</v>
      </c>
      <c r="P45" s="337" t="s">
        <v>819</v>
      </c>
      <c r="Q45" s="336" t="s">
        <v>820</v>
      </c>
      <c r="R45" s="336">
        <v>544</v>
      </c>
      <c r="S45" s="337" t="s">
        <v>819</v>
      </c>
      <c r="T45" s="342"/>
      <c r="U45" s="346" t="s">
        <v>817</v>
      </c>
      <c r="V45" s="336" t="s">
        <v>818</v>
      </c>
      <c r="W45" s="336">
        <v>260</v>
      </c>
      <c r="X45" s="346" t="s">
        <v>817</v>
      </c>
    </row>
    <row r="46" spans="2:24" ht="15.75" thickBot="1">
      <c r="B46" s="322"/>
      <c r="C46" s="358" t="s">
        <v>816</v>
      </c>
      <c r="D46" s="322"/>
      <c r="E46" s="322"/>
      <c r="N46" s="83"/>
      <c r="O46" s="326" t="s">
        <v>815</v>
      </c>
      <c r="P46" s="334" t="s">
        <v>813</v>
      </c>
      <c r="Q46" s="336" t="s">
        <v>814</v>
      </c>
      <c r="R46" s="336">
        <v>540</v>
      </c>
      <c r="S46" s="334" t="s">
        <v>813</v>
      </c>
      <c r="T46" s="342"/>
      <c r="U46" s="332" t="s">
        <v>811</v>
      </c>
      <c r="V46" s="332" t="s">
        <v>812</v>
      </c>
      <c r="W46" s="330"/>
      <c r="X46" s="332" t="s">
        <v>811</v>
      </c>
    </row>
    <row r="47" spans="2:24" ht="15.75" thickBot="1">
      <c r="B47" s="578" t="s">
        <v>810</v>
      </c>
      <c r="C47" s="579"/>
      <c r="D47" s="579"/>
      <c r="E47" s="580"/>
      <c r="N47" s="83"/>
      <c r="O47" s="326" t="s">
        <v>809</v>
      </c>
      <c r="P47" s="337" t="s">
        <v>807</v>
      </c>
      <c r="Q47" s="336" t="s">
        <v>808</v>
      </c>
      <c r="R47" s="336">
        <v>520</v>
      </c>
      <c r="S47" s="337" t="s">
        <v>807</v>
      </c>
      <c r="T47" s="342"/>
      <c r="U47" s="332" t="s">
        <v>805</v>
      </c>
      <c r="V47" s="332" t="s">
        <v>806</v>
      </c>
      <c r="W47" s="330"/>
      <c r="X47" s="332" t="s">
        <v>805</v>
      </c>
    </row>
    <row r="48" spans="2:24" ht="15.75" thickBot="1">
      <c r="B48" s="356" t="s">
        <v>804</v>
      </c>
      <c r="C48" s="357" t="s">
        <v>803</v>
      </c>
      <c r="D48" s="357" t="s">
        <v>802</v>
      </c>
      <c r="E48" s="356" t="s">
        <v>450</v>
      </c>
      <c r="N48" s="83"/>
      <c r="O48" s="326" t="s">
        <v>801</v>
      </c>
      <c r="P48" s="334" t="s">
        <v>799</v>
      </c>
      <c r="Q48" s="336" t="s">
        <v>800</v>
      </c>
      <c r="R48" s="336">
        <v>360</v>
      </c>
      <c r="S48" s="334" t="s">
        <v>799</v>
      </c>
      <c r="T48" s="342"/>
      <c r="U48" s="332" t="s">
        <v>797</v>
      </c>
      <c r="V48" s="332" t="s">
        <v>798</v>
      </c>
      <c r="W48" s="330"/>
      <c r="X48" s="332" t="s">
        <v>797</v>
      </c>
    </row>
    <row r="49" spans="2:24" ht="15.75" thickBot="1">
      <c r="B49" s="355">
        <v>1</v>
      </c>
      <c r="C49" s="354">
        <f>Sheet3!AD155</f>
        <v>169.32023925700798</v>
      </c>
      <c r="D49" s="353">
        <f>Sheet3!AF155</f>
        <v>126.90988219885328</v>
      </c>
      <c r="E49" s="353">
        <f t="shared" ref="E49:E60" si="1">D49/C49</f>
        <v>0.74952576700661977</v>
      </c>
      <c r="N49" s="83"/>
      <c r="O49" s="326" t="s">
        <v>796</v>
      </c>
      <c r="P49" s="337" t="s">
        <v>794</v>
      </c>
      <c r="Q49" s="336" t="s">
        <v>795</v>
      </c>
      <c r="R49" s="336">
        <v>430</v>
      </c>
      <c r="S49" s="337" t="s">
        <v>794</v>
      </c>
      <c r="T49" s="342"/>
      <c r="U49" s="347" t="s">
        <v>792</v>
      </c>
      <c r="V49" s="328" t="s">
        <v>793</v>
      </c>
      <c r="W49" s="328">
        <v>260</v>
      </c>
      <c r="X49" s="347" t="s">
        <v>792</v>
      </c>
    </row>
    <row r="50" spans="2:24" ht="15.75" thickBot="1">
      <c r="B50" s="355">
        <v>0.9</v>
      </c>
      <c r="C50" s="354">
        <f>Sheet3!AD156</f>
        <v>152.38821533130718</v>
      </c>
      <c r="D50" s="353">
        <f>Sheet3!AF156</f>
        <v>124.9826610855786</v>
      </c>
      <c r="E50" s="353">
        <f t="shared" si="1"/>
        <v>0.82015962201443093</v>
      </c>
      <c r="N50" s="83"/>
      <c r="O50" s="326" t="s">
        <v>791</v>
      </c>
      <c r="P50" s="348" t="s">
        <v>789</v>
      </c>
      <c r="Q50" s="332" t="s">
        <v>790</v>
      </c>
      <c r="R50" s="330"/>
      <c r="S50" s="348" t="s">
        <v>789</v>
      </c>
      <c r="T50" s="342"/>
      <c r="U50" s="332" t="s">
        <v>787</v>
      </c>
      <c r="V50" s="332" t="s">
        <v>788</v>
      </c>
      <c r="W50" s="330"/>
      <c r="X50" s="332" t="s">
        <v>787</v>
      </c>
    </row>
    <row r="51" spans="2:24" ht="15.75" thickBot="1">
      <c r="B51" s="355">
        <v>0.8</v>
      </c>
      <c r="C51" s="354">
        <f>Sheet3!AD157</f>
        <v>135.4561914056064</v>
      </c>
      <c r="D51" s="353">
        <f>Sheet3!AF157</f>
        <v>95.114669319693803</v>
      </c>
      <c r="E51" s="353">
        <f t="shared" si="1"/>
        <v>0.70218030148865607</v>
      </c>
      <c r="N51" s="83"/>
      <c r="O51" s="326" t="s">
        <v>786</v>
      </c>
      <c r="P51" s="348" t="s">
        <v>784</v>
      </c>
      <c r="Q51" s="332" t="s">
        <v>785</v>
      </c>
      <c r="R51" s="330"/>
      <c r="S51" s="348" t="s">
        <v>784</v>
      </c>
      <c r="T51" s="342"/>
      <c r="U51" s="346" t="s">
        <v>782</v>
      </c>
      <c r="V51" s="336" t="s">
        <v>783</v>
      </c>
      <c r="W51" s="336">
        <v>248</v>
      </c>
      <c r="X51" s="346" t="s">
        <v>782</v>
      </c>
    </row>
    <row r="52" spans="2:24" ht="15.75" thickBot="1">
      <c r="B52" s="355">
        <v>0.75</v>
      </c>
      <c r="C52" s="354">
        <f>Sheet3!AD158</f>
        <v>126.99017944275599</v>
      </c>
      <c r="D52" s="353">
        <f>Sheet3!AF158</f>
        <v>109.28234467151923</v>
      </c>
      <c r="E52" s="353">
        <f t="shared" si="1"/>
        <v>0.86055744744246931</v>
      </c>
      <c r="N52" s="83"/>
      <c r="O52" s="326" t="s">
        <v>781</v>
      </c>
      <c r="P52" s="334" t="s">
        <v>779</v>
      </c>
      <c r="Q52" s="336" t="s">
        <v>780</v>
      </c>
      <c r="R52" s="336">
        <v>336</v>
      </c>
      <c r="S52" s="334" t="s">
        <v>779</v>
      </c>
      <c r="T52" s="342"/>
      <c r="U52" s="345" t="s">
        <v>777</v>
      </c>
      <c r="V52" s="336" t="s">
        <v>778</v>
      </c>
      <c r="W52" s="336">
        <v>212</v>
      </c>
      <c r="X52" s="345" t="s">
        <v>777</v>
      </c>
    </row>
    <row r="53" spans="2:24" ht="15.75" thickBot="1">
      <c r="B53" s="355">
        <v>0.7</v>
      </c>
      <c r="C53" s="354">
        <f>Sheet3!AD159</f>
        <v>118.52416747990559</v>
      </c>
      <c r="D53" s="353">
        <f>Sheet3!AF159</f>
        <v>88.791044493831606</v>
      </c>
      <c r="E53" s="353">
        <f t="shared" si="1"/>
        <v>0.74913873163365696</v>
      </c>
      <c r="N53" s="83"/>
      <c r="O53" s="326" t="s">
        <v>776</v>
      </c>
      <c r="P53" s="337" t="s">
        <v>774</v>
      </c>
      <c r="Q53" s="336" t="s">
        <v>775</v>
      </c>
      <c r="R53" s="336">
        <v>336</v>
      </c>
      <c r="S53" s="337" t="s">
        <v>774</v>
      </c>
      <c r="T53" s="342"/>
      <c r="U53" s="346" t="s">
        <v>772</v>
      </c>
      <c r="V53" s="336" t="s">
        <v>773</v>
      </c>
      <c r="W53" s="336">
        <v>192</v>
      </c>
      <c r="X53" s="346" t="s">
        <v>772</v>
      </c>
    </row>
    <row r="54" spans="2:24" ht="15.75" thickBot="1">
      <c r="B54" s="355">
        <v>0.6</v>
      </c>
      <c r="C54" s="354">
        <f>Sheet3!AD160</f>
        <v>101.59214355420478</v>
      </c>
      <c r="D54" s="353">
        <f>Sheet3!AF160</f>
        <v>89.270748176286972</v>
      </c>
      <c r="E54" s="353">
        <f t="shared" si="1"/>
        <v>0.87871704497165481</v>
      </c>
      <c r="N54" s="83"/>
      <c r="O54" s="326" t="s">
        <v>771</v>
      </c>
      <c r="P54" s="334" t="s">
        <v>769</v>
      </c>
      <c r="Q54" s="336" t="s">
        <v>770</v>
      </c>
      <c r="R54" s="336">
        <v>300</v>
      </c>
      <c r="S54" s="334" t="s">
        <v>769</v>
      </c>
      <c r="T54" s="342"/>
      <c r="U54" s="332" t="s">
        <v>767</v>
      </c>
      <c r="V54" s="332" t="s">
        <v>768</v>
      </c>
      <c r="W54" s="330"/>
      <c r="X54" s="332" t="s">
        <v>767</v>
      </c>
    </row>
    <row r="55" spans="2:24" ht="15.75" thickBot="1">
      <c r="B55" s="355">
        <v>0.5</v>
      </c>
      <c r="C55" s="354">
        <f>Sheet3!AD161</f>
        <v>84.660119628503992</v>
      </c>
      <c r="D55" s="353">
        <f>Sheet3!AF161</f>
        <v>73.07551846815187</v>
      </c>
      <c r="E55" s="353">
        <f t="shared" si="1"/>
        <v>0.86316342085049769</v>
      </c>
      <c r="N55" s="83"/>
      <c r="O55" s="326" t="s">
        <v>766</v>
      </c>
      <c r="P55" s="337" t="s">
        <v>764</v>
      </c>
      <c r="Q55" s="336" t="s">
        <v>765</v>
      </c>
      <c r="R55" s="336">
        <v>300</v>
      </c>
      <c r="S55" s="337" t="s">
        <v>764</v>
      </c>
      <c r="T55" s="342"/>
      <c r="U55" s="347" t="s">
        <v>762</v>
      </c>
      <c r="V55" s="328" t="s">
        <v>763</v>
      </c>
      <c r="W55" s="328">
        <v>212</v>
      </c>
      <c r="X55" s="347" t="s">
        <v>762</v>
      </c>
    </row>
    <row r="56" spans="2:24" ht="15.75" thickBot="1">
      <c r="B56" s="355">
        <v>0.4</v>
      </c>
      <c r="C56" s="354">
        <f>Sheet3!AD162</f>
        <v>67.728095702803202</v>
      </c>
      <c r="D56" s="353">
        <f>Sheet3!AF162</f>
        <v>69.674881664336638</v>
      </c>
      <c r="E56" s="353">
        <f t="shared" si="1"/>
        <v>1.0287441414280434</v>
      </c>
      <c r="N56" s="496" t="s">
        <v>1051</v>
      </c>
      <c r="O56" s="326" t="s">
        <v>761</v>
      </c>
      <c r="P56" s="334" t="s">
        <v>759</v>
      </c>
      <c r="Q56" s="336" t="s">
        <v>760</v>
      </c>
      <c r="R56" s="336">
        <v>268</v>
      </c>
      <c r="S56" s="334" t="s">
        <v>759</v>
      </c>
      <c r="T56" s="342"/>
      <c r="U56" s="345" t="s">
        <v>756</v>
      </c>
      <c r="V56" s="336" t="s">
        <v>758</v>
      </c>
      <c r="W56" s="336" t="s">
        <v>757</v>
      </c>
      <c r="X56" s="345" t="s">
        <v>756</v>
      </c>
    </row>
    <row r="57" spans="2:24" ht="30.75" thickBot="1">
      <c r="B57" s="355">
        <v>0.3</v>
      </c>
      <c r="C57" s="354">
        <f>Sheet3!AD163</f>
        <v>50.796071777102391</v>
      </c>
      <c r="D57" s="353">
        <f>Sheet3!AF163</f>
        <v>54.947392783636396</v>
      </c>
      <c r="E57" s="353">
        <f t="shared" si="1"/>
        <v>1.0817252370370363</v>
      </c>
      <c r="N57" s="497" t="s">
        <v>1052</v>
      </c>
      <c r="O57" s="326" t="s">
        <v>755</v>
      </c>
      <c r="P57" s="337" t="s">
        <v>753</v>
      </c>
      <c r="Q57" s="336" t="s">
        <v>754</v>
      </c>
      <c r="R57" s="336">
        <v>230</v>
      </c>
      <c r="S57" s="337" t="s">
        <v>753</v>
      </c>
      <c r="T57" s="342"/>
      <c r="U57" s="346" t="s">
        <v>751</v>
      </c>
      <c r="V57" s="336" t="s">
        <v>752</v>
      </c>
      <c r="W57" s="336">
        <v>192</v>
      </c>
      <c r="X57" s="346" t="s">
        <v>751</v>
      </c>
    </row>
    <row r="58" spans="2:24" ht="15.75" thickBot="1">
      <c r="B58" s="355">
        <v>0.25</v>
      </c>
      <c r="C58" s="354">
        <f>Sheet3!AD164</f>
        <v>42.330059814251996</v>
      </c>
      <c r="D58" s="353">
        <f>Sheet3!AF164</f>
        <v>56.446704718066883</v>
      </c>
      <c r="E58" s="353">
        <f t="shared" si="1"/>
        <v>1.333489840689098</v>
      </c>
      <c r="N58" s="83"/>
      <c r="O58" s="326" t="s">
        <v>750</v>
      </c>
      <c r="P58" s="334" t="s">
        <v>748</v>
      </c>
      <c r="Q58" s="336" t="s">
        <v>749</v>
      </c>
      <c r="R58" s="336">
        <v>230</v>
      </c>
      <c r="S58" s="334" t="s">
        <v>748</v>
      </c>
      <c r="T58" s="342"/>
      <c r="U58" s="332" t="s">
        <v>746</v>
      </c>
      <c r="V58" s="332" t="s">
        <v>747</v>
      </c>
      <c r="W58" s="330"/>
      <c r="X58" s="332" t="s">
        <v>746</v>
      </c>
    </row>
    <row r="59" spans="2:24" ht="15.75" thickBot="1">
      <c r="B59" s="355">
        <v>0.2</v>
      </c>
      <c r="C59" s="354">
        <f>Sheet3!AD165</f>
        <v>33.864047851401601</v>
      </c>
      <c r="D59" s="353">
        <f>Sheet3!AF165</f>
        <v>44.556985308838414</v>
      </c>
      <c r="E59" s="353">
        <f t="shared" si="1"/>
        <v>1.3157607591495959</v>
      </c>
      <c r="N59" s="83"/>
      <c r="O59" s="326" t="s">
        <v>745</v>
      </c>
      <c r="P59" s="337" t="s">
        <v>743</v>
      </c>
      <c r="Q59" s="336" t="s">
        <v>744</v>
      </c>
      <c r="R59" s="336">
        <v>268</v>
      </c>
      <c r="S59" s="337" t="s">
        <v>743</v>
      </c>
      <c r="T59" s="342"/>
      <c r="U59" s="346" t="s">
        <v>741</v>
      </c>
      <c r="V59" s="336" t="s">
        <v>742</v>
      </c>
      <c r="W59" s="336">
        <v>192</v>
      </c>
      <c r="X59" s="346" t="s">
        <v>741</v>
      </c>
    </row>
    <row r="60" spans="2:24" ht="15.75" thickBot="1">
      <c r="B60" s="355">
        <v>0.1</v>
      </c>
      <c r="C60" s="354">
        <f>Sheet3!AD166</f>
        <v>20.318428710840958</v>
      </c>
      <c r="D60" s="353">
        <f>Sheet3!AF166</f>
        <v>35.47826857863933</v>
      </c>
      <c r="E60" s="353">
        <f t="shared" si="1"/>
        <v>1.7461128064351645</v>
      </c>
      <c r="N60" s="83"/>
      <c r="O60" s="326" t="s">
        <v>740</v>
      </c>
      <c r="P60" s="334" t="s">
        <v>738</v>
      </c>
      <c r="Q60" s="336" t="s">
        <v>739</v>
      </c>
      <c r="R60" s="335">
        <v>708</v>
      </c>
      <c r="S60" s="334" t="s">
        <v>738</v>
      </c>
      <c r="T60" s="342"/>
      <c r="U60" s="345" t="s">
        <v>737</v>
      </c>
      <c r="V60" s="336" t="s">
        <v>116</v>
      </c>
      <c r="W60" s="336">
        <v>171</v>
      </c>
      <c r="X60" s="345" t="s">
        <v>737</v>
      </c>
    </row>
    <row r="61" spans="2:24" ht="15.75" thickBot="1">
      <c r="B61" s="352" t="s">
        <v>736</v>
      </c>
      <c r="C61" s="351"/>
      <c r="D61" s="350"/>
      <c r="E61" s="349">
        <f>(1/((0.01/E49)+(0.42/E52)+(0.45/E55)+(0.12/E58)))</f>
        <v>0.89869458944957614</v>
      </c>
      <c r="N61" s="83"/>
      <c r="O61" s="326" t="s">
        <v>735</v>
      </c>
      <c r="P61" s="337" t="s">
        <v>733</v>
      </c>
      <c r="Q61" s="336" t="s">
        <v>734</v>
      </c>
      <c r="R61" s="335">
        <v>628</v>
      </c>
      <c r="S61" s="337" t="s">
        <v>733</v>
      </c>
      <c r="T61" s="342"/>
      <c r="U61" s="346" t="s">
        <v>332</v>
      </c>
      <c r="V61" s="336" t="s">
        <v>732</v>
      </c>
      <c r="W61" s="336">
        <v>150</v>
      </c>
      <c r="X61" s="346" t="s">
        <v>332</v>
      </c>
    </row>
    <row r="62" spans="2:24" ht="15.75" thickBot="1">
      <c r="N62" s="83"/>
      <c r="O62" s="326" t="s">
        <v>731</v>
      </c>
      <c r="P62" s="334" t="s">
        <v>729</v>
      </c>
      <c r="Q62" s="336" t="s">
        <v>730</v>
      </c>
      <c r="R62" s="335">
        <v>553</v>
      </c>
      <c r="S62" s="334" t="s">
        <v>729</v>
      </c>
      <c r="T62" s="342"/>
      <c r="U62" s="345" t="s">
        <v>727</v>
      </c>
      <c r="V62" s="336" t="s">
        <v>728</v>
      </c>
      <c r="W62" s="336">
        <v>137</v>
      </c>
      <c r="X62" s="345" t="s">
        <v>727</v>
      </c>
    </row>
    <row r="63" spans="2:24" ht="15.75" thickBot="1">
      <c r="N63" s="83"/>
      <c r="O63" s="326" t="s">
        <v>726</v>
      </c>
      <c r="P63" s="348" t="s">
        <v>724</v>
      </c>
      <c r="Q63" s="332" t="s">
        <v>725</v>
      </c>
      <c r="R63" s="330"/>
      <c r="S63" s="348" t="s">
        <v>724</v>
      </c>
      <c r="T63" s="342"/>
      <c r="U63" s="346" t="s">
        <v>722</v>
      </c>
      <c r="V63" s="336" t="s">
        <v>723</v>
      </c>
      <c r="W63" s="336">
        <v>171</v>
      </c>
      <c r="X63" s="346" t="s">
        <v>722</v>
      </c>
    </row>
    <row r="64" spans="2:24" ht="15.75" thickBot="1">
      <c r="N64" s="83"/>
      <c r="O64" s="326" t="s">
        <v>721</v>
      </c>
      <c r="P64" s="334" t="s">
        <v>719</v>
      </c>
      <c r="Q64" s="336" t="s">
        <v>720</v>
      </c>
      <c r="R64" s="335">
        <v>488</v>
      </c>
      <c r="S64" s="334" t="s">
        <v>719</v>
      </c>
      <c r="T64" s="342"/>
      <c r="U64" s="345" t="s">
        <v>717</v>
      </c>
      <c r="V64" s="336" t="s">
        <v>718</v>
      </c>
      <c r="W64" s="336">
        <v>137</v>
      </c>
      <c r="X64" s="345" t="s">
        <v>717</v>
      </c>
    </row>
    <row r="65" spans="14:24" ht="15.75" thickBot="1">
      <c r="N65" s="83"/>
      <c r="O65" s="326" t="s">
        <v>716</v>
      </c>
      <c r="P65" s="337" t="s">
        <v>714</v>
      </c>
      <c r="Q65" s="336" t="s">
        <v>715</v>
      </c>
      <c r="R65" s="335">
        <v>468</v>
      </c>
      <c r="S65" s="337" t="s">
        <v>714</v>
      </c>
      <c r="T65" s="342"/>
      <c r="U65" s="332" t="s">
        <v>712</v>
      </c>
      <c r="V65" s="332" t="s">
        <v>713</v>
      </c>
      <c r="W65" s="330"/>
      <c r="X65" s="332" t="s">
        <v>712</v>
      </c>
    </row>
    <row r="66" spans="14:24" ht="15.75" thickBot="1">
      <c r="N66" s="83"/>
      <c r="O66" s="326" t="s">
        <v>711</v>
      </c>
      <c r="P66" s="334" t="s">
        <v>709</v>
      </c>
      <c r="Q66" s="336" t="s">
        <v>710</v>
      </c>
      <c r="R66" s="335">
        <v>430</v>
      </c>
      <c r="S66" s="334" t="s">
        <v>709</v>
      </c>
      <c r="T66" s="342"/>
      <c r="U66" s="332" t="s">
        <v>707</v>
      </c>
      <c r="V66" s="332" t="s">
        <v>708</v>
      </c>
      <c r="W66" s="330"/>
      <c r="X66" s="332" t="s">
        <v>707</v>
      </c>
    </row>
    <row r="67" spans="14:24" ht="15.75" thickBot="1">
      <c r="N67" s="83"/>
      <c r="O67" s="326" t="s">
        <v>706</v>
      </c>
      <c r="P67" s="337" t="s">
        <v>704</v>
      </c>
      <c r="Q67" s="336" t="s">
        <v>705</v>
      </c>
      <c r="R67" s="335">
        <v>414</v>
      </c>
      <c r="S67" s="337" t="s">
        <v>704</v>
      </c>
      <c r="T67" s="342"/>
      <c r="U67" s="328" t="s">
        <v>702</v>
      </c>
      <c r="V67" s="328" t="s">
        <v>703</v>
      </c>
      <c r="W67" s="328">
        <v>128</v>
      </c>
      <c r="X67" s="328" t="s">
        <v>702</v>
      </c>
    </row>
    <row r="68" spans="14:24" ht="15.75" thickBot="1">
      <c r="N68" s="83"/>
      <c r="O68" s="326" t="s">
        <v>701</v>
      </c>
      <c r="P68" s="343"/>
      <c r="Q68" s="328" t="s">
        <v>700</v>
      </c>
      <c r="R68" s="344">
        <v>390</v>
      </c>
      <c r="S68" s="343"/>
      <c r="T68" s="342"/>
      <c r="U68" s="345" t="s">
        <v>697</v>
      </c>
      <c r="V68" s="336" t="s">
        <v>699</v>
      </c>
      <c r="W68" s="328" t="s">
        <v>698</v>
      </c>
      <c r="X68" s="345" t="s">
        <v>697</v>
      </c>
    </row>
    <row r="69" spans="14:24" ht="15.75" thickBot="1">
      <c r="N69" s="83"/>
      <c r="O69" s="326" t="s">
        <v>696</v>
      </c>
      <c r="P69" s="334" t="s">
        <v>694</v>
      </c>
      <c r="Q69" s="336" t="s">
        <v>695</v>
      </c>
      <c r="R69" s="335">
        <v>390</v>
      </c>
      <c r="S69" s="334" t="s">
        <v>694</v>
      </c>
      <c r="T69" s="342"/>
      <c r="U69" s="328" t="s">
        <v>692</v>
      </c>
      <c r="V69" s="328" t="s">
        <v>693</v>
      </c>
      <c r="W69" s="328">
        <v>120</v>
      </c>
      <c r="X69" s="328" t="s">
        <v>692</v>
      </c>
    </row>
    <row r="70" spans="14:24" ht="15.75" thickBot="1">
      <c r="N70" s="83"/>
      <c r="O70" s="326" t="s">
        <v>691</v>
      </c>
      <c r="P70" s="337" t="s">
        <v>689</v>
      </c>
      <c r="Q70" s="336" t="s">
        <v>690</v>
      </c>
      <c r="R70" s="335">
        <v>350</v>
      </c>
      <c r="S70" s="337" t="s">
        <v>689</v>
      </c>
      <c r="T70" s="342"/>
      <c r="U70" s="347" t="s">
        <v>687</v>
      </c>
      <c r="V70" s="328" t="s">
        <v>688</v>
      </c>
      <c r="W70" s="328">
        <v>98</v>
      </c>
      <c r="X70" s="347" t="s">
        <v>687</v>
      </c>
    </row>
    <row r="71" spans="14:24" ht="15.75" thickBot="1">
      <c r="N71" s="83"/>
      <c r="O71" s="326" t="s">
        <v>686</v>
      </c>
      <c r="P71" s="334" t="s">
        <v>684</v>
      </c>
      <c r="Q71" s="336" t="s">
        <v>685</v>
      </c>
      <c r="R71" s="335">
        <v>330</v>
      </c>
      <c r="S71" s="334" t="s">
        <v>684</v>
      </c>
      <c r="T71" s="342"/>
      <c r="U71" s="346" t="s">
        <v>682</v>
      </c>
      <c r="V71" s="336" t="s">
        <v>683</v>
      </c>
      <c r="W71" s="336">
        <v>94</v>
      </c>
      <c r="X71" s="346" t="s">
        <v>682</v>
      </c>
    </row>
    <row r="72" spans="14:24" ht="15.75" thickBot="1">
      <c r="N72" s="83"/>
      <c r="O72" s="326" t="s">
        <v>681</v>
      </c>
      <c r="P72" s="337" t="s">
        <v>679</v>
      </c>
      <c r="Q72" s="336" t="s">
        <v>680</v>
      </c>
      <c r="R72" s="335">
        <v>300</v>
      </c>
      <c r="S72" s="337" t="s">
        <v>679</v>
      </c>
      <c r="T72" s="342"/>
      <c r="U72" s="345" t="s">
        <v>677</v>
      </c>
      <c r="V72" s="336" t="s">
        <v>678</v>
      </c>
      <c r="W72" s="336">
        <v>113</v>
      </c>
      <c r="X72" s="345" t="s">
        <v>677</v>
      </c>
    </row>
    <row r="73" spans="14:24" ht="15.75" thickBot="1">
      <c r="N73" s="83"/>
      <c r="O73" s="326" t="s">
        <v>676</v>
      </c>
      <c r="P73" s="343"/>
      <c r="Q73" s="328" t="s">
        <v>675</v>
      </c>
      <c r="R73" s="344">
        <v>262</v>
      </c>
      <c r="S73" s="343"/>
      <c r="T73" s="342"/>
      <c r="U73" s="341"/>
      <c r="V73" s="328" t="s">
        <v>674</v>
      </c>
      <c r="W73" s="328">
        <v>1180</v>
      </c>
      <c r="X73" s="341"/>
    </row>
    <row r="74" spans="14:24" ht="15.75" thickBot="1">
      <c r="N74" s="83"/>
      <c r="O74" s="326" t="s">
        <v>673</v>
      </c>
      <c r="P74" s="338" t="s">
        <v>671</v>
      </c>
      <c r="Q74" s="340" t="s">
        <v>672</v>
      </c>
      <c r="R74" s="339">
        <v>278</v>
      </c>
      <c r="S74" s="338" t="s">
        <v>671</v>
      </c>
      <c r="T74" s="342"/>
      <c r="U74" s="341"/>
      <c r="V74" s="328" t="s">
        <v>670</v>
      </c>
      <c r="W74" s="328">
        <v>1039</v>
      </c>
      <c r="X74" s="341"/>
    </row>
    <row r="75" spans="14:24" ht="15.75" thickBot="1">
      <c r="N75" s="83"/>
      <c r="O75" s="326" t="s">
        <v>669</v>
      </c>
      <c r="P75" s="338" t="s">
        <v>667</v>
      </c>
      <c r="Q75" s="340" t="s">
        <v>668</v>
      </c>
      <c r="R75" s="339">
        <v>240</v>
      </c>
      <c r="S75" s="338" t="s">
        <v>667</v>
      </c>
      <c r="T75" s="324"/>
      <c r="U75" s="324"/>
      <c r="V75" s="324"/>
      <c r="W75" s="324"/>
      <c r="X75" s="324"/>
    </row>
    <row r="76" spans="14:24" ht="15.75" thickBot="1">
      <c r="N76" s="83"/>
      <c r="O76" s="326" t="s">
        <v>666</v>
      </c>
      <c r="P76" s="338" t="s">
        <v>664</v>
      </c>
      <c r="Q76" s="340" t="s">
        <v>665</v>
      </c>
      <c r="R76" s="339">
        <v>230</v>
      </c>
      <c r="S76" s="338" t="s">
        <v>664</v>
      </c>
      <c r="T76" s="324"/>
      <c r="U76" s="324"/>
      <c r="V76" s="324"/>
      <c r="W76" s="324"/>
      <c r="X76" s="324"/>
    </row>
    <row r="77" spans="14:24" ht="15.75" thickBot="1">
      <c r="N77" s="83"/>
      <c r="O77" s="326" t="s">
        <v>663</v>
      </c>
      <c r="P77" s="338" t="s">
        <v>661</v>
      </c>
      <c r="Q77" s="340" t="s">
        <v>662</v>
      </c>
      <c r="R77" s="339">
        <v>216</v>
      </c>
      <c r="S77" s="338" t="s">
        <v>661</v>
      </c>
      <c r="T77" s="324"/>
      <c r="U77" s="324"/>
      <c r="V77" s="324"/>
      <c r="W77" s="324"/>
      <c r="X77" s="324"/>
    </row>
    <row r="78" spans="14:24" ht="15.75" thickBot="1">
      <c r="N78" s="83"/>
      <c r="O78" s="326" t="s">
        <v>660</v>
      </c>
      <c r="P78" s="334" t="s">
        <v>658</v>
      </c>
      <c r="Q78" s="336" t="s">
        <v>659</v>
      </c>
      <c r="R78" s="336">
        <v>226</v>
      </c>
      <c r="S78" s="334" t="s">
        <v>658</v>
      </c>
      <c r="T78" s="324"/>
      <c r="U78" s="324"/>
      <c r="V78" s="324"/>
      <c r="W78" s="324"/>
      <c r="X78" s="324"/>
    </row>
    <row r="79" spans="14:24" ht="15.75" thickBot="1">
      <c r="N79" s="83"/>
      <c r="O79" s="326" t="s">
        <v>657</v>
      </c>
      <c r="P79" s="333" t="s">
        <v>655</v>
      </c>
      <c r="Q79" s="328" t="s">
        <v>656</v>
      </c>
      <c r="R79" s="328">
        <v>178</v>
      </c>
      <c r="S79" s="333" t="s">
        <v>655</v>
      </c>
      <c r="T79" s="324"/>
      <c r="U79" s="324"/>
      <c r="V79" s="324"/>
      <c r="W79" s="324"/>
      <c r="X79" s="324"/>
    </row>
    <row r="80" spans="14:24" ht="15.75" thickBot="1">
      <c r="N80" s="83"/>
      <c r="O80" s="326" t="s">
        <v>654</v>
      </c>
      <c r="P80" s="329" t="s">
        <v>652</v>
      </c>
      <c r="Q80" s="332" t="s">
        <v>653</v>
      </c>
      <c r="R80" s="330"/>
      <c r="S80" s="329" t="s">
        <v>652</v>
      </c>
      <c r="T80" s="324"/>
      <c r="U80" s="324"/>
      <c r="V80" s="324"/>
      <c r="W80" s="324"/>
      <c r="X80" s="324"/>
    </row>
    <row r="81" spans="14:24" ht="15.75" thickBot="1">
      <c r="N81" s="83"/>
      <c r="O81" s="326" t="s">
        <v>651</v>
      </c>
      <c r="P81" s="329" t="s">
        <v>649</v>
      </c>
      <c r="Q81" s="332" t="s">
        <v>650</v>
      </c>
      <c r="R81" s="330"/>
      <c r="S81" s="329" t="s">
        <v>649</v>
      </c>
      <c r="T81" s="324"/>
      <c r="U81" s="324"/>
      <c r="V81" s="324"/>
      <c r="W81" s="324"/>
      <c r="X81" s="324"/>
    </row>
    <row r="82" spans="14:24" ht="15.75" thickBot="1">
      <c r="N82" s="83"/>
      <c r="O82" s="326" t="s">
        <v>648</v>
      </c>
      <c r="P82" s="334" t="s">
        <v>646</v>
      </c>
      <c r="Q82" s="336" t="s">
        <v>647</v>
      </c>
      <c r="R82" s="336">
        <v>200</v>
      </c>
      <c r="S82" s="334" t="s">
        <v>646</v>
      </c>
      <c r="T82" s="324"/>
      <c r="U82" s="324"/>
      <c r="V82" s="324"/>
      <c r="W82" s="324"/>
      <c r="X82" s="324"/>
    </row>
    <row r="83" spans="14:24" ht="15.75" thickBot="1">
      <c r="N83" s="83"/>
      <c r="O83" s="326" t="s">
        <v>645</v>
      </c>
      <c r="P83" s="337" t="s">
        <v>643</v>
      </c>
      <c r="Q83" s="336" t="s">
        <v>644</v>
      </c>
      <c r="R83" s="336">
        <v>190</v>
      </c>
      <c r="S83" s="337" t="s">
        <v>643</v>
      </c>
      <c r="T83" s="324"/>
      <c r="U83" s="324"/>
      <c r="V83" s="324"/>
      <c r="W83" s="324"/>
      <c r="X83" s="324"/>
    </row>
    <row r="84" spans="14:24" ht="15.75" thickBot="1">
      <c r="N84" s="83"/>
      <c r="O84" s="326" t="s">
        <v>642</v>
      </c>
      <c r="P84" s="334" t="s">
        <v>640</v>
      </c>
      <c r="Q84" s="336" t="s">
        <v>641</v>
      </c>
      <c r="R84" s="336">
        <v>170</v>
      </c>
      <c r="S84" s="334" t="s">
        <v>640</v>
      </c>
      <c r="T84" s="324"/>
      <c r="U84" s="324"/>
      <c r="V84" s="324"/>
      <c r="W84" s="324"/>
      <c r="X84" s="324"/>
    </row>
    <row r="85" spans="14:24" ht="15.75" thickBot="1">
      <c r="N85" s="83"/>
      <c r="O85" s="326" t="s">
        <v>639</v>
      </c>
      <c r="P85" s="337" t="s">
        <v>637</v>
      </c>
      <c r="Q85" s="336" t="s">
        <v>638</v>
      </c>
      <c r="R85" s="336">
        <v>160</v>
      </c>
      <c r="S85" s="337" t="s">
        <v>637</v>
      </c>
      <c r="T85" s="324"/>
      <c r="U85" s="324"/>
      <c r="V85" s="324"/>
      <c r="W85" s="324"/>
      <c r="X85" s="324"/>
    </row>
    <row r="86" spans="14:24" ht="15.75" thickBot="1">
      <c r="N86" s="83" t="s">
        <v>1053</v>
      </c>
      <c r="O86" s="326" t="s">
        <v>636</v>
      </c>
      <c r="P86" s="334" t="s">
        <v>634</v>
      </c>
      <c r="Q86" s="336" t="s">
        <v>635</v>
      </c>
      <c r="R86" s="336">
        <v>190</v>
      </c>
      <c r="S86" s="334" t="s">
        <v>634</v>
      </c>
      <c r="T86" s="324"/>
      <c r="U86" s="324"/>
      <c r="V86" s="324"/>
      <c r="W86" s="324"/>
      <c r="X86" s="324"/>
    </row>
    <row r="87" spans="14:24" ht="15.75" thickBot="1">
      <c r="N87" s="83"/>
      <c r="O87" s="326" t="s">
        <v>633</v>
      </c>
      <c r="P87" s="337" t="s">
        <v>631</v>
      </c>
      <c r="Q87" s="336" t="s">
        <v>632</v>
      </c>
      <c r="R87" s="336">
        <v>170</v>
      </c>
      <c r="S87" s="337" t="s">
        <v>631</v>
      </c>
      <c r="T87" s="324"/>
      <c r="U87" s="324"/>
      <c r="V87" s="324"/>
      <c r="W87" s="324"/>
      <c r="X87" s="324"/>
    </row>
    <row r="88" spans="14:24" ht="15.75" thickBot="1">
      <c r="N88" s="83" t="s">
        <v>1054</v>
      </c>
      <c r="O88" s="326" t="s">
        <v>630</v>
      </c>
      <c r="P88" s="329" t="s">
        <v>628</v>
      </c>
      <c r="Q88" s="332" t="s">
        <v>629</v>
      </c>
      <c r="R88" s="330"/>
      <c r="S88" s="329" t="s">
        <v>628</v>
      </c>
      <c r="T88" s="324"/>
      <c r="U88" s="324"/>
      <c r="V88" s="324"/>
      <c r="W88" s="324"/>
      <c r="X88" s="324"/>
    </row>
    <row r="89" spans="14:24" ht="15.75" thickBot="1">
      <c r="N89" s="83"/>
      <c r="O89" s="326" t="s">
        <v>627</v>
      </c>
      <c r="P89" s="329" t="s">
        <v>625</v>
      </c>
      <c r="Q89" s="332" t="s">
        <v>626</v>
      </c>
      <c r="R89" s="330"/>
      <c r="S89" s="329" t="s">
        <v>625</v>
      </c>
      <c r="T89" s="324"/>
      <c r="U89" s="324"/>
      <c r="V89" s="324"/>
      <c r="W89" s="324"/>
      <c r="X89" s="324"/>
    </row>
    <row r="90" spans="14:24" ht="15.75" thickBot="1">
      <c r="N90" s="83"/>
      <c r="O90" s="326" t="s">
        <v>624</v>
      </c>
      <c r="P90" s="334" t="s">
        <v>622</v>
      </c>
      <c r="Q90" s="336" t="s">
        <v>623</v>
      </c>
      <c r="R90" s="336">
        <v>156</v>
      </c>
      <c r="S90" s="334" t="s">
        <v>622</v>
      </c>
      <c r="T90" s="324"/>
      <c r="U90" s="324"/>
      <c r="V90" s="324"/>
      <c r="W90" s="324"/>
      <c r="X90" s="324"/>
    </row>
    <row r="91" spans="14:24" ht="15.75" thickBot="1">
      <c r="N91" s="83"/>
      <c r="O91" s="326" t="s">
        <v>621</v>
      </c>
      <c r="P91" s="337" t="s">
        <v>620</v>
      </c>
      <c r="Q91" s="336" t="s">
        <v>115</v>
      </c>
      <c r="R91" s="336">
        <v>138</v>
      </c>
      <c r="S91" s="337" t="s">
        <v>620</v>
      </c>
      <c r="T91" s="324"/>
      <c r="U91" s="324"/>
      <c r="V91" s="324"/>
      <c r="W91" s="324"/>
      <c r="X91" s="324"/>
    </row>
    <row r="92" spans="14:24" ht="15.75" thickBot="1">
      <c r="N92" s="83"/>
      <c r="O92" s="326" t="s">
        <v>619</v>
      </c>
      <c r="P92" s="334" t="s">
        <v>617</v>
      </c>
      <c r="Q92" s="336" t="s">
        <v>618</v>
      </c>
      <c r="R92" s="336">
        <v>122</v>
      </c>
      <c r="S92" s="334" t="s">
        <v>617</v>
      </c>
      <c r="T92" s="324"/>
      <c r="U92" s="324"/>
      <c r="V92" s="324"/>
      <c r="W92" s="324"/>
      <c r="X92" s="324"/>
    </row>
    <row r="93" spans="14:24" ht="15.75" thickBot="1">
      <c r="N93" s="83"/>
      <c r="O93" s="326" t="s">
        <v>616</v>
      </c>
      <c r="P93" s="337" t="s">
        <v>614</v>
      </c>
      <c r="Q93" s="336" t="s">
        <v>615</v>
      </c>
      <c r="R93" s="336">
        <v>102</v>
      </c>
      <c r="S93" s="337" t="s">
        <v>614</v>
      </c>
      <c r="T93" s="324"/>
      <c r="U93" s="324"/>
      <c r="V93" s="324"/>
      <c r="W93" s="324"/>
      <c r="X93" s="324"/>
    </row>
    <row r="94" spans="14:24" ht="15.75" thickBot="1">
      <c r="N94" s="83"/>
      <c r="O94" s="326" t="s">
        <v>613</v>
      </c>
      <c r="P94" s="334" t="s">
        <v>611</v>
      </c>
      <c r="Q94" s="336" t="s">
        <v>612</v>
      </c>
      <c r="R94" s="335">
        <v>156</v>
      </c>
      <c r="S94" s="334" t="s">
        <v>611</v>
      </c>
      <c r="T94" s="324"/>
      <c r="U94" s="324"/>
      <c r="V94" s="324"/>
      <c r="W94" s="324"/>
      <c r="X94" s="324"/>
    </row>
    <row r="95" spans="14:24" ht="15.75" thickBot="1">
      <c r="N95" s="83"/>
      <c r="O95" s="326" t="s">
        <v>610</v>
      </c>
      <c r="P95" s="333" t="s">
        <v>608</v>
      </c>
      <c r="Q95" s="328" t="s">
        <v>609</v>
      </c>
      <c r="R95" s="328">
        <v>138</v>
      </c>
      <c r="S95" s="333" t="s">
        <v>608</v>
      </c>
      <c r="T95" s="324"/>
      <c r="U95" s="324"/>
      <c r="V95" s="324"/>
      <c r="W95" s="324"/>
      <c r="X95" s="324"/>
    </row>
    <row r="96" spans="14:24" ht="15.75" thickBot="1">
      <c r="N96" s="255" t="s">
        <v>1001</v>
      </c>
      <c r="O96" s="326" t="s">
        <v>607</v>
      </c>
      <c r="P96" s="334" t="s">
        <v>605</v>
      </c>
      <c r="Q96" s="336" t="s">
        <v>606</v>
      </c>
      <c r="R96" s="335">
        <v>122</v>
      </c>
      <c r="S96" s="334" t="s">
        <v>605</v>
      </c>
      <c r="T96" s="324"/>
      <c r="U96" s="324"/>
      <c r="V96" s="324"/>
      <c r="W96" s="324"/>
      <c r="X96" s="324"/>
    </row>
    <row r="97" spans="9:24" ht="15.75" thickBot="1">
      <c r="N97" s="83"/>
      <c r="O97" s="326" t="s">
        <v>604</v>
      </c>
      <c r="P97" s="329" t="s">
        <v>602</v>
      </c>
      <c r="Q97" s="332" t="s">
        <v>603</v>
      </c>
      <c r="R97" s="330"/>
      <c r="S97" s="329" t="s">
        <v>602</v>
      </c>
      <c r="T97" s="324"/>
      <c r="U97" s="324"/>
      <c r="V97" s="324"/>
      <c r="W97" s="324"/>
      <c r="X97" s="324"/>
    </row>
    <row r="98" spans="9:24" ht="15.75" thickBot="1">
      <c r="N98" s="83" t="s">
        <v>1055</v>
      </c>
      <c r="O98" s="326" t="s">
        <v>601</v>
      </c>
      <c r="P98" s="333" t="s">
        <v>599</v>
      </c>
      <c r="Q98" s="328" t="s">
        <v>600</v>
      </c>
      <c r="R98" s="328">
        <v>116</v>
      </c>
      <c r="S98" s="333" t="s">
        <v>599</v>
      </c>
      <c r="T98" s="324"/>
      <c r="U98" s="324"/>
      <c r="V98" s="324"/>
      <c r="W98" s="324"/>
      <c r="X98" s="324"/>
    </row>
    <row r="99" spans="9:24" ht="15.75" thickBot="1">
      <c r="N99" s="83"/>
      <c r="O99" s="326" t="s">
        <v>598</v>
      </c>
      <c r="P99" s="333" t="s">
        <v>596</v>
      </c>
      <c r="Q99" s="328" t="s">
        <v>597</v>
      </c>
      <c r="R99" s="328">
        <v>102</v>
      </c>
      <c r="S99" s="333" t="s">
        <v>596</v>
      </c>
      <c r="T99" s="324"/>
      <c r="U99" s="324"/>
      <c r="V99" s="324"/>
      <c r="W99" s="324"/>
      <c r="X99" s="324"/>
    </row>
    <row r="100" spans="9:24" ht="15.75" thickBot="1">
      <c r="N100" s="498" t="s">
        <v>1056</v>
      </c>
      <c r="O100" s="326" t="s">
        <v>595</v>
      </c>
      <c r="P100" s="333" t="s">
        <v>593</v>
      </c>
      <c r="Q100" s="328" t="s">
        <v>594</v>
      </c>
      <c r="R100" s="328">
        <v>90</v>
      </c>
      <c r="S100" s="333" t="s">
        <v>593</v>
      </c>
      <c r="T100" s="324"/>
      <c r="U100" s="324"/>
      <c r="V100" s="324"/>
      <c r="W100" s="324"/>
      <c r="X100" s="324"/>
    </row>
    <row r="101" spans="9:24" ht="15.75" thickBot="1">
      <c r="N101" s="83"/>
      <c r="O101" s="326" t="s">
        <v>592</v>
      </c>
      <c r="P101" s="329" t="s">
        <v>590</v>
      </c>
      <c r="Q101" s="332" t="s">
        <v>591</v>
      </c>
      <c r="R101" s="330"/>
      <c r="S101" s="329" t="s">
        <v>590</v>
      </c>
      <c r="T101" s="324"/>
      <c r="U101" s="324"/>
      <c r="V101" s="324"/>
      <c r="W101" s="324"/>
      <c r="X101" s="324"/>
    </row>
    <row r="102" spans="9:24" ht="15.75" thickBot="1">
      <c r="I102" s="255" t="s">
        <v>995</v>
      </c>
      <c r="N102" s="83"/>
      <c r="O102" s="326" t="s">
        <v>589</v>
      </c>
      <c r="P102" s="333" t="s">
        <v>587</v>
      </c>
      <c r="Q102" s="328" t="s">
        <v>588</v>
      </c>
      <c r="R102" s="328">
        <v>86</v>
      </c>
      <c r="S102" s="333" t="s">
        <v>587</v>
      </c>
      <c r="T102" s="324"/>
      <c r="U102" s="324"/>
      <c r="V102" s="324"/>
      <c r="W102" s="324"/>
      <c r="X102" s="324"/>
    </row>
    <row r="103" spans="9:24" ht="15.75" thickBot="1">
      <c r="I103" s="255" t="s">
        <v>368</v>
      </c>
      <c r="N103" s="83"/>
      <c r="O103" s="326" t="s">
        <v>586</v>
      </c>
      <c r="P103" s="333" t="s">
        <v>584</v>
      </c>
      <c r="Q103" s="328" t="s">
        <v>585</v>
      </c>
      <c r="R103" s="328">
        <v>76</v>
      </c>
      <c r="S103" s="333" t="s">
        <v>584</v>
      </c>
      <c r="T103" s="324"/>
      <c r="U103" s="324"/>
      <c r="V103" s="324"/>
      <c r="W103" s="324"/>
      <c r="X103" s="324"/>
    </row>
    <row r="104" spans="9:24" ht="15.75" thickBot="1">
      <c r="I104" s="255" t="s">
        <v>996</v>
      </c>
      <c r="N104" s="83"/>
      <c r="O104" s="326" t="s">
        <v>583</v>
      </c>
      <c r="P104" s="329" t="s">
        <v>581</v>
      </c>
      <c r="Q104" s="332" t="s">
        <v>582</v>
      </c>
      <c r="R104" s="330"/>
      <c r="S104" s="329" t="s">
        <v>581</v>
      </c>
      <c r="T104" s="324"/>
      <c r="U104" s="324"/>
      <c r="V104" s="324"/>
      <c r="W104" s="324"/>
      <c r="X104" s="324"/>
    </row>
    <row r="105" spans="9:24" ht="15.75" thickBot="1">
      <c r="I105" s="255" t="s">
        <v>997</v>
      </c>
      <c r="N105" s="83"/>
      <c r="O105" s="326" t="s">
        <v>580</v>
      </c>
      <c r="P105" s="329" t="s">
        <v>578</v>
      </c>
      <c r="Q105" s="331" t="s">
        <v>579</v>
      </c>
      <c r="R105" s="330"/>
      <c r="S105" s="329" t="s">
        <v>578</v>
      </c>
      <c r="T105" s="324"/>
      <c r="U105" s="324"/>
      <c r="V105" s="324"/>
      <c r="W105" s="324"/>
      <c r="X105" s="324"/>
    </row>
    <row r="106" spans="9:24" ht="15.75" thickBot="1">
      <c r="I106" s="255" t="s">
        <v>998</v>
      </c>
      <c r="N106" s="255" t="s">
        <v>1002</v>
      </c>
      <c r="O106" s="326" t="s">
        <v>577</v>
      </c>
      <c r="P106" s="327"/>
      <c r="Q106" s="328" t="s">
        <v>576</v>
      </c>
      <c r="R106" s="328">
        <v>945</v>
      </c>
      <c r="S106" s="327"/>
      <c r="T106" s="324"/>
      <c r="U106" s="324"/>
      <c r="V106" s="324"/>
      <c r="W106" s="324"/>
      <c r="X106" s="324"/>
    </row>
    <row r="107" spans="9:24" ht="15.75" thickBot="1">
      <c r="I107" s="255" t="s">
        <v>999</v>
      </c>
      <c r="N107" s="83"/>
      <c r="O107" s="326" t="s">
        <v>575</v>
      </c>
      <c r="P107" s="327"/>
      <c r="Q107" s="328" t="s">
        <v>574</v>
      </c>
      <c r="R107" s="328">
        <v>859</v>
      </c>
      <c r="S107" s="327"/>
      <c r="T107" s="324"/>
      <c r="U107" s="324"/>
      <c r="V107" s="324"/>
      <c r="W107" s="324"/>
      <c r="X107" s="324"/>
    </row>
    <row r="108" spans="9:24" ht="15.75" thickBot="1">
      <c r="I108" s="255" t="s">
        <v>1000</v>
      </c>
      <c r="N108" s="83" t="s">
        <v>1057</v>
      </c>
      <c r="O108" s="326" t="s">
        <v>573</v>
      </c>
      <c r="P108" s="327"/>
      <c r="Q108" s="328" t="s">
        <v>572</v>
      </c>
      <c r="R108" s="328">
        <v>781</v>
      </c>
      <c r="S108" s="327"/>
      <c r="T108" s="324"/>
      <c r="U108" s="324"/>
      <c r="V108" s="324"/>
      <c r="W108" s="324"/>
      <c r="X108" s="324"/>
    </row>
    <row r="109" spans="9:24" ht="15.75" thickBot="1">
      <c r="N109" s="83"/>
      <c r="O109" s="326" t="s">
        <v>571</v>
      </c>
      <c r="P109" s="324"/>
      <c r="Q109" s="324"/>
      <c r="R109" s="324"/>
      <c r="S109" s="324"/>
      <c r="T109" s="324"/>
      <c r="U109" s="324"/>
      <c r="V109" s="324"/>
      <c r="W109" s="324"/>
      <c r="X109" s="324"/>
    </row>
    <row r="110" spans="9:24" ht="15.75" thickBot="1">
      <c r="N110" s="83"/>
      <c r="O110" s="326" t="s">
        <v>570</v>
      </c>
      <c r="P110" s="324"/>
      <c r="Q110" s="324"/>
      <c r="R110" s="324"/>
      <c r="S110" s="324"/>
      <c r="T110" s="324"/>
      <c r="U110" s="324"/>
      <c r="V110" s="324"/>
      <c r="W110" s="324"/>
      <c r="X110" s="324"/>
    </row>
    <row r="111" spans="9:24" ht="15.75" thickBot="1">
      <c r="N111" s="83"/>
      <c r="O111" s="326" t="s">
        <v>569</v>
      </c>
      <c r="P111" s="324"/>
      <c r="Q111" s="324"/>
      <c r="R111" s="324"/>
      <c r="S111" s="324"/>
      <c r="T111" s="324"/>
      <c r="U111" s="324"/>
      <c r="V111" s="324"/>
      <c r="W111" s="324"/>
      <c r="X111" s="324"/>
    </row>
    <row r="112" spans="9:24" ht="15.75" thickBot="1">
      <c r="I112" s="255" t="s">
        <v>1004</v>
      </c>
      <c r="N112" s="83"/>
      <c r="O112" s="326" t="s">
        <v>568</v>
      </c>
      <c r="P112" s="324"/>
      <c r="Q112" s="324"/>
      <c r="R112" s="324"/>
      <c r="S112" s="324"/>
      <c r="T112" s="324"/>
      <c r="U112" s="324"/>
      <c r="V112" s="324"/>
      <c r="W112" s="324"/>
      <c r="X112" s="324"/>
    </row>
    <row r="113" spans="9:24" ht="15.75" thickBot="1">
      <c r="I113" s="255" t="s">
        <v>1005</v>
      </c>
      <c r="N113" s="83"/>
      <c r="O113" s="326" t="s">
        <v>567</v>
      </c>
      <c r="P113" s="324"/>
      <c r="Q113" s="324"/>
      <c r="R113" s="324"/>
      <c r="S113" s="324"/>
      <c r="T113" s="324"/>
      <c r="U113" s="324"/>
      <c r="V113" s="324"/>
      <c r="W113" s="324"/>
      <c r="X113" s="324"/>
    </row>
    <row r="114" spans="9:24" ht="15.75" thickBot="1">
      <c r="N114" s="83"/>
      <c r="O114" s="326" t="s">
        <v>566</v>
      </c>
      <c r="P114" s="324"/>
      <c r="Q114" s="324"/>
      <c r="R114" s="324"/>
      <c r="S114" s="324"/>
      <c r="T114" s="324"/>
      <c r="U114" s="324"/>
      <c r="V114" s="324"/>
      <c r="W114" s="324"/>
      <c r="X114" s="324"/>
    </row>
    <row r="115" spans="9:24" ht="15.75" thickBot="1">
      <c r="I115" s="255" t="s">
        <v>1007</v>
      </c>
      <c r="N115" s="83"/>
      <c r="O115" s="326" t="s">
        <v>565</v>
      </c>
      <c r="P115" s="324"/>
      <c r="Q115" s="324"/>
      <c r="R115" s="324"/>
      <c r="S115" s="324"/>
      <c r="T115" s="324"/>
      <c r="U115" s="324"/>
      <c r="V115" s="324"/>
      <c r="W115" s="324"/>
      <c r="X115" s="324"/>
    </row>
    <row r="116" spans="9:24" ht="15.75" thickBot="1">
      <c r="I116" s="255" t="s">
        <v>1008</v>
      </c>
      <c r="N116" s="83"/>
      <c r="O116" s="326" t="s">
        <v>564</v>
      </c>
      <c r="P116" s="324"/>
      <c r="Q116" s="324"/>
      <c r="R116" s="324"/>
      <c r="S116" s="324"/>
      <c r="T116" s="324"/>
      <c r="U116" s="324"/>
      <c r="V116" s="324"/>
      <c r="W116" s="324"/>
      <c r="X116" s="324"/>
    </row>
    <row r="117" spans="9:24" ht="15.75" thickBot="1">
      <c r="N117" s="83"/>
      <c r="O117" s="326" t="s">
        <v>563</v>
      </c>
      <c r="P117" s="324"/>
      <c r="Q117" s="324"/>
      <c r="R117" s="324"/>
      <c r="S117" s="324"/>
      <c r="T117" s="324"/>
      <c r="U117" s="324"/>
      <c r="V117" s="324"/>
      <c r="W117" s="324"/>
      <c r="X117" s="324"/>
    </row>
    <row r="118" spans="9:24" ht="15.75" thickBot="1">
      <c r="N118" s="255" t="s">
        <v>1003</v>
      </c>
      <c r="O118" s="326" t="s">
        <v>562</v>
      </c>
      <c r="P118" s="324"/>
      <c r="Q118" s="324"/>
      <c r="R118" s="324"/>
      <c r="S118" s="324"/>
      <c r="T118" s="324"/>
      <c r="U118" s="324"/>
      <c r="V118" s="324"/>
      <c r="W118" s="324"/>
      <c r="X118" s="324"/>
    </row>
    <row r="119" spans="9:24" ht="15.75" thickBot="1">
      <c r="N119" s="83"/>
      <c r="O119" s="326" t="s">
        <v>561</v>
      </c>
      <c r="P119" s="324"/>
      <c r="Q119" s="324"/>
      <c r="R119" s="324"/>
      <c r="S119" s="324"/>
      <c r="T119" s="324"/>
      <c r="U119" s="324"/>
      <c r="V119" s="324"/>
      <c r="W119" s="324"/>
      <c r="X119" s="324"/>
    </row>
    <row r="120" spans="9:24" ht="15.75" thickBot="1">
      <c r="N120" s="83"/>
      <c r="O120" s="326" t="s">
        <v>560</v>
      </c>
      <c r="P120" s="324"/>
      <c r="Q120" s="324"/>
      <c r="R120" s="324"/>
      <c r="S120" s="324"/>
      <c r="T120" s="324"/>
      <c r="U120" s="324"/>
      <c r="V120" s="324"/>
      <c r="W120" s="324"/>
      <c r="X120" s="324"/>
    </row>
    <row r="121" spans="9:24" ht="15.75" thickBot="1">
      <c r="N121" s="83"/>
      <c r="O121" s="326" t="s">
        <v>559</v>
      </c>
      <c r="P121" s="324"/>
      <c r="Q121" s="324"/>
      <c r="R121" s="324"/>
      <c r="S121" s="324"/>
      <c r="T121" s="324"/>
      <c r="U121" s="324"/>
      <c r="V121" s="324"/>
      <c r="W121" s="324"/>
      <c r="X121" s="324"/>
    </row>
    <row r="122" spans="9:24" ht="15.75" thickBot="1">
      <c r="N122" s="83"/>
      <c r="O122" s="326" t="s">
        <v>558</v>
      </c>
      <c r="P122" s="324"/>
      <c r="Q122" s="324"/>
      <c r="R122" s="324"/>
      <c r="S122" s="324"/>
      <c r="T122" s="324"/>
      <c r="U122" s="324"/>
      <c r="V122" s="324"/>
      <c r="W122" s="324"/>
      <c r="X122" s="324"/>
    </row>
    <row r="123" spans="9:24" ht="15.75" thickBot="1">
      <c r="N123" s="83"/>
      <c r="O123" s="326" t="s">
        <v>557</v>
      </c>
      <c r="P123" s="324"/>
      <c r="Q123" s="324"/>
      <c r="R123" s="324"/>
      <c r="S123" s="324"/>
      <c r="T123" s="324"/>
      <c r="U123" s="324"/>
      <c r="V123" s="324"/>
      <c r="W123" s="324"/>
      <c r="X123" s="324"/>
    </row>
    <row r="124" spans="9:24" ht="15.75" thickBot="1">
      <c r="N124" s="83"/>
      <c r="O124" s="326" t="s">
        <v>556</v>
      </c>
      <c r="P124" s="324"/>
      <c r="Q124" s="324"/>
      <c r="R124" s="324"/>
      <c r="S124" s="324"/>
      <c r="T124" s="324"/>
      <c r="U124" s="324"/>
      <c r="V124" s="324"/>
      <c r="W124" s="324"/>
      <c r="X124" s="324"/>
    </row>
    <row r="125" spans="9:24" ht="15.75" thickBot="1">
      <c r="N125" s="83"/>
      <c r="O125" s="326" t="s">
        <v>555</v>
      </c>
      <c r="P125" s="324"/>
      <c r="Q125" s="324"/>
      <c r="R125" s="324"/>
      <c r="S125" s="324"/>
      <c r="T125" s="324"/>
      <c r="U125" s="324"/>
      <c r="V125" s="324"/>
      <c r="W125" s="324"/>
      <c r="X125" s="324"/>
    </row>
    <row r="126" spans="9:24" ht="15.75" thickBot="1">
      <c r="N126" s="83"/>
      <c r="O126" s="326" t="s">
        <v>554</v>
      </c>
      <c r="P126" s="324"/>
      <c r="Q126" s="324"/>
      <c r="R126" s="324"/>
      <c r="S126" s="324"/>
      <c r="T126" s="324"/>
      <c r="U126" s="324"/>
      <c r="V126" s="324"/>
      <c r="W126" s="324"/>
      <c r="X126" s="324"/>
    </row>
    <row r="127" spans="9:24" ht="15.75" thickBot="1">
      <c r="N127" s="83"/>
      <c r="O127" s="326" t="s">
        <v>553</v>
      </c>
      <c r="P127" s="324"/>
      <c r="Q127" s="324"/>
      <c r="R127" s="324"/>
      <c r="S127" s="324"/>
      <c r="T127" s="324"/>
      <c r="U127" s="324"/>
      <c r="V127" s="324"/>
      <c r="W127" s="324"/>
      <c r="X127" s="324"/>
    </row>
    <row r="128" spans="9:24" ht="15.75" thickBot="1">
      <c r="N128" s="83" t="s">
        <v>1058</v>
      </c>
      <c r="O128" s="326" t="s">
        <v>552</v>
      </c>
      <c r="P128" s="324"/>
      <c r="Q128" s="324"/>
      <c r="R128" s="324"/>
      <c r="S128" s="324"/>
      <c r="T128" s="324"/>
      <c r="U128" s="324"/>
      <c r="V128" s="324"/>
      <c r="W128" s="324"/>
      <c r="X128" s="324"/>
    </row>
    <row r="129" spans="14:24" ht="15.75" thickBot="1">
      <c r="N129" s="83"/>
      <c r="O129" s="326" t="s">
        <v>551</v>
      </c>
      <c r="P129" s="324"/>
      <c r="Q129" s="324"/>
      <c r="R129" s="324"/>
      <c r="S129" s="324"/>
      <c r="T129" s="324"/>
      <c r="U129" s="324"/>
      <c r="V129" s="324"/>
      <c r="W129" s="324"/>
      <c r="X129" s="324"/>
    </row>
    <row r="130" spans="14:24" ht="15.75" thickBot="1">
      <c r="N130" s="83"/>
      <c r="O130" s="326" t="s">
        <v>550</v>
      </c>
      <c r="P130" s="324"/>
      <c r="Q130" s="324"/>
      <c r="R130" s="324"/>
      <c r="S130" s="324"/>
      <c r="T130" s="324"/>
      <c r="U130" s="324"/>
      <c r="V130" s="324"/>
      <c r="W130" s="324"/>
      <c r="X130" s="324"/>
    </row>
    <row r="131" spans="14:24" ht="15.75" thickBot="1">
      <c r="N131" s="83"/>
      <c r="O131" s="326" t="s">
        <v>549</v>
      </c>
      <c r="P131" s="324"/>
      <c r="Q131" s="324"/>
      <c r="R131" s="324"/>
      <c r="S131" s="324"/>
      <c r="T131" s="324"/>
      <c r="U131" s="324"/>
      <c r="V131" s="324"/>
      <c r="W131" s="324"/>
      <c r="X131" s="324"/>
    </row>
    <row r="132" spans="14:24" ht="15.75" thickBot="1">
      <c r="N132" s="83"/>
      <c r="O132" s="326" t="s">
        <v>548</v>
      </c>
      <c r="P132" s="324"/>
      <c r="Q132" s="324"/>
      <c r="R132" s="324"/>
      <c r="S132" s="324"/>
      <c r="T132" s="324"/>
      <c r="U132" s="324"/>
      <c r="V132" s="324"/>
      <c r="W132" s="324"/>
      <c r="X132" s="324"/>
    </row>
    <row r="133" spans="14:24" ht="15.75" thickBot="1">
      <c r="N133" s="83"/>
      <c r="O133" s="326" t="s">
        <v>547</v>
      </c>
      <c r="P133" s="324"/>
      <c r="Q133" s="324"/>
      <c r="R133" s="324"/>
      <c r="S133" s="324"/>
      <c r="T133" s="324"/>
      <c r="U133" s="324"/>
      <c r="V133" s="324"/>
      <c r="W133" s="324"/>
      <c r="X133" s="324"/>
    </row>
    <row r="134" spans="14:24" ht="15.75" thickBot="1">
      <c r="N134" s="83"/>
      <c r="O134" s="326" t="s">
        <v>546</v>
      </c>
      <c r="P134" s="324"/>
      <c r="Q134" s="324"/>
      <c r="R134" s="324"/>
      <c r="S134" s="324"/>
      <c r="T134" s="324"/>
      <c r="U134" s="324"/>
      <c r="V134" s="324"/>
      <c r="W134" s="324"/>
      <c r="X134" s="324"/>
    </row>
    <row r="135" spans="14:24" ht="15.75" thickBot="1">
      <c r="N135" s="83"/>
      <c r="O135" s="326" t="s">
        <v>545</v>
      </c>
      <c r="P135" s="324"/>
      <c r="Q135" s="324"/>
      <c r="R135" s="324"/>
      <c r="S135" s="324"/>
      <c r="T135" s="324"/>
      <c r="U135" s="324"/>
      <c r="V135" s="324"/>
      <c r="W135" s="324"/>
      <c r="X135" s="324"/>
    </row>
    <row r="136" spans="14:24" ht="15.75" thickBot="1">
      <c r="N136" s="83"/>
      <c r="O136" s="326" t="s">
        <v>544</v>
      </c>
      <c r="P136" s="324"/>
      <c r="Q136" s="324"/>
      <c r="R136" s="324"/>
      <c r="S136" s="324"/>
      <c r="T136" s="324"/>
      <c r="U136" s="324"/>
      <c r="V136" s="324"/>
      <c r="W136" s="324"/>
      <c r="X136" s="324"/>
    </row>
    <row r="137" spans="14:24" ht="15.75" thickBot="1">
      <c r="N137" s="83"/>
      <c r="O137" s="326" t="s">
        <v>543</v>
      </c>
      <c r="P137" s="324"/>
      <c r="Q137" s="324"/>
      <c r="R137" s="324"/>
      <c r="S137" s="324"/>
      <c r="T137" s="324"/>
      <c r="U137" s="324"/>
      <c r="V137" s="324"/>
      <c r="W137" s="324"/>
      <c r="X137" s="324"/>
    </row>
    <row r="138" spans="14:24" ht="15.75" thickBot="1">
      <c r="N138" s="83" t="s">
        <v>1059</v>
      </c>
      <c r="O138" s="326" t="s">
        <v>542</v>
      </c>
      <c r="P138" s="324"/>
      <c r="Q138" s="324"/>
      <c r="R138" s="324"/>
      <c r="S138" s="324"/>
      <c r="T138" s="324"/>
      <c r="U138" s="324"/>
      <c r="V138" s="324"/>
      <c r="W138" s="324"/>
      <c r="X138" s="324"/>
    </row>
    <row r="139" spans="14:24" ht="15.75" thickBot="1">
      <c r="N139" s="83"/>
      <c r="O139" s="326" t="s">
        <v>541</v>
      </c>
      <c r="P139" s="324"/>
      <c r="Q139" s="324"/>
      <c r="R139" s="324"/>
      <c r="S139" s="324"/>
      <c r="T139" s="324"/>
      <c r="U139" s="324"/>
      <c r="V139" s="324"/>
      <c r="W139" s="324"/>
      <c r="X139" s="324"/>
    </row>
    <row r="140" spans="14:24" ht="15.75" thickBot="1">
      <c r="N140" s="83"/>
      <c r="O140" s="326" t="s">
        <v>540</v>
      </c>
      <c r="P140" s="324"/>
      <c r="Q140" s="324"/>
      <c r="R140" s="324"/>
      <c r="S140" s="324"/>
      <c r="T140" s="324"/>
      <c r="U140" s="324"/>
      <c r="V140" s="324"/>
      <c r="W140" s="324"/>
      <c r="X140" s="324"/>
    </row>
    <row r="141" spans="14:24" ht="15.75" thickBot="1">
      <c r="N141" s="83"/>
      <c r="O141" s="326" t="s">
        <v>539</v>
      </c>
      <c r="P141" s="324"/>
      <c r="Q141" s="324"/>
      <c r="R141" s="324"/>
      <c r="S141" s="324"/>
      <c r="T141" s="324"/>
      <c r="U141" s="324"/>
      <c r="V141" s="324"/>
      <c r="W141" s="324"/>
      <c r="X141" s="324"/>
    </row>
    <row r="142" spans="14:24" ht="15.75" thickBot="1">
      <c r="N142" s="83"/>
      <c r="O142" s="326" t="s">
        <v>538</v>
      </c>
      <c r="P142" s="324"/>
      <c r="Q142" s="324"/>
      <c r="R142" s="324"/>
      <c r="S142" s="324"/>
      <c r="T142" s="324"/>
      <c r="U142" s="324"/>
      <c r="V142" s="324"/>
      <c r="W142" s="324"/>
      <c r="X142" s="324"/>
    </row>
    <row r="143" spans="14:24" ht="15.75" thickBot="1">
      <c r="N143" s="83"/>
      <c r="O143" s="326" t="s">
        <v>537</v>
      </c>
      <c r="P143" s="324"/>
      <c r="Q143" s="324"/>
      <c r="R143" s="324"/>
      <c r="S143" s="324"/>
      <c r="T143" s="324"/>
      <c r="U143" s="324"/>
      <c r="V143" s="324"/>
      <c r="W143" s="324"/>
      <c r="X143" s="324"/>
    </row>
    <row r="144" spans="14:24" ht="15.75" thickBot="1">
      <c r="N144" s="83"/>
      <c r="O144" s="326" t="s">
        <v>536</v>
      </c>
      <c r="P144" s="324"/>
      <c r="Q144" s="324"/>
      <c r="R144" s="324"/>
      <c r="S144" s="324"/>
      <c r="T144" s="324"/>
      <c r="U144" s="324"/>
      <c r="V144" s="324"/>
      <c r="W144" s="324"/>
      <c r="X144" s="324"/>
    </row>
    <row r="145" spans="14:24" ht="15.75" thickBot="1">
      <c r="N145" s="83"/>
      <c r="O145" s="326" t="s">
        <v>535</v>
      </c>
      <c r="P145" s="324"/>
      <c r="Q145" s="324"/>
      <c r="R145" s="324"/>
      <c r="S145" s="324"/>
      <c r="T145" s="324"/>
      <c r="U145" s="324"/>
      <c r="V145" s="324"/>
      <c r="W145" s="324"/>
      <c r="X145" s="324"/>
    </row>
    <row r="146" spans="14:24" ht="15.75" thickBot="1">
      <c r="N146" s="83"/>
      <c r="O146" s="326" t="s">
        <v>534</v>
      </c>
      <c r="P146" s="324"/>
      <c r="Q146" s="324"/>
      <c r="R146" s="324"/>
      <c r="S146" s="324"/>
      <c r="T146" s="324"/>
      <c r="U146" s="324"/>
      <c r="V146" s="324"/>
      <c r="W146" s="324"/>
      <c r="X146" s="324"/>
    </row>
    <row r="147" spans="14:24" ht="15.75" thickBot="1">
      <c r="N147" s="255" t="s">
        <v>1006</v>
      </c>
      <c r="P147" s="324"/>
      <c r="Q147" s="324"/>
      <c r="R147" s="324"/>
      <c r="S147" s="324"/>
      <c r="T147" s="324"/>
      <c r="U147" s="324"/>
      <c r="V147" s="324"/>
      <c r="W147" s="324"/>
      <c r="X147" s="324"/>
    </row>
    <row r="148" spans="14:24" ht="15.75" thickBot="1">
      <c r="N148" s="83" t="s">
        <v>1060</v>
      </c>
      <c r="O148" s="326" t="s">
        <v>533</v>
      </c>
      <c r="P148" s="324"/>
      <c r="Q148" s="324"/>
      <c r="R148" s="324"/>
      <c r="S148" s="324"/>
      <c r="T148" s="324"/>
      <c r="U148" s="324"/>
      <c r="V148" s="324"/>
      <c r="W148" s="324"/>
      <c r="X148" s="324"/>
    </row>
    <row r="149" spans="14:24" ht="15.75" thickBot="1">
      <c r="N149" s="83"/>
      <c r="O149" s="326" t="s">
        <v>532</v>
      </c>
      <c r="P149" s="324"/>
      <c r="Q149" s="324"/>
      <c r="R149" s="324"/>
      <c r="S149" s="324"/>
      <c r="T149" s="324"/>
      <c r="U149" s="324"/>
      <c r="V149" s="324"/>
      <c r="W149" s="324"/>
      <c r="X149" s="324"/>
    </row>
    <row r="150" spans="14:24" ht="15.75" thickBot="1">
      <c r="N150" s="83"/>
      <c r="O150" s="326" t="s">
        <v>531</v>
      </c>
      <c r="P150" s="324"/>
      <c r="Q150" s="324"/>
      <c r="R150" s="324"/>
      <c r="S150" s="324"/>
      <c r="T150" s="324"/>
      <c r="U150" s="324"/>
      <c r="V150" s="324"/>
      <c r="W150" s="324"/>
      <c r="X150" s="324"/>
    </row>
    <row r="151" spans="14:24" ht="15.75" thickBot="1">
      <c r="N151" s="83"/>
      <c r="O151" s="326" t="s">
        <v>530</v>
      </c>
      <c r="P151" s="324"/>
      <c r="Q151" s="324"/>
      <c r="R151" s="324"/>
      <c r="S151" s="324"/>
      <c r="T151" s="324"/>
      <c r="U151" s="324"/>
      <c r="V151" s="324"/>
      <c r="W151" s="324"/>
      <c r="X151" s="324"/>
    </row>
    <row r="152" spans="14:24" ht="15.75" thickBot="1">
      <c r="N152" s="83"/>
      <c r="O152" s="326" t="s">
        <v>529</v>
      </c>
      <c r="P152" s="324"/>
      <c r="Q152" s="324"/>
      <c r="R152" s="324"/>
      <c r="S152" s="324"/>
      <c r="T152" s="324"/>
      <c r="U152" s="324"/>
      <c r="V152" s="324"/>
      <c r="W152" s="324"/>
      <c r="X152" s="324"/>
    </row>
    <row r="153" spans="14:24" ht="15.75" thickBot="1">
      <c r="N153" s="83"/>
      <c r="O153" s="326" t="s">
        <v>528</v>
      </c>
      <c r="P153" s="324"/>
      <c r="Q153" s="324"/>
      <c r="R153" s="324"/>
      <c r="S153" s="324"/>
      <c r="T153" s="324"/>
      <c r="U153" s="324"/>
      <c r="V153" s="324"/>
      <c r="W153" s="324"/>
      <c r="X153" s="324"/>
    </row>
    <row r="154" spans="14:24" ht="15.75" thickBot="1">
      <c r="N154" s="83"/>
      <c r="O154" s="326" t="s">
        <v>527</v>
      </c>
      <c r="P154" s="324"/>
      <c r="Q154" s="324"/>
      <c r="R154" s="324"/>
      <c r="S154" s="324"/>
      <c r="T154" s="324"/>
      <c r="U154" s="324"/>
      <c r="V154" s="324"/>
      <c r="W154" s="324"/>
      <c r="X154" s="324"/>
    </row>
    <row r="155" spans="14:24" ht="15.75" thickBot="1">
      <c r="N155" s="83"/>
      <c r="O155" s="326" t="s">
        <v>526</v>
      </c>
      <c r="P155" s="324"/>
      <c r="Q155" s="324"/>
      <c r="R155" s="324"/>
      <c r="S155" s="324"/>
      <c r="T155" s="324"/>
      <c r="U155" s="324"/>
      <c r="V155" s="324"/>
      <c r="W155" s="324"/>
      <c r="X155" s="324"/>
    </row>
    <row r="156" spans="14:24" ht="15.75" thickBot="1">
      <c r="N156" s="83"/>
      <c r="O156" s="326" t="s">
        <v>525</v>
      </c>
      <c r="P156" s="324"/>
      <c r="Q156" s="324"/>
      <c r="R156" s="324"/>
      <c r="S156" s="324"/>
      <c r="T156" s="324"/>
      <c r="U156" s="324"/>
      <c r="V156" s="324"/>
      <c r="W156" s="324"/>
      <c r="X156" s="324"/>
    </row>
    <row r="157" spans="14:24" ht="15.75" thickBot="1">
      <c r="N157" s="83"/>
      <c r="O157" s="326" t="s">
        <v>524</v>
      </c>
      <c r="P157" s="324"/>
      <c r="Q157" s="324"/>
      <c r="R157" s="324"/>
      <c r="S157" s="324"/>
      <c r="T157" s="324"/>
      <c r="U157" s="324"/>
      <c r="V157" s="324"/>
      <c r="W157" s="324"/>
      <c r="X157" s="324"/>
    </row>
    <row r="158" spans="14:24" ht="15.75" thickBot="1">
      <c r="N158" s="83" t="s">
        <v>1061</v>
      </c>
      <c r="O158" s="326" t="s">
        <v>523</v>
      </c>
      <c r="P158" s="324"/>
      <c r="Q158" s="324"/>
      <c r="R158" s="324"/>
      <c r="S158" s="324"/>
      <c r="T158" s="324"/>
      <c r="U158" s="324"/>
      <c r="V158" s="324"/>
      <c r="W158" s="324"/>
      <c r="X158" s="324"/>
    </row>
    <row r="159" spans="14:24" ht="15.75" thickBot="1">
      <c r="N159" s="83"/>
      <c r="O159" s="326" t="s">
        <v>522</v>
      </c>
      <c r="P159" s="324"/>
      <c r="Q159" s="324"/>
      <c r="R159" s="324"/>
      <c r="S159" s="324"/>
      <c r="T159" s="324"/>
      <c r="U159" s="324"/>
      <c r="V159" s="324"/>
      <c r="W159" s="324"/>
      <c r="X159" s="324"/>
    </row>
    <row r="160" spans="14:24" ht="15.75" thickBot="1">
      <c r="N160" s="83"/>
      <c r="O160" s="326" t="s">
        <v>521</v>
      </c>
      <c r="P160" s="324"/>
      <c r="Q160" s="324"/>
      <c r="R160" s="324"/>
      <c r="S160" s="324"/>
      <c r="T160" s="324"/>
      <c r="U160" s="324"/>
      <c r="V160" s="324"/>
      <c r="W160" s="324"/>
      <c r="X160" s="324"/>
    </row>
    <row r="161" spans="14:24" ht="15.75" thickBot="1">
      <c r="N161" s="83"/>
      <c r="O161" s="326" t="s">
        <v>520</v>
      </c>
      <c r="P161" s="324"/>
      <c r="Q161" s="324"/>
      <c r="R161" s="324"/>
      <c r="S161" s="324"/>
      <c r="T161" s="324"/>
      <c r="U161" s="324"/>
      <c r="V161" s="324"/>
      <c r="W161" s="324"/>
      <c r="X161" s="324"/>
    </row>
    <row r="162" spans="14:24" ht="15.75" thickBot="1">
      <c r="N162" s="83"/>
      <c r="O162" s="326" t="s">
        <v>519</v>
      </c>
      <c r="P162" s="324"/>
      <c r="Q162" s="324"/>
      <c r="R162" s="324"/>
      <c r="S162" s="324"/>
      <c r="T162" s="324"/>
      <c r="U162" s="324"/>
      <c r="V162" s="324"/>
      <c r="W162" s="324"/>
      <c r="X162" s="324"/>
    </row>
    <row r="163" spans="14:24" ht="15.75" thickBot="1">
      <c r="N163" s="83"/>
      <c r="O163" s="326" t="s">
        <v>518</v>
      </c>
      <c r="P163" s="324"/>
      <c r="Q163" s="324"/>
      <c r="R163" s="324"/>
      <c r="S163" s="324"/>
      <c r="T163" s="324"/>
      <c r="U163" s="324"/>
      <c r="V163" s="324"/>
      <c r="W163" s="324"/>
      <c r="X163" s="324"/>
    </row>
    <row r="164" spans="14:24" ht="15.75" thickBot="1">
      <c r="N164" s="83"/>
      <c r="O164" s="326" t="s">
        <v>517</v>
      </c>
      <c r="P164" s="324"/>
      <c r="Q164" s="324"/>
      <c r="R164" s="324"/>
      <c r="S164" s="324"/>
      <c r="T164" s="324"/>
      <c r="U164" s="324"/>
      <c r="V164" s="324"/>
      <c r="W164" s="324"/>
      <c r="X164" s="324"/>
    </row>
    <row r="165" spans="14:24" ht="15.75" thickBot="1">
      <c r="N165" s="83"/>
      <c r="O165" s="326" t="s">
        <v>516</v>
      </c>
      <c r="P165" s="324"/>
      <c r="Q165" s="324"/>
      <c r="R165" s="324"/>
      <c r="S165" s="324"/>
      <c r="T165" s="324"/>
      <c r="U165" s="324"/>
      <c r="V165" s="324"/>
      <c r="W165" s="324"/>
      <c r="X165" s="324"/>
    </row>
    <row r="166" spans="14:24" ht="15.75" thickBot="1">
      <c r="N166" s="496" t="s">
        <v>1062</v>
      </c>
      <c r="O166" s="326" t="s">
        <v>515</v>
      </c>
      <c r="P166" s="324"/>
      <c r="Q166" s="324"/>
      <c r="R166" s="324"/>
      <c r="S166" s="324"/>
      <c r="T166" s="324"/>
      <c r="U166" s="324"/>
      <c r="V166" s="324"/>
      <c r="W166" s="324"/>
      <c r="X166" s="324"/>
    </row>
    <row r="167" spans="14:24" ht="30.75" thickBot="1">
      <c r="N167" s="497" t="s">
        <v>1063</v>
      </c>
      <c r="O167" s="326" t="s">
        <v>514</v>
      </c>
      <c r="P167" s="324"/>
      <c r="Q167" s="324"/>
      <c r="R167" s="324"/>
      <c r="S167" s="324"/>
      <c r="T167" s="324"/>
      <c r="U167" s="324"/>
      <c r="V167" s="324"/>
      <c r="W167" s="324"/>
      <c r="X167" s="324"/>
    </row>
    <row r="168" spans="14:24" ht="15.75" thickBot="1">
      <c r="N168" s="83"/>
      <c r="O168" s="326" t="s">
        <v>513</v>
      </c>
      <c r="P168" s="324"/>
      <c r="Q168" s="324"/>
      <c r="R168" s="324"/>
      <c r="S168" s="324"/>
      <c r="T168" s="324"/>
      <c r="U168" s="324"/>
      <c r="V168" s="324"/>
      <c r="W168" s="324"/>
      <c r="X168" s="324"/>
    </row>
    <row r="169" spans="14:24" ht="15.75" thickBot="1">
      <c r="N169" s="83"/>
      <c r="O169" s="326" t="s">
        <v>512</v>
      </c>
      <c r="P169" s="324"/>
      <c r="Q169" s="324"/>
      <c r="R169" s="324"/>
      <c r="S169" s="324"/>
      <c r="T169" s="324"/>
      <c r="U169" s="324"/>
      <c r="V169" s="324"/>
      <c r="W169" s="324"/>
      <c r="X169" s="324"/>
    </row>
    <row r="170" spans="14:24" ht="15.75" thickBot="1">
      <c r="N170" s="83"/>
      <c r="O170" s="326" t="s">
        <v>511</v>
      </c>
      <c r="P170" s="324"/>
      <c r="Q170" s="324"/>
      <c r="R170" s="324"/>
      <c r="S170" s="324"/>
      <c r="T170" s="324"/>
      <c r="U170" s="324"/>
      <c r="V170" s="324"/>
      <c r="W170" s="324"/>
      <c r="X170" s="324"/>
    </row>
    <row r="171" spans="14:24" ht="15.75" thickBot="1">
      <c r="N171" s="83"/>
      <c r="O171" s="326" t="s">
        <v>510</v>
      </c>
      <c r="P171" s="324"/>
      <c r="Q171" s="324"/>
      <c r="R171" s="324"/>
      <c r="S171" s="324"/>
      <c r="T171" s="324"/>
      <c r="U171" s="324"/>
      <c r="V171" s="324"/>
      <c r="W171" s="324"/>
      <c r="X171" s="324"/>
    </row>
    <row r="172" spans="14:24" ht="15.75" thickBot="1">
      <c r="N172" s="83"/>
      <c r="O172" s="326" t="s">
        <v>509</v>
      </c>
      <c r="P172" s="324"/>
      <c r="Q172" s="324"/>
      <c r="R172" s="324"/>
      <c r="S172" s="324"/>
      <c r="T172" s="324"/>
      <c r="U172" s="324"/>
      <c r="V172" s="324"/>
      <c r="W172" s="324"/>
      <c r="X172" s="324"/>
    </row>
    <row r="173" spans="14:24" ht="15.75" thickBot="1">
      <c r="N173" s="83"/>
      <c r="O173" s="326" t="s">
        <v>508</v>
      </c>
      <c r="P173" s="324"/>
      <c r="Q173" s="324"/>
      <c r="R173" s="324"/>
      <c r="S173" s="324"/>
      <c r="T173" s="324"/>
      <c r="U173" s="324"/>
      <c r="V173" s="324"/>
      <c r="W173" s="324"/>
      <c r="X173" s="324"/>
    </row>
    <row r="174" spans="14:24" ht="15.75" thickBot="1">
      <c r="N174" s="83"/>
      <c r="O174" s="326" t="s">
        <v>507</v>
      </c>
      <c r="P174" s="324"/>
      <c r="Q174" s="324"/>
      <c r="R174" s="324"/>
      <c r="S174" s="324"/>
      <c r="T174" s="324"/>
      <c r="U174" s="324"/>
      <c r="V174" s="324"/>
      <c r="W174" s="324"/>
      <c r="X174" s="324"/>
    </row>
    <row r="175" spans="14:24" ht="15.75" thickBot="1">
      <c r="N175" s="83"/>
      <c r="O175" s="326" t="s">
        <v>506</v>
      </c>
      <c r="P175" s="324"/>
      <c r="Q175" s="324"/>
      <c r="R175" s="324"/>
      <c r="S175" s="324"/>
      <c r="T175" s="324"/>
      <c r="U175" s="324"/>
      <c r="V175" s="324"/>
      <c r="W175" s="324"/>
      <c r="X175" s="324"/>
    </row>
    <row r="176" spans="14:24" ht="15.75" thickBot="1">
      <c r="N176" s="83"/>
      <c r="O176" s="326" t="s">
        <v>505</v>
      </c>
      <c r="P176" s="324"/>
      <c r="Q176" s="324"/>
      <c r="R176" s="324"/>
      <c r="S176" s="324"/>
      <c r="T176" s="324"/>
      <c r="U176" s="324"/>
      <c r="V176" s="324"/>
      <c r="W176" s="324"/>
      <c r="X176" s="324"/>
    </row>
    <row r="177" spans="14:24" ht="15.75" thickBot="1">
      <c r="N177" s="83"/>
      <c r="O177" s="326" t="s">
        <v>504</v>
      </c>
      <c r="P177" s="324"/>
      <c r="Q177" s="324"/>
      <c r="R177" s="324"/>
      <c r="S177" s="324"/>
      <c r="T177" s="324"/>
      <c r="U177" s="324"/>
      <c r="V177" s="324"/>
      <c r="W177" s="324"/>
      <c r="X177" s="324"/>
    </row>
    <row r="178" spans="14:24" ht="15.75" thickBot="1">
      <c r="N178" s="83"/>
      <c r="O178" s="326" t="s">
        <v>503</v>
      </c>
      <c r="P178" s="324"/>
      <c r="Q178" s="324"/>
      <c r="R178" s="324"/>
      <c r="S178" s="324"/>
      <c r="T178" s="324"/>
      <c r="U178" s="324"/>
      <c r="V178" s="324"/>
      <c r="W178" s="324"/>
      <c r="X178" s="324"/>
    </row>
    <row r="179" spans="14:24" ht="15.75" thickBot="1">
      <c r="N179" s="83"/>
      <c r="O179" s="326" t="s">
        <v>502</v>
      </c>
      <c r="P179" s="324"/>
      <c r="Q179" s="324"/>
      <c r="R179" s="324"/>
      <c r="S179" s="324"/>
      <c r="T179" s="324"/>
      <c r="U179" s="324"/>
      <c r="V179" s="324"/>
      <c r="W179" s="324"/>
      <c r="X179" s="324"/>
    </row>
    <row r="180" spans="14:24" ht="15.75" thickBot="1">
      <c r="N180" s="83"/>
      <c r="O180" s="326" t="s">
        <v>501</v>
      </c>
      <c r="P180" s="324"/>
      <c r="Q180" s="324"/>
      <c r="R180" s="324"/>
      <c r="S180" s="324"/>
      <c r="T180" s="324"/>
      <c r="U180" s="324"/>
      <c r="V180" s="324"/>
      <c r="W180" s="324"/>
      <c r="X180" s="324"/>
    </row>
    <row r="181" spans="14:24" ht="15.75" thickBot="1">
      <c r="N181" s="83"/>
      <c r="O181" s="326" t="s">
        <v>500</v>
      </c>
      <c r="P181" s="324"/>
      <c r="Q181" s="324"/>
      <c r="R181" s="324"/>
      <c r="S181" s="324"/>
      <c r="T181" s="324"/>
      <c r="U181" s="324"/>
      <c r="V181" s="324"/>
      <c r="W181" s="324"/>
      <c r="X181" s="324"/>
    </row>
    <row r="182" spans="14:24" ht="15.75" thickBot="1">
      <c r="N182" s="83"/>
      <c r="O182" s="326" t="s">
        <v>499</v>
      </c>
      <c r="P182" s="324"/>
      <c r="Q182" s="324"/>
      <c r="R182" s="324"/>
      <c r="S182" s="324"/>
      <c r="T182" s="324"/>
      <c r="U182" s="324"/>
      <c r="V182" s="324"/>
      <c r="W182" s="324"/>
      <c r="X182" s="324"/>
    </row>
    <row r="183" spans="14:24" ht="15.75" thickBot="1">
      <c r="N183" s="83"/>
      <c r="O183" s="326" t="s">
        <v>498</v>
      </c>
      <c r="P183" s="324"/>
      <c r="Q183" s="324"/>
      <c r="R183" s="324"/>
      <c r="S183" s="324"/>
      <c r="T183" s="324"/>
      <c r="U183" s="324"/>
      <c r="V183" s="324"/>
      <c r="W183" s="324"/>
      <c r="X183" s="324"/>
    </row>
    <row r="184" spans="14:24" ht="15.75" thickBot="1">
      <c r="N184" s="83"/>
      <c r="O184" s="326" t="s">
        <v>497</v>
      </c>
      <c r="P184" s="324"/>
      <c r="Q184" s="324"/>
      <c r="R184" s="324"/>
      <c r="S184" s="324"/>
      <c r="T184" s="324"/>
      <c r="U184" s="324"/>
      <c r="V184" s="324"/>
      <c r="W184" s="324"/>
      <c r="X184" s="324"/>
    </row>
    <row r="185" spans="14:24" ht="15.75" thickBot="1">
      <c r="N185" s="83"/>
      <c r="O185" s="326" t="s">
        <v>496</v>
      </c>
      <c r="P185" s="324"/>
      <c r="Q185" s="324"/>
      <c r="R185" s="324"/>
      <c r="S185" s="324"/>
      <c r="T185" s="324"/>
      <c r="U185" s="324"/>
      <c r="V185" s="324"/>
      <c r="W185" s="324"/>
      <c r="X185" s="324"/>
    </row>
    <row r="186" spans="14:24" ht="15.75" thickBot="1">
      <c r="N186" s="83"/>
      <c r="O186" s="326" t="s">
        <v>495</v>
      </c>
      <c r="P186" s="324"/>
      <c r="Q186" s="324"/>
      <c r="R186" s="324"/>
      <c r="S186" s="324"/>
      <c r="T186" s="324"/>
      <c r="U186" s="324"/>
      <c r="V186" s="324"/>
      <c r="W186" s="324"/>
      <c r="X186" s="324"/>
    </row>
    <row r="187" spans="14:24" ht="15.75" thickBot="1">
      <c r="N187" s="83"/>
      <c r="O187" s="326" t="s">
        <v>494</v>
      </c>
      <c r="P187" s="324"/>
      <c r="Q187" s="324"/>
      <c r="R187" s="324"/>
      <c r="S187" s="324"/>
      <c r="T187" s="324"/>
      <c r="U187" s="324"/>
      <c r="V187" s="324"/>
      <c r="W187" s="324"/>
      <c r="X187" s="324"/>
    </row>
    <row r="188" spans="14:24" ht="15.75" thickBot="1">
      <c r="N188" s="83"/>
      <c r="O188" s="326" t="s">
        <v>493</v>
      </c>
      <c r="P188" s="324"/>
      <c r="Q188" s="324"/>
      <c r="R188" s="324"/>
      <c r="S188" s="324"/>
      <c r="T188" s="324"/>
      <c r="U188" s="324"/>
      <c r="V188" s="324"/>
      <c r="W188" s="324"/>
      <c r="X188" s="324"/>
    </row>
    <row r="189" spans="14:24" ht="15.75" thickBot="1">
      <c r="N189" s="83"/>
      <c r="O189" s="326" t="s">
        <v>492</v>
      </c>
      <c r="P189" s="324"/>
      <c r="Q189" s="324"/>
      <c r="R189" s="324"/>
      <c r="S189" s="324"/>
      <c r="T189" s="324"/>
      <c r="U189" s="324"/>
      <c r="V189" s="324"/>
      <c r="W189" s="324"/>
      <c r="X189" s="324"/>
    </row>
    <row r="190" spans="14:24" ht="15.75" thickBot="1">
      <c r="N190" s="83"/>
      <c r="O190" s="326" t="s">
        <v>491</v>
      </c>
      <c r="P190" s="324"/>
      <c r="Q190" s="324"/>
      <c r="R190" s="324"/>
      <c r="S190" s="324"/>
      <c r="T190" s="324"/>
      <c r="U190" s="324"/>
      <c r="V190" s="324"/>
      <c r="W190" s="324"/>
      <c r="X190" s="324"/>
    </row>
    <row r="191" spans="14:24" ht="15.75" thickBot="1">
      <c r="N191" s="83"/>
      <c r="O191" s="326" t="s">
        <v>490</v>
      </c>
      <c r="P191" s="324"/>
      <c r="Q191" s="324"/>
      <c r="R191" s="324"/>
      <c r="S191" s="324"/>
      <c r="T191" s="324"/>
      <c r="U191" s="324"/>
      <c r="V191" s="324"/>
      <c r="W191" s="324"/>
      <c r="X191" s="324"/>
    </row>
    <row r="192" spans="14:24" ht="15.75" thickBot="1">
      <c r="N192" s="83"/>
      <c r="O192" s="326"/>
      <c r="P192" s="324"/>
      <c r="Q192" s="324"/>
      <c r="R192" s="324"/>
      <c r="S192" s="324"/>
      <c r="T192" s="324"/>
      <c r="U192" s="324"/>
      <c r="V192" s="324"/>
      <c r="W192" s="324"/>
      <c r="X192" s="324"/>
    </row>
    <row r="193" spans="14:24" ht="15.75" thickBot="1">
      <c r="N193" s="83"/>
      <c r="O193" s="325" t="s">
        <v>497</v>
      </c>
      <c r="P193" s="324"/>
      <c r="Q193" s="324"/>
      <c r="R193" s="324"/>
      <c r="S193" s="324"/>
      <c r="T193" s="324"/>
      <c r="U193" s="324"/>
      <c r="V193" s="324"/>
      <c r="W193" s="324"/>
      <c r="X193" s="324"/>
    </row>
    <row r="194" spans="14:24" ht="15.75" thickBot="1">
      <c r="N194" s="83"/>
      <c r="O194" s="325" t="s">
        <v>496</v>
      </c>
      <c r="P194" s="324"/>
      <c r="Q194" s="324"/>
      <c r="R194" s="324"/>
      <c r="S194" s="324"/>
      <c r="T194" s="324"/>
      <c r="U194" s="324"/>
      <c r="V194" s="324"/>
      <c r="W194" s="324"/>
      <c r="X194" s="324"/>
    </row>
    <row r="195" spans="14:24" ht="15.75" thickBot="1">
      <c r="N195" s="83"/>
      <c r="O195" s="325" t="s">
        <v>495</v>
      </c>
      <c r="P195" s="324"/>
      <c r="Q195" s="324"/>
      <c r="R195" s="324"/>
      <c r="S195" s="324"/>
      <c r="T195" s="324"/>
      <c r="U195" s="324"/>
      <c r="V195" s="324"/>
      <c r="W195" s="324"/>
      <c r="X195" s="324"/>
    </row>
    <row r="196" spans="14:24" ht="15.75" thickBot="1">
      <c r="N196" s="83"/>
      <c r="O196" s="325" t="s">
        <v>494</v>
      </c>
      <c r="P196" s="324"/>
      <c r="Q196" s="324"/>
      <c r="R196" s="324"/>
      <c r="S196" s="324"/>
      <c r="T196" s="324"/>
      <c r="U196" s="324"/>
      <c r="V196" s="324"/>
      <c r="W196" s="324"/>
      <c r="X196" s="324"/>
    </row>
    <row r="197" spans="14:24" ht="15.75" thickBot="1">
      <c r="N197" s="83"/>
      <c r="O197" s="325" t="s">
        <v>493</v>
      </c>
      <c r="P197" s="324"/>
      <c r="Q197" s="324"/>
      <c r="R197" s="324"/>
      <c r="S197" s="324"/>
      <c r="T197" s="324"/>
      <c r="U197" s="324"/>
      <c r="V197" s="324"/>
      <c r="W197" s="324"/>
      <c r="X197" s="324"/>
    </row>
    <row r="198" spans="14:24" ht="15.75" thickBot="1">
      <c r="N198" s="83"/>
      <c r="O198" s="325" t="s">
        <v>492</v>
      </c>
      <c r="P198" s="324"/>
      <c r="Q198" s="324"/>
      <c r="R198" s="324"/>
      <c r="S198" s="324"/>
      <c r="T198" s="324"/>
      <c r="U198" s="324"/>
      <c r="V198" s="324"/>
      <c r="W198" s="324"/>
      <c r="X198" s="324"/>
    </row>
    <row r="199" spans="14:24" ht="15.75" thickBot="1">
      <c r="N199" s="83"/>
      <c r="O199" s="325" t="s">
        <v>491</v>
      </c>
      <c r="P199" s="324"/>
      <c r="Q199" s="324"/>
      <c r="R199" s="324"/>
      <c r="S199" s="324"/>
      <c r="T199" s="324"/>
      <c r="U199" s="324"/>
      <c r="V199" s="324"/>
      <c r="W199" s="324"/>
      <c r="X199" s="324"/>
    </row>
    <row r="200" spans="14:24" ht="15.75" thickBot="1">
      <c r="N200" s="83"/>
      <c r="O200" s="325" t="s">
        <v>490</v>
      </c>
      <c r="P200" s="324"/>
      <c r="Q200" s="324"/>
      <c r="R200" s="324"/>
      <c r="S200" s="324"/>
      <c r="T200" s="324"/>
      <c r="U200" s="324"/>
      <c r="V200" s="324"/>
      <c r="W200" s="324"/>
      <c r="X200" s="324"/>
    </row>
    <row r="201" spans="14:24" ht="15.75" thickBot="1">
      <c r="N201" s="83"/>
      <c r="O201" s="325" t="s">
        <v>489</v>
      </c>
      <c r="P201" s="324"/>
      <c r="Q201" s="324"/>
      <c r="R201" s="324"/>
      <c r="S201" s="324"/>
      <c r="T201" s="324"/>
      <c r="U201" s="324"/>
      <c r="V201" s="324"/>
      <c r="W201" s="324"/>
      <c r="X201" s="324"/>
    </row>
    <row r="202" spans="14:24" ht="15.75" thickBot="1">
      <c r="N202" s="83"/>
      <c r="O202" s="325" t="s">
        <v>488</v>
      </c>
      <c r="P202" s="324"/>
      <c r="Q202" s="324"/>
      <c r="R202" s="324"/>
      <c r="S202" s="324"/>
      <c r="T202" s="324"/>
      <c r="U202" s="324"/>
      <c r="V202" s="324"/>
      <c r="W202" s="324"/>
      <c r="X202" s="324"/>
    </row>
    <row r="203" spans="14:24" ht="15.75" thickBot="1">
      <c r="N203" s="83"/>
      <c r="O203" s="325" t="s">
        <v>487</v>
      </c>
      <c r="P203" s="324"/>
      <c r="Q203" s="324"/>
      <c r="R203" s="324"/>
      <c r="S203" s="324"/>
      <c r="T203" s="324"/>
      <c r="U203" s="324"/>
      <c r="V203" s="324"/>
      <c r="W203" s="324"/>
      <c r="X203" s="324"/>
    </row>
    <row r="204" spans="14:24" ht="15.75" thickBot="1">
      <c r="N204" s="83"/>
      <c r="O204" s="325" t="s">
        <v>486</v>
      </c>
      <c r="P204" s="324"/>
      <c r="Q204" s="324"/>
      <c r="R204" s="324"/>
      <c r="S204" s="324"/>
      <c r="T204" s="324"/>
      <c r="U204" s="324"/>
      <c r="V204" s="324"/>
      <c r="W204" s="324"/>
      <c r="X204" s="324"/>
    </row>
    <row r="205" spans="14:24" ht="15.75" thickBot="1">
      <c r="N205" s="83"/>
      <c r="O205" s="325" t="s">
        <v>485</v>
      </c>
      <c r="P205" s="324"/>
      <c r="Q205" s="324"/>
      <c r="R205" s="324"/>
      <c r="S205" s="324"/>
      <c r="T205" s="324"/>
      <c r="U205" s="324"/>
      <c r="V205" s="324"/>
      <c r="W205" s="324"/>
      <c r="X205" s="324"/>
    </row>
    <row r="206" spans="14:24" ht="15.75" thickBot="1">
      <c r="N206" s="83"/>
      <c r="O206" s="325" t="s">
        <v>484</v>
      </c>
      <c r="P206" s="324"/>
      <c r="Q206" s="324"/>
      <c r="R206" s="324"/>
      <c r="S206" s="324"/>
      <c r="T206" s="324"/>
      <c r="U206" s="324"/>
      <c r="V206" s="324"/>
      <c r="W206" s="324"/>
      <c r="X206" s="324"/>
    </row>
    <row r="207" spans="14:24" ht="15.75" thickBot="1">
      <c r="N207" s="83"/>
      <c r="O207" s="325" t="s">
        <v>483</v>
      </c>
      <c r="P207" s="324"/>
      <c r="Q207" s="324"/>
      <c r="R207" s="324"/>
      <c r="S207" s="324"/>
      <c r="T207" s="324"/>
      <c r="U207" s="324"/>
      <c r="V207" s="324"/>
      <c r="W207" s="324"/>
      <c r="X207" s="324"/>
    </row>
    <row r="208" spans="14:24" ht="15.75" thickBot="1">
      <c r="N208" s="83"/>
      <c r="O208" s="325" t="s">
        <v>482</v>
      </c>
      <c r="P208" s="324"/>
      <c r="Q208" s="324"/>
      <c r="R208" s="324"/>
      <c r="S208" s="324"/>
      <c r="T208" s="324"/>
      <c r="U208" s="324"/>
      <c r="V208" s="324"/>
      <c r="W208" s="324"/>
      <c r="X208" s="324"/>
    </row>
    <row r="209" spans="14:24" ht="15.75" thickBot="1">
      <c r="N209" s="83"/>
      <c r="O209" s="325" t="s">
        <v>481</v>
      </c>
      <c r="P209" s="324"/>
      <c r="Q209" s="324"/>
      <c r="R209" s="324"/>
      <c r="S209" s="324"/>
      <c r="T209" s="324"/>
      <c r="U209" s="324"/>
      <c r="V209" s="324"/>
      <c r="W209" s="324"/>
      <c r="X209" s="324"/>
    </row>
    <row r="210" spans="14:24" ht="15.75" thickBot="1">
      <c r="N210" s="83"/>
      <c r="O210" s="325" t="s">
        <v>480</v>
      </c>
      <c r="P210" s="324"/>
      <c r="Q210" s="324"/>
      <c r="R210" s="324"/>
      <c r="S210" s="324"/>
      <c r="T210" s="324"/>
      <c r="U210" s="324"/>
      <c r="V210" s="324"/>
      <c r="W210" s="324"/>
      <c r="X210" s="324"/>
    </row>
    <row r="211" spans="14:24" ht="15.75" thickBot="1">
      <c r="N211" s="83"/>
      <c r="O211" s="325" t="s">
        <v>479</v>
      </c>
      <c r="P211" s="324"/>
      <c r="Q211" s="324"/>
      <c r="R211" s="324"/>
      <c r="S211" s="324"/>
      <c r="T211" s="324"/>
      <c r="U211" s="324"/>
      <c r="V211" s="324"/>
      <c r="W211" s="324"/>
      <c r="X211" s="324"/>
    </row>
    <row r="212" spans="14:24" ht="15.75" thickBot="1">
      <c r="N212" s="83"/>
      <c r="O212" s="325" t="s">
        <v>478</v>
      </c>
      <c r="P212" s="324"/>
      <c r="Q212" s="324"/>
      <c r="R212" s="324"/>
      <c r="S212" s="324"/>
      <c r="T212" s="324"/>
      <c r="U212" s="324"/>
      <c r="V212" s="324"/>
      <c r="W212" s="324"/>
      <c r="X212" s="324"/>
    </row>
    <row r="213" spans="14:24" ht="15.75" thickBot="1">
      <c r="N213" s="83"/>
      <c r="O213" s="325" t="s">
        <v>477</v>
      </c>
      <c r="P213" s="324"/>
      <c r="Q213" s="324"/>
      <c r="R213" s="324"/>
      <c r="S213" s="324"/>
      <c r="T213" s="324"/>
      <c r="U213" s="324"/>
      <c r="V213" s="324"/>
      <c r="W213" s="324"/>
      <c r="X213" s="324"/>
    </row>
    <row r="214" spans="14:24" ht="15.75" thickBot="1">
      <c r="N214" s="83"/>
      <c r="O214" s="325" t="s">
        <v>476</v>
      </c>
      <c r="P214" s="324"/>
      <c r="Q214" s="324"/>
      <c r="R214" s="324"/>
      <c r="S214" s="324"/>
      <c r="T214" s="324"/>
      <c r="U214" s="324"/>
      <c r="V214" s="324"/>
      <c r="W214" s="324"/>
      <c r="X214" s="324"/>
    </row>
    <row r="215" spans="14:24" ht="15.75" thickBot="1">
      <c r="N215" s="83"/>
      <c r="O215" s="325" t="s">
        <v>475</v>
      </c>
      <c r="P215" s="324"/>
      <c r="Q215" s="324"/>
      <c r="R215" s="324"/>
      <c r="S215" s="324"/>
      <c r="T215" s="324"/>
      <c r="U215" s="324"/>
      <c r="V215" s="324"/>
      <c r="W215" s="324"/>
      <c r="X215" s="324"/>
    </row>
    <row r="216" spans="14:24" ht="15.75" thickBot="1">
      <c r="N216" s="83"/>
      <c r="O216" s="325" t="s">
        <v>474</v>
      </c>
      <c r="P216" s="324"/>
      <c r="Q216" s="324"/>
      <c r="R216" s="324"/>
      <c r="S216" s="324"/>
      <c r="T216" s="324"/>
      <c r="U216" s="324"/>
      <c r="V216" s="324"/>
      <c r="W216" s="324"/>
      <c r="X216" s="324"/>
    </row>
    <row r="217" spans="14:24" ht="15.75" thickBot="1">
      <c r="N217" s="83"/>
      <c r="O217" s="325" t="s">
        <v>473</v>
      </c>
      <c r="P217" s="324"/>
      <c r="Q217" s="324"/>
      <c r="R217" s="324"/>
      <c r="S217" s="324"/>
      <c r="T217" s="324"/>
      <c r="U217" s="324"/>
      <c r="V217" s="324"/>
      <c r="W217" s="324"/>
      <c r="X217" s="324"/>
    </row>
    <row r="218" spans="14:24" ht="15.75" thickBot="1">
      <c r="N218" s="83"/>
      <c r="O218" s="325" t="s">
        <v>472</v>
      </c>
      <c r="P218" s="324"/>
      <c r="Q218" s="324"/>
      <c r="R218" s="324"/>
      <c r="S218" s="324"/>
      <c r="T218" s="324"/>
      <c r="U218" s="324"/>
      <c r="V218" s="324"/>
      <c r="W218" s="324"/>
      <c r="X218" s="324"/>
    </row>
    <row r="219" spans="14:24" ht="15.75" thickBot="1">
      <c r="N219" s="83"/>
      <c r="O219" s="325" t="s">
        <v>471</v>
      </c>
      <c r="P219" s="324"/>
      <c r="Q219" s="324"/>
      <c r="R219" s="324"/>
      <c r="S219" s="324"/>
      <c r="T219" s="324"/>
      <c r="U219" s="324"/>
      <c r="V219" s="324"/>
      <c r="W219" s="324"/>
      <c r="X219" s="324"/>
    </row>
    <row r="220" spans="14:24" ht="15.75" thickBot="1">
      <c r="N220" s="83"/>
      <c r="O220" s="325" t="s">
        <v>470</v>
      </c>
      <c r="P220" s="324"/>
      <c r="Q220" s="324"/>
      <c r="R220" s="324"/>
      <c r="S220" s="324"/>
      <c r="T220" s="324"/>
      <c r="U220" s="324"/>
      <c r="V220" s="324"/>
      <c r="W220" s="324"/>
      <c r="X220" s="324"/>
    </row>
    <row r="221" spans="14:24" ht="15.75" thickBot="1">
      <c r="N221" s="83"/>
      <c r="O221" s="325" t="s">
        <v>469</v>
      </c>
      <c r="P221" s="324"/>
      <c r="Q221" s="324"/>
      <c r="R221" s="324"/>
      <c r="S221" s="324"/>
      <c r="T221" s="324"/>
      <c r="U221" s="324"/>
      <c r="V221" s="324"/>
      <c r="W221" s="324"/>
      <c r="X221" s="324"/>
    </row>
    <row r="222" spans="14:24" ht="15.75" thickBot="1">
      <c r="N222" s="83"/>
      <c r="O222" s="325" t="s">
        <v>468</v>
      </c>
      <c r="P222" s="324"/>
      <c r="Q222" s="324"/>
      <c r="R222" s="324"/>
      <c r="S222" s="324"/>
      <c r="T222" s="324"/>
      <c r="U222" s="324"/>
      <c r="V222" s="324"/>
      <c r="W222" s="324"/>
      <c r="X222" s="324"/>
    </row>
    <row r="223" spans="14:24" ht="15.75" thickBot="1">
      <c r="N223" s="83"/>
      <c r="O223" s="325" t="s">
        <v>467</v>
      </c>
      <c r="P223" s="324"/>
      <c r="Q223" s="324"/>
      <c r="R223" s="324"/>
      <c r="S223" s="324"/>
      <c r="T223" s="324"/>
      <c r="U223" s="324"/>
      <c r="V223" s="324"/>
      <c r="W223" s="324"/>
      <c r="X223" s="324"/>
    </row>
    <row r="224" spans="14:24" ht="15.75" thickBot="1">
      <c r="N224" s="83"/>
      <c r="O224" s="325" t="s">
        <v>466</v>
      </c>
      <c r="P224" s="324"/>
      <c r="Q224" s="324"/>
      <c r="R224" s="324"/>
      <c r="S224" s="324"/>
      <c r="T224" s="324"/>
      <c r="U224" s="324"/>
      <c r="V224" s="324"/>
      <c r="W224" s="324"/>
      <c r="X224" s="324"/>
    </row>
    <row r="225" spans="14:24" ht="15.75" thickBot="1">
      <c r="N225" s="83"/>
      <c r="O225" s="325" t="s">
        <v>465</v>
      </c>
      <c r="P225" s="324"/>
      <c r="Q225" s="324"/>
      <c r="R225" s="324"/>
      <c r="S225" s="324"/>
      <c r="T225" s="324"/>
      <c r="U225" s="324"/>
      <c r="V225" s="324"/>
      <c r="W225" s="324"/>
      <c r="X225" s="324"/>
    </row>
    <row r="226" spans="14:24" ht="15.75" thickBot="1">
      <c r="N226" s="83" t="s">
        <v>1064</v>
      </c>
      <c r="O226" s="325" t="s">
        <v>464</v>
      </c>
      <c r="P226" s="324"/>
      <c r="Q226" s="324"/>
      <c r="R226" s="324"/>
      <c r="S226" s="324"/>
      <c r="T226" s="324"/>
      <c r="U226" s="324"/>
      <c r="V226" s="324"/>
      <c r="W226" s="324"/>
      <c r="X226" s="324"/>
    </row>
    <row r="227" spans="14:24" ht="15.75" thickBot="1">
      <c r="N227" s="499"/>
      <c r="O227" s="325" t="s">
        <v>463</v>
      </c>
      <c r="P227" s="324"/>
      <c r="Q227" s="324"/>
      <c r="R227" s="324"/>
      <c r="S227" s="324"/>
      <c r="T227" s="324"/>
      <c r="U227" s="324"/>
      <c r="V227" s="324"/>
      <c r="W227" s="324"/>
      <c r="X227" s="324"/>
    </row>
    <row r="228" spans="14:24" ht="15.75" thickBot="1">
      <c r="N228" s="499"/>
      <c r="O228" s="325" t="s">
        <v>462</v>
      </c>
      <c r="P228" s="324"/>
      <c r="Q228" s="324"/>
      <c r="R228" s="324"/>
      <c r="S228" s="324"/>
      <c r="T228" s="324"/>
      <c r="U228" s="324"/>
      <c r="V228" s="324"/>
      <c r="W228" s="324"/>
      <c r="X228" s="324"/>
    </row>
    <row r="229" spans="14:24" ht="15.75" thickBot="1">
      <c r="N229" s="499"/>
      <c r="O229" s="325" t="s">
        <v>461</v>
      </c>
      <c r="P229" s="324"/>
      <c r="Q229" s="324"/>
      <c r="R229" s="324"/>
      <c r="S229" s="324"/>
      <c r="T229" s="324"/>
      <c r="U229" s="324"/>
      <c r="V229" s="324"/>
      <c r="W229" s="324"/>
      <c r="X229" s="324"/>
    </row>
    <row r="230" spans="14:24" ht="15.75" thickBot="1">
      <c r="N230" s="499"/>
      <c r="O230" s="325" t="s">
        <v>460</v>
      </c>
      <c r="P230" s="324"/>
      <c r="Q230" s="324"/>
      <c r="R230" s="324"/>
      <c r="S230" s="324"/>
      <c r="T230" s="324"/>
      <c r="U230" s="324"/>
      <c r="V230" s="324"/>
      <c r="W230" s="324"/>
      <c r="X230" s="324"/>
    </row>
    <row r="231" spans="14:24" ht="15.75" thickBot="1">
      <c r="N231" s="499"/>
      <c r="O231" s="325" t="s">
        <v>459</v>
      </c>
      <c r="P231" s="324"/>
      <c r="Q231" s="324"/>
      <c r="R231" s="324"/>
      <c r="S231" s="324"/>
      <c r="T231" s="324"/>
      <c r="U231" s="324"/>
      <c r="V231" s="324"/>
      <c r="W231" s="324"/>
      <c r="X231" s="324"/>
    </row>
    <row r="232" spans="14:24" ht="15.75" thickBot="1">
      <c r="N232" s="499"/>
      <c r="O232" s="325" t="s">
        <v>458</v>
      </c>
      <c r="P232" s="324"/>
      <c r="Q232" s="324"/>
      <c r="R232" s="324"/>
      <c r="S232" s="324"/>
      <c r="T232" s="324"/>
      <c r="U232" s="324"/>
      <c r="V232" s="324"/>
      <c r="W232" s="324"/>
      <c r="X232" s="324"/>
    </row>
    <row r="233" spans="14:24" ht="15.75" thickBot="1">
      <c r="N233" s="499"/>
      <c r="O233" s="325" t="s">
        <v>457</v>
      </c>
      <c r="P233" s="324"/>
      <c r="Q233" s="324"/>
      <c r="R233" s="324"/>
      <c r="S233" s="324"/>
      <c r="T233" s="324"/>
      <c r="U233" s="324"/>
      <c r="V233" s="324"/>
      <c r="W233" s="324"/>
      <c r="X233" s="324"/>
    </row>
    <row r="234" spans="14:24" ht="15.75" thickBot="1">
      <c r="N234" s="499"/>
      <c r="O234" s="325" t="s">
        <v>456</v>
      </c>
      <c r="P234" s="324"/>
      <c r="Q234" s="324"/>
      <c r="R234" s="324"/>
      <c r="S234" s="324"/>
      <c r="T234" s="324"/>
      <c r="U234" s="324"/>
      <c r="V234" s="324"/>
      <c r="W234" s="324"/>
      <c r="X234" s="324"/>
    </row>
    <row r="235" spans="14:24" ht="15">
      <c r="N235" s="323"/>
      <c r="O235" s="322"/>
      <c r="P235" s="322"/>
      <c r="Q235" s="322"/>
      <c r="R235" s="322"/>
      <c r="S235" s="322"/>
      <c r="T235" s="322"/>
      <c r="U235" s="322"/>
      <c r="V235" s="322"/>
      <c r="W235" s="322"/>
      <c r="X235" s="322"/>
    </row>
  </sheetData>
  <mergeCells count="25">
    <mergeCell ref="B12:C12"/>
    <mergeCell ref="B9:C9"/>
    <mergeCell ref="D9:E9"/>
    <mergeCell ref="B10:C10"/>
    <mergeCell ref="D10:E10"/>
    <mergeCell ref="B11:C11"/>
    <mergeCell ref="B24:C24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47:E47"/>
    <mergeCell ref="B25:C25"/>
    <mergeCell ref="B26:C26"/>
    <mergeCell ref="B27:C27"/>
    <mergeCell ref="B29:E29"/>
    <mergeCell ref="C44:D44"/>
    <mergeCell ref="C45:D45"/>
  </mergeCells>
  <hyperlinks>
    <hyperlink ref="Q105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67"/>
  <sheetViews>
    <sheetView workbookViewId="0">
      <selection activeCell="N34" sqref="N34"/>
    </sheetView>
  </sheetViews>
  <sheetFormatPr defaultRowHeight="12.75"/>
  <sheetData>
    <row r="1" spans="1:26" ht="15">
      <c r="A1" s="253"/>
      <c r="B1" s="246" t="s">
        <v>322</v>
      </c>
      <c r="C1" s="246" t="s">
        <v>323</v>
      </c>
      <c r="D1" s="246" t="s">
        <v>324</v>
      </c>
      <c r="E1" s="246" t="s">
        <v>325</v>
      </c>
      <c r="F1" s="246" t="s">
        <v>326</v>
      </c>
      <c r="G1" s="246" t="s">
        <v>327</v>
      </c>
      <c r="H1" s="246" t="s">
        <v>328</v>
      </c>
      <c r="I1" s="246" t="s">
        <v>329</v>
      </c>
      <c r="J1" s="246" t="s">
        <v>330</v>
      </c>
      <c r="K1" s="246" t="s">
        <v>331</v>
      </c>
      <c r="L1" s="246" t="s">
        <v>332</v>
      </c>
      <c r="M1" s="87"/>
      <c r="N1" s="87"/>
      <c r="O1" s="87"/>
      <c r="P1" s="246" t="s">
        <v>322</v>
      </c>
      <c r="Q1" s="246" t="s">
        <v>323</v>
      </c>
      <c r="R1" s="246" t="s">
        <v>324</v>
      </c>
      <c r="S1" s="246" t="s">
        <v>325</v>
      </c>
      <c r="T1" s="246" t="s">
        <v>326</v>
      </c>
      <c r="U1" s="246" t="s">
        <v>327</v>
      </c>
      <c r="V1" s="246" t="s">
        <v>328</v>
      </c>
      <c r="W1" s="246" t="s">
        <v>329</v>
      </c>
      <c r="X1" s="246" t="s">
        <v>330</v>
      </c>
      <c r="Y1" s="246" t="s">
        <v>331</v>
      </c>
      <c r="Z1" s="246" t="s">
        <v>332</v>
      </c>
    </row>
    <row r="2" spans="1:26" ht="15">
      <c r="A2" s="247">
        <f>C2+(D2*Sheet3!$AG$9)+(E2*Sheet3!$AG$10)+(F2*Sheet3!$AG$9*Sheet3!$AG$9)+(G2*Sheet3!$AG$9*Sheet3!$AG$10)+(H2*Sheet3!$AG$10*Sheet3!$AG$10)+(I2*Sheet3!$AG$9*Sheet3!$AG$9*Sheet3!$AG$9)+(J2*Sheet3!$AG$10*Sheet3!$AG$9*Sheet3!$AG$9)+(K2*Sheet3!$AG$9*Sheet3!$AG$10*Sheet3!$AG$10)+(L2*Sheet3!$AG$10*Sheet3!$AG$10*Sheet3!$AG$10)</f>
        <v>23.683559232021878</v>
      </c>
      <c r="B2" s="249" t="s">
        <v>336</v>
      </c>
      <c r="C2" s="248">
        <v>25.988199999999999</v>
      </c>
      <c r="D2" s="248">
        <v>1.116716</v>
      </c>
      <c r="E2" s="248">
        <v>1.2310730000000001E-2</v>
      </c>
      <c r="F2" s="248">
        <v>1.948215E-2</v>
      </c>
      <c r="G2" s="248">
        <v>-4.5448470000000003E-3</v>
      </c>
      <c r="H2" s="248">
        <v>-5.3335279999999997E-3</v>
      </c>
      <c r="I2" s="248">
        <v>1.4311409999999999E-4</v>
      </c>
      <c r="J2" s="248">
        <v>-1.5206510000000001E-4</v>
      </c>
      <c r="K2" s="248">
        <v>-4.4197599999999998E-5</v>
      </c>
      <c r="L2" s="248">
        <v>2.9533360000000001E-5</v>
      </c>
      <c r="O2" s="247">
        <f>Q2+(R2*Sheet3!$AG$9)+(S2*Sheet3!$AG$10)+(T2*Sheet3!$AG$9*Sheet3!$AG$9)+(U2*Sheet3!$AG$9*Sheet3!$AG$10)+(V2*Sheet3!$AG$10*Sheet3!$AG$10)+(W2*Sheet3!$AG$9*Sheet3!$AG$9*Sheet3!$AG$9)+(X2*Sheet3!$AG$10*Sheet3!$AG$9*Sheet3!$AG$9)+(Y2*Sheet3!$AG$9*Sheet3!$AG$10*Sheet3!$AG$10)+(Z2*Sheet3!$AG$10*Sheet3!$AG$10*Sheet3!$AG$10)</f>
        <v>18.446765735777468</v>
      </c>
      <c r="P2" s="249" t="s">
        <v>336</v>
      </c>
      <c r="Q2" s="248">
        <v>11.2317</v>
      </c>
      <c r="R2" s="248">
        <v>0.25874750000000002</v>
      </c>
      <c r="S2" s="248">
        <v>0.16679820000000001</v>
      </c>
      <c r="T2" s="248">
        <v>5.0226610000000003E-3</v>
      </c>
      <c r="U2" s="248">
        <v>-2.4037170000000001E-3</v>
      </c>
      <c r="V2" s="248">
        <v>-1.815664E-3</v>
      </c>
      <c r="W2" s="248">
        <v>5.5021529999999997E-5</v>
      </c>
      <c r="X2" s="248">
        <v>-6.5618989999999996E-5</v>
      </c>
      <c r="Y2" s="248">
        <v>1.9330160000000001E-5</v>
      </c>
      <c r="Z2" s="248">
        <v>4.8037020000000002E-5</v>
      </c>
    </row>
    <row r="3" spans="1:26" ht="15">
      <c r="A3" s="247">
        <f>C3+(D3*Sheet3!$AG$9)+(E3*Sheet3!$AG$10)+(F3*Sheet3!$AG$9*Sheet3!$AG$9)+(G3*Sheet3!$AG$9*Sheet3!$AG$10)+(H3*Sheet3!$AG$10*Sheet3!$AG$10)+(I3*Sheet3!$AG$9*Sheet3!$AG$9*Sheet3!$AG$9)+(J3*Sheet3!$AG$10*Sheet3!$AG$9*Sheet3!$AG$9)+(K3*Sheet3!$AG$9*Sheet3!$AG$10*Sheet3!$AG$10)+(L3*Sheet3!$AG$10*Sheet3!$AG$10*Sheet3!$AG$10)</f>
        <v>27.372268053950883</v>
      </c>
      <c r="B3" s="249" t="s">
        <v>337</v>
      </c>
      <c r="C3" s="248">
        <v>30.03586</v>
      </c>
      <c r="D3" s="248">
        <v>1.2906439999999999</v>
      </c>
      <c r="E3" s="248">
        <v>1.422813E-2</v>
      </c>
      <c r="F3" s="248">
        <v>2.251649E-2</v>
      </c>
      <c r="G3" s="248">
        <v>-5.2527069999999997E-3</v>
      </c>
      <c r="H3" s="248">
        <v>-6.1642260000000001E-3</v>
      </c>
      <c r="I3" s="248">
        <v>1.654042E-4</v>
      </c>
      <c r="J3" s="248">
        <v>-1.7574929999999999E-4</v>
      </c>
      <c r="K3" s="248">
        <v>-5.108137E-5</v>
      </c>
      <c r="L3" s="248">
        <v>3.4133179999999999E-5</v>
      </c>
      <c r="O3" s="247">
        <f>Q3+(R3*Sheet3!$AG$9)+(S3*Sheet3!$AG$10)+(T3*Sheet3!$AG$9*Sheet3!$AG$9)+(U3*Sheet3!$AG$9*Sheet3!$AG$10)+(V3*Sheet3!$AG$10*Sheet3!$AG$10)+(W3*Sheet3!$AG$9*Sheet3!$AG$9*Sheet3!$AG$9)+(X3*Sheet3!$AG$10*Sheet3!$AG$9*Sheet3!$AG$9)+(Y3*Sheet3!$AG$9*Sheet3!$AG$10*Sheet3!$AG$10)+(Z3*Sheet3!$AG$10*Sheet3!$AG$10*Sheet3!$AG$10)</f>
        <v>21.318244741532197</v>
      </c>
      <c r="P3" s="249" t="s">
        <v>337</v>
      </c>
      <c r="Q3" s="248">
        <v>12.98006</v>
      </c>
      <c r="R3" s="248">
        <v>0.29902499999999999</v>
      </c>
      <c r="S3" s="248">
        <v>0.1927625</v>
      </c>
      <c r="T3" s="248">
        <v>5.8045049999999997E-3</v>
      </c>
      <c r="U3" s="248">
        <v>-2.7778880000000001E-3</v>
      </c>
      <c r="V3" s="248">
        <v>-2.0982959999999999E-3</v>
      </c>
      <c r="W3" s="248">
        <v>6.3586359999999995E-5</v>
      </c>
      <c r="X3" s="248">
        <v>-7.5833449999999995E-5</v>
      </c>
      <c r="Y3" s="248">
        <v>2.2339159999999998E-5</v>
      </c>
      <c r="Z3" s="248">
        <v>5.551462E-5</v>
      </c>
    </row>
    <row r="4" spans="1:26" ht="15">
      <c r="A4" s="247">
        <f>C4+(D4*Sheet3!$AG$9)+(E4*Sheet3!$AG$10)+(F4*Sheet3!$AG$9*Sheet3!$AG$9)+(G4*Sheet3!$AG$9*Sheet3!$AG$10)+(H4*Sheet3!$AG$10*Sheet3!$AG$10)+(I4*Sheet3!$AG$9*Sheet3!$AG$9*Sheet3!$AG$9)+(J4*Sheet3!$AG$10*Sheet3!$AG$9*Sheet3!$AG$9)+(K4*Sheet3!$AG$9*Sheet3!$AG$10*Sheet3!$AG$10)+(L4*Sheet3!$AG$10*Sheet3!$AG$10*Sheet3!$AG$10)</f>
        <v>31.406896652864514</v>
      </c>
      <c r="B4" s="249" t="s">
        <v>338</v>
      </c>
      <c r="C4" s="248">
        <v>38.904690000000002</v>
      </c>
      <c r="D4" s="248">
        <v>1.5857460000000001</v>
      </c>
      <c r="E4" s="248">
        <v>-0.26438159999999999</v>
      </c>
      <c r="F4" s="248">
        <v>2.805129E-2</v>
      </c>
      <c r="G4" s="248">
        <v>-1.06614E-2</v>
      </c>
      <c r="H4" s="248">
        <v>-1.5643569999999999E-3</v>
      </c>
      <c r="I4" s="248">
        <v>2.6660710000000001E-4</v>
      </c>
      <c r="J4" s="248">
        <v>-1.844801E-4</v>
      </c>
      <c r="K4" s="248">
        <v>-1.540462E-5</v>
      </c>
      <c r="L4" s="248">
        <v>7.4941939999999996E-6</v>
      </c>
      <c r="O4" s="247">
        <f>Q4+(R4*Sheet3!$AG$9)+(S4*Sheet3!$AG$10)+(T4*Sheet3!$AG$9*Sheet3!$AG$9)+(U4*Sheet3!$AG$9*Sheet3!$AG$10)+(V4*Sheet3!$AG$10*Sheet3!$AG$10)+(W4*Sheet3!$AG$9*Sheet3!$AG$9*Sheet3!$AG$9)+(X4*Sheet3!$AG$10*Sheet3!$AG$9*Sheet3!$AG$9)+(Y4*Sheet3!$AG$9*Sheet3!$AG$10*Sheet3!$AG$10)+(Z4*Sheet3!$AG$10*Sheet3!$AG$10*Sheet3!$AG$10)</f>
        <v>23.685653072341854</v>
      </c>
      <c r="P4" s="249" t="s">
        <v>338</v>
      </c>
      <c r="Q4" s="248">
        <v>19.641290000000001</v>
      </c>
      <c r="R4" s="248">
        <v>0.63252350000000002</v>
      </c>
      <c r="S4" s="248">
        <v>-0.16958239999999999</v>
      </c>
      <c r="T4" s="248">
        <v>1.334685E-2</v>
      </c>
      <c r="U4" s="248">
        <v>-1.514073E-2</v>
      </c>
      <c r="V4" s="248">
        <v>6.4590799999999999E-3</v>
      </c>
      <c r="W4" s="248">
        <v>1.4601659999999999E-4</v>
      </c>
      <c r="X4" s="248">
        <v>-1.87679E-4</v>
      </c>
      <c r="Y4" s="248">
        <v>1.5081839999999999E-4</v>
      </c>
      <c r="Z4" s="248">
        <v>-1.4573659999999999E-6</v>
      </c>
    </row>
    <row r="5" spans="1:26" ht="15">
      <c r="A5" s="247">
        <f>C5+(D5*Sheet3!$AG$9)+(E5*Sheet3!$AG$10)+(F5*Sheet3!$AG$9*Sheet3!$AG$9)+(G5*Sheet3!$AG$9*Sheet3!$AG$10)+(H5*Sheet3!$AG$10*Sheet3!$AG$10)+(I5*Sheet3!$AG$9*Sheet3!$AG$9*Sheet3!$AG$9)+(J5*Sheet3!$AG$10*Sheet3!$AG$9*Sheet3!$AG$9)+(K5*Sheet3!$AG$9*Sheet3!$AG$10*Sheet3!$AG$10)+(L5*Sheet3!$AG$10*Sheet3!$AG$10*Sheet3!$AG$10)</f>
        <v>31.406896652864514</v>
      </c>
      <c r="B5" s="249" t="s">
        <v>339</v>
      </c>
      <c r="C5" s="248">
        <v>38.904690000000002</v>
      </c>
      <c r="D5" s="248">
        <v>1.5857460000000001</v>
      </c>
      <c r="E5" s="248">
        <v>-0.26438159999999999</v>
      </c>
      <c r="F5" s="248">
        <v>2.805129E-2</v>
      </c>
      <c r="G5" s="248">
        <v>-1.06614E-2</v>
      </c>
      <c r="H5" s="248">
        <v>-1.5643569999999999E-3</v>
      </c>
      <c r="I5" s="248">
        <v>2.6660710000000001E-4</v>
      </c>
      <c r="J5" s="248">
        <v>-1.844801E-4</v>
      </c>
      <c r="K5" s="248">
        <v>-1.540462E-5</v>
      </c>
      <c r="L5" s="248">
        <v>7.4941939999999996E-6</v>
      </c>
      <c r="O5" s="247">
        <f>Q5+(R5*Sheet3!$AG$9)+(S5*Sheet3!$AG$10)+(T5*Sheet3!$AG$9*Sheet3!$AG$9)+(U5*Sheet3!$AG$9*Sheet3!$AG$10)+(V5*Sheet3!$AG$10*Sheet3!$AG$10)+(W5*Sheet3!$AG$9*Sheet3!$AG$9*Sheet3!$AG$9)+(X5*Sheet3!$AG$10*Sheet3!$AG$9*Sheet3!$AG$9)+(Y5*Sheet3!$AG$9*Sheet3!$AG$10*Sheet3!$AG$10)+(Z5*Sheet3!$AG$10*Sheet3!$AG$10*Sheet3!$AG$10)</f>
        <v>23.685653072341854</v>
      </c>
      <c r="P5" s="249" t="s">
        <v>339</v>
      </c>
      <c r="Q5" s="248">
        <v>19.641290000000001</v>
      </c>
      <c r="R5" s="248">
        <v>0.63252350000000002</v>
      </c>
      <c r="S5" s="248">
        <v>-0.16958239999999999</v>
      </c>
      <c r="T5" s="248">
        <v>1.334685E-2</v>
      </c>
      <c r="U5" s="248">
        <v>-1.514073E-2</v>
      </c>
      <c r="V5" s="248">
        <v>6.4590799999999999E-3</v>
      </c>
      <c r="W5" s="248">
        <v>1.4601659999999999E-4</v>
      </c>
      <c r="X5" s="248">
        <v>-1.87679E-4</v>
      </c>
      <c r="Y5" s="248">
        <v>1.5081839999999999E-4</v>
      </c>
      <c r="Z5" s="248">
        <v>-1.4573659999999999E-6</v>
      </c>
    </row>
    <row r="6" spans="1:26" ht="15">
      <c r="A6" s="247">
        <f>C6+(D6*Sheet3!$AG$9)+(E6*Sheet3!$AG$10)+(F6*Sheet3!$AG$9*Sheet3!$AG$9)+(G6*Sheet3!$AG$9*Sheet3!$AG$10)+(H6*Sheet3!$AG$10*Sheet3!$AG$10)+(I6*Sheet3!$AG$9*Sheet3!$AG$9*Sheet3!$AG$9)+(J6*Sheet3!$AG$10*Sheet3!$AG$9*Sheet3!$AG$9)+(K6*Sheet3!$AG$9*Sheet3!$AG$10*Sheet3!$AG$10)+(L6*Sheet3!$AG$10*Sheet3!$AG$10*Sheet3!$AG$10)</f>
        <v>40.608371818164336</v>
      </c>
      <c r="B6" s="249" t="s">
        <v>340</v>
      </c>
      <c r="C6" s="248">
        <v>50.071370000000002</v>
      </c>
      <c r="D6" s="248">
        <v>1.915097</v>
      </c>
      <c r="E6" s="248">
        <v>-0.2970855</v>
      </c>
      <c r="F6" s="248">
        <v>3.353602E-2</v>
      </c>
      <c r="G6" s="248">
        <v>-5.9334219999999998E-3</v>
      </c>
      <c r="H6" s="248">
        <v>-3.5539669999999999E-3</v>
      </c>
      <c r="I6" s="248">
        <v>3.42453E-4</v>
      </c>
      <c r="J6" s="248">
        <v>-1.073472E-4</v>
      </c>
      <c r="K6" s="248">
        <v>-1.17773E-4</v>
      </c>
      <c r="L6" s="248">
        <v>2.1336269999999999E-5</v>
      </c>
      <c r="O6" s="247">
        <f>Q6+(R6*Sheet3!$AG$9)+(S6*Sheet3!$AG$10)+(T6*Sheet3!$AG$9*Sheet3!$AG$9)+(U6*Sheet3!$AG$9*Sheet3!$AG$10)+(V6*Sheet3!$AG$10*Sheet3!$AG$10)+(W6*Sheet3!$AG$9*Sheet3!$AG$9*Sheet3!$AG$9)+(X6*Sheet3!$AG$10*Sheet3!$AG$9*Sheet3!$AG$9)+(Y6*Sheet3!$AG$9*Sheet3!$AG$10*Sheet3!$AG$10)+(Z6*Sheet3!$AG$10*Sheet3!$AG$10*Sheet3!$AG$10)</f>
        <v>30.71241964065727</v>
      </c>
      <c r="P6" s="249" t="s">
        <v>340</v>
      </c>
      <c r="Q6" s="248">
        <v>22.44115</v>
      </c>
      <c r="R6" s="248">
        <v>0.84908289999999997</v>
      </c>
      <c r="S6" s="248">
        <v>5.7404860000000004E-3</v>
      </c>
      <c r="T6" s="248">
        <v>2.0197099999999999E-2</v>
      </c>
      <c r="U6" s="248">
        <v>-1.9371409999999999E-2</v>
      </c>
      <c r="V6" s="248">
        <v>3.1464850000000001E-3</v>
      </c>
      <c r="W6" s="248">
        <v>1.4104109999999999E-4</v>
      </c>
      <c r="X6" s="248">
        <v>-3.2799100000000002E-4</v>
      </c>
      <c r="Y6" s="248">
        <v>1.808403E-4</v>
      </c>
      <c r="Z6" s="248">
        <v>3.3745519999999999E-5</v>
      </c>
    </row>
    <row r="7" spans="1:26" ht="15">
      <c r="A7" s="247">
        <f>C7+(D7*Sheet3!$AG$9)+(E7*Sheet3!$AG$10)+(F7*Sheet3!$AG$9*Sheet3!$AG$9)+(G7*Sheet3!$AG$9*Sheet3!$AG$10)+(H7*Sheet3!$AG$10*Sheet3!$AG$10)+(I7*Sheet3!$AG$9*Sheet3!$AG$9*Sheet3!$AG$9)+(J7*Sheet3!$AG$10*Sheet3!$AG$9*Sheet3!$AG$9)+(K7*Sheet3!$AG$9*Sheet3!$AG$10*Sheet3!$AG$10)+(L7*Sheet3!$AG$10*Sheet3!$AG$10*Sheet3!$AG$10)</f>
        <v>44.191461903209586</v>
      </c>
      <c r="B7" s="249" t="s">
        <v>341</v>
      </c>
      <c r="C7" s="248">
        <v>54.489429999999999</v>
      </c>
      <c r="D7" s="248">
        <v>2.084076</v>
      </c>
      <c r="E7" s="248">
        <v>-0.3232989</v>
      </c>
      <c r="F7" s="248">
        <v>3.6495079999999999E-2</v>
      </c>
      <c r="G7" s="248">
        <v>-6.456959E-3</v>
      </c>
      <c r="H7" s="248">
        <v>-3.8675519999999998E-3</v>
      </c>
      <c r="I7" s="248">
        <v>3.7266939999999998E-4</v>
      </c>
      <c r="J7" s="248">
        <v>-1.1681899999999999E-4</v>
      </c>
      <c r="K7" s="248">
        <v>-1.281648E-4</v>
      </c>
      <c r="L7" s="248">
        <v>2.3218880000000001E-5</v>
      </c>
      <c r="O7" s="247">
        <f>Q7+(R7*Sheet3!$AG$9)+(S7*Sheet3!$AG$10)+(T7*Sheet3!$AG$9*Sheet3!$AG$9)+(U7*Sheet3!$AG$9*Sheet3!$AG$10)+(V7*Sheet3!$AG$10*Sheet3!$AG$10)+(W7*Sheet3!$AG$9*Sheet3!$AG$9*Sheet3!$AG$9)+(X7*Sheet3!$AG$10*Sheet3!$AG$9*Sheet3!$AG$9)+(Y7*Sheet3!$AG$9*Sheet3!$AG$10*Sheet3!$AG$10)+(Z7*Sheet3!$AG$10*Sheet3!$AG$10*Sheet3!$AG$10)</f>
        <v>33.422337523638198</v>
      </c>
      <c r="P7" s="249" t="s">
        <v>341</v>
      </c>
      <c r="Q7" s="248">
        <v>24.421250000000001</v>
      </c>
      <c r="R7" s="248">
        <v>0.92400199999999999</v>
      </c>
      <c r="S7" s="248">
        <v>6.2469999999999999E-3</v>
      </c>
      <c r="T7" s="248">
        <v>2.1979189999999999E-2</v>
      </c>
      <c r="U7" s="248">
        <v>-2.1080649999999999E-2</v>
      </c>
      <c r="V7" s="248">
        <v>3.4241160000000001E-3</v>
      </c>
      <c r="W7" s="248">
        <v>1.5348590000000001E-4</v>
      </c>
      <c r="X7" s="248">
        <v>-3.569313E-4</v>
      </c>
      <c r="Y7" s="248">
        <v>1.9679680000000001E-4</v>
      </c>
      <c r="Z7" s="248">
        <v>3.6723059999999998E-5</v>
      </c>
    </row>
    <row r="8" spans="1:26" ht="15">
      <c r="A8" s="247">
        <f>C8+(D8*Sheet3!$AG$9)+(E8*Sheet3!$AG$10)+(F8*Sheet3!$AG$9*Sheet3!$AG$9)+(G8*Sheet3!$AG$9*Sheet3!$AG$10)+(H8*Sheet3!$AG$10*Sheet3!$AG$10)+(I8*Sheet3!$AG$9*Sheet3!$AG$9*Sheet3!$AG$9)+(J8*Sheet3!$AG$10*Sheet3!$AG$9*Sheet3!$AG$9)+(K8*Sheet3!$AG$9*Sheet3!$AG$10*Sheet3!$AG$10)+(L8*Sheet3!$AG$10*Sheet3!$AG$10*Sheet3!$AG$10)</f>
        <v>48.811191579144229</v>
      </c>
      <c r="B8" s="249" t="s">
        <v>342</v>
      </c>
      <c r="C8" s="248">
        <v>42.482309999999998</v>
      </c>
      <c r="D8" s="248">
        <v>1.7744340000000001</v>
      </c>
      <c r="E8" s="248">
        <v>0.81611639999999996</v>
      </c>
      <c r="F8" s="248">
        <v>1.9803919999999999E-2</v>
      </c>
      <c r="G8" s="248">
        <v>1.304291E-2</v>
      </c>
      <c r="H8" s="248">
        <v>-2.8979390000000001E-2</v>
      </c>
      <c r="I8" s="248">
        <v>4.0779260000000002E-5</v>
      </c>
      <c r="J8" s="248">
        <v>1.194697E-4</v>
      </c>
      <c r="K8" s="248">
        <v>-3.1588789999999997E-4</v>
      </c>
      <c r="L8" s="248">
        <v>1.8967119999999999E-4</v>
      </c>
      <c r="O8" s="247">
        <f>Q8+(R8*Sheet3!$AG$9)+(S8*Sheet3!$AG$10)+(T8*Sheet3!$AG$9*Sheet3!$AG$9)+(U8*Sheet3!$AG$9*Sheet3!$AG$10)+(V8*Sheet3!$AG$10*Sheet3!$AG$10)+(W8*Sheet3!$AG$9*Sheet3!$AG$9*Sheet3!$AG$9)+(X8*Sheet3!$AG$10*Sheet3!$AG$9*Sheet3!$AG$9)+(Y8*Sheet3!$AG$9*Sheet3!$AG$10*Sheet3!$AG$10)+(Z8*Sheet3!$AG$10*Sheet3!$AG$10*Sheet3!$AG$10)</f>
        <v>36.207729867870228</v>
      </c>
      <c r="P8" s="249" t="s">
        <v>342</v>
      </c>
      <c r="Q8" s="248">
        <v>27.636939999999999</v>
      </c>
      <c r="R8" s="248">
        <v>0.54362359999999998</v>
      </c>
      <c r="S8" s="248">
        <v>-0.1207179</v>
      </c>
      <c r="T8" s="248">
        <v>1.27122E-2</v>
      </c>
      <c r="U8" s="248">
        <v>-8.7074709999999996E-3</v>
      </c>
      <c r="V8" s="248">
        <v>7.4411240000000003E-3</v>
      </c>
      <c r="W8" s="248">
        <v>1.7725959999999999E-4</v>
      </c>
      <c r="X8" s="248">
        <v>-1.6108879999999999E-4</v>
      </c>
      <c r="Y8" s="248">
        <v>9.4289639999999995E-5</v>
      </c>
      <c r="Z8" s="248">
        <v>1.460609E-5</v>
      </c>
    </row>
    <row r="9" spans="1:26" ht="15">
      <c r="A9" s="247">
        <f>C9+(D9*Sheet3!$AG$9)+(E9*Sheet3!$AG$10)+(F9*Sheet3!$AG$9*Sheet3!$AG$9)+(G9*Sheet3!$AG$9*Sheet3!$AG$10)+(H9*Sheet3!$AG$10*Sheet3!$AG$10)+(I9*Sheet3!$AG$9*Sheet3!$AG$9*Sheet3!$AG$9)+(J9*Sheet3!$AG$10*Sheet3!$AG$9*Sheet3!$AG$9)+(K9*Sheet3!$AG$9*Sheet3!$AG$10*Sheet3!$AG$10)+(L9*Sheet3!$AG$10*Sheet3!$AG$10*Sheet3!$AG$10)</f>
        <v>57.21302302901168</v>
      </c>
      <c r="B9" s="249" t="s">
        <v>343</v>
      </c>
      <c r="C9" s="248">
        <v>46.717930000000003</v>
      </c>
      <c r="D9" s="248">
        <v>2.135116</v>
      </c>
      <c r="E9" s="248">
        <v>1.091928</v>
      </c>
      <c r="F9" s="248">
        <v>2.7008850000000001E-2</v>
      </c>
      <c r="G9" s="248">
        <v>1.1154580000000001E-2</v>
      </c>
      <c r="H9" s="248">
        <v>-3.5179719999999998E-2</v>
      </c>
      <c r="I9" s="248">
        <v>5.2570069999999998E-5</v>
      </c>
      <c r="J9" s="248">
        <v>2.5848680000000001E-5</v>
      </c>
      <c r="K9" s="248">
        <v>-3.1386959999999997E-4</v>
      </c>
      <c r="L9" s="248">
        <v>2.1788769999999999E-4</v>
      </c>
      <c r="O9" s="247">
        <f>Q9+(R9*Sheet3!$AG$9)+(S9*Sheet3!$AG$10)+(T9*Sheet3!$AG$9*Sheet3!$AG$9)+(U9*Sheet3!$AG$9*Sheet3!$AG$10)+(V9*Sheet3!$AG$10*Sheet3!$AG$10)+(W9*Sheet3!$AG$9*Sheet3!$AG$9*Sheet3!$AG$9)+(X9*Sheet3!$AG$10*Sheet3!$AG$9*Sheet3!$AG$9)+(Y9*Sheet3!$AG$9*Sheet3!$AG$10*Sheet3!$AG$10)+(Z9*Sheet3!$AG$10*Sheet3!$AG$10*Sheet3!$AG$10)</f>
        <v>43.521469032649009</v>
      </c>
      <c r="P9" s="249" t="s">
        <v>343</v>
      </c>
      <c r="Q9" s="248">
        <v>27.164750000000002</v>
      </c>
      <c r="R9" s="248">
        <v>1.029906</v>
      </c>
      <c r="S9" s="248">
        <v>0.32480409999999998</v>
      </c>
      <c r="T9" s="248">
        <v>1.7713889999999999E-2</v>
      </c>
      <c r="U9" s="248">
        <v>-2.2656800000000001E-2</v>
      </c>
      <c r="V9" s="248">
        <v>-2.1830790000000001E-3</v>
      </c>
      <c r="W9" s="248">
        <v>1.140075E-4</v>
      </c>
      <c r="X9" s="248">
        <v>-2.6034650000000001E-4</v>
      </c>
      <c r="Y9" s="248">
        <v>2.3090630000000001E-4</v>
      </c>
      <c r="Z9" s="248">
        <v>9.0438459999999995E-5</v>
      </c>
    </row>
    <row r="10" spans="1:26" ht="15">
      <c r="A10" s="247">
        <f>C10+(D10*Sheet3!$AG$9)+(E10*Sheet3!$AG$10)+(F10*Sheet3!$AG$9*Sheet3!$AG$9)+(G10*Sheet3!$AG$9*Sheet3!$AG$10)+(H10*Sheet3!$AG$10*Sheet3!$AG$10)+(I10*Sheet3!$AG$9*Sheet3!$AG$9*Sheet3!$AG$9)+(J10*Sheet3!$AG$10*Sheet3!$AG$9*Sheet3!$AG$9)+(K10*Sheet3!$AG$9*Sheet3!$AG$10*Sheet3!$AG$10)+(L10*Sheet3!$AG$10*Sheet3!$AG$10*Sheet3!$AG$10)</f>
        <v>65.347740657382886</v>
      </c>
      <c r="B10" s="249" t="s">
        <v>344</v>
      </c>
      <c r="C10" s="248">
        <v>71.273660000000007</v>
      </c>
      <c r="D10" s="248">
        <v>2.4683579999999998</v>
      </c>
      <c r="E10" s="248">
        <v>2.8941850000000002E-2</v>
      </c>
      <c r="F10" s="248">
        <v>3.088579E-2</v>
      </c>
      <c r="G10" s="248">
        <v>1.0707360000000001E-2</v>
      </c>
      <c r="H10" s="248">
        <v>-1.3722730000000001E-2</v>
      </c>
      <c r="I10" s="248">
        <v>2.8207750000000001E-5</v>
      </c>
      <c r="J10" s="248">
        <v>-3.2048039999999998E-5</v>
      </c>
      <c r="K10" s="248">
        <v>-3.5242710000000003E-4</v>
      </c>
      <c r="L10" s="248">
        <v>7.278071E-5</v>
      </c>
      <c r="O10" s="247">
        <f>Q10+(R10*Sheet3!$AG$9)+(S10*Sheet3!$AG$10)+(T10*Sheet3!$AG$9*Sheet3!$AG$9)+(U10*Sheet3!$AG$9*Sheet3!$AG$10)+(V10*Sheet3!$AG$10*Sheet3!$AG$10)+(W10*Sheet3!$AG$9*Sheet3!$AG$9*Sheet3!$AG$9)+(X10*Sheet3!$AG$10*Sheet3!$AG$9*Sheet3!$AG$9)+(Y10*Sheet3!$AG$9*Sheet3!$AG$10*Sheet3!$AG$10)+(Z10*Sheet3!$AG$10*Sheet3!$AG$10*Sheet3!$AG$10)</f>
        <v>48.261573974634409</v>
      </c>
      <c r="P10" s="249" t="s">
        <v>344</v>
      </c>
      <c r="Q10" s="248">
        <v>28.961600000000001</v>
      </c>
      <c r="R10" s="248">
        <v>1.0653550000000001</v>
      </c>
      <c r="S10" s="248">
        <v>0.30552820000000003</v>
      </c>
      <c r="T10" s="248">
        <v>2.359723E-2</v>
      </c>
      <c r="U10" s="248">
        <v>-2.3449939999999999E-2</v>
      </c>
      <c r="V10" s="248">
        <v>5.3997129999999998E-4</v>
      </c>
      <c r="W10" s="248">
        <v>2.067727E-4</v>
      </c>
      <c r="X10" s="248">
        <v>-3.3839070000000001E-4</v>
      </c>
      <c r="Y10" s="248">
        <v>2.4826269999999998E-4</v>
      </c>
      <c r="Z10" s="248">
        <v>8.1681340000000003E-5</v>
      </c>
    </row>
    <row r="11" spans="1:26" ht="15">
      <c r="A11" s="247">
        <f>C11+(D11*Sheet3!$AG$9)+(E11*Sheet3!$AG$10)+(F11*Sheet3!$AG$9*Sheet3!$AG$9)+(G11*Sheet3!$AG$9*Sheet3!$AG$10)+(H11*Sheet3!$AG$10*Sheet3!$AG$10)+(I11*Sheet3!$AG$9*Sheet3!$AG$9*Sheet3!$AG$9)+(J11*Sheet3!$AG$10*Sheet3!$AG$9*Sheet3!$AG$9)+(K11*Sheet3!$AG$9*Sheet3!$AG$10*Sheet3!$AG$10)+(L11*Sheet3!$AG$10*Sheet3!$AG$10*Sheet3!$AG$10)</f>
        <v>78.460297574535289</v>
      </c>
      <c r="B11" s="249" t="s">
        <v>345</v>
      </c>
      <c r="C11" s="248">
        <v>86.115430000000003</v>
      </c>
      <c r="D11" s="248">
        <v>3.2448510000000002</v>
      </c>
      <c r="E11" s="248">
        <v>0.1121851</v>
      </c>
      <c r="F11" s="248">
        <v>3.5059460000000001E-2</v>
      </c>
      <c r="G11" s="248">
        <v>-2.217962E-3</v>
      </c>
      <c r="H11" s="248">
        <v>-1.9992579999999999E-2</v>
      </c>
      <c r="I11" s="248">
        <v>2.0906970000000001E-4</v>
      </c>
      <c r="J11" s="248">
        <v>3.2441949999999999E-6</v>
      </c>
      <c r="K11" s="248">
        <v>-2.5054750000000001E-4</v>
      </c>
      <c r="L11" s="248">
        <v>1.197041E-4</v>
      </c>
      <c r="O11" s="247">
        <f>Q11+(R11*Sheet3!$AG$9)+(S11*Sheet3!$AG$10)+(T11*Sheet3!$AG$9*Sheet3!$AG$9)+(U11*Sheet3!$AG$9*Sheet3!$AG$10)+(V11*Sheet3!$AG$10*Sheet3!$AG$10)+(W11*Sheet3!$AG$9*Sheet3!$AG$9*Sheet3!$AG$9)+(X11*Sheet3!$AG$10*Sheet3!$AG$9*Sheet3!$AG$9)+(Y11*Sheet3!$AG$9*Sheet3!$AG$10*Sheet3!$AG$10)+(Z11*Sheet3!$AG$10*Sheet3!$AG$10*Sheet3!$AG$10)</f>
        <v>55.800391378922718</v>
      </c>
      <c r="P11" s="249" t="s">
        <v>345</v>
      </c>
      <c r="Q11" s="248">
        <v>37.165790000000001</v>
      </c>
      <c r="R11" s="248">
        <v>1.0330239999999999</v>
      </c>
      <c r="S11" s="248">
        <v>0.19337989999999999</v>
      </c>
      <c r="T11" s="248">
        <v>2.566949E-2</v>
      </c>
      <c r="U11" s="248">
        <v>-2.0198130000000002E-2</v>
      </c>
      <c r="V11" s="248">
        <v>3.1500949999999999E-3</v>
      </c>
      <c r="W11" s="248">
        <v>4.1126770000000001E-4</v>
      </c>
      <c r="X11" s="248">
        <v>-3.4074780000000002E-4</v>
      </c>
      <c r="Y11" s="248">
        <v>2.108465E-4</v>
      </c>
      <c r="Z11" s="248">
        <v>7.4871209999999996E-5</v>
      </c>
    </row>
    <row r="12" spans="1:26" ht="15">
      <c r="A12" s="247">
        <f>C12+(D12*Sheet3!$AG$9)+(E12*Sheet3!$AG$10)+(F12*Sheet3!$AG$9*Sheet3!$AG$9)+(G12*Sheet3!$AG$9*Sheet3!$AG$10)+(H12*Sheet3!$AG$10*Sheet3!$AG$10)+(I12*Sheet3!$AG$9*Sheet3!$AG$9*Sheet3!$AG$9)+(J12*Sheet3!$AG$10*Sheet3!$AG$9*Sheet3!$AG$9)+(K12*Sheet3!$AG$9*Sheet3!$AG$10*Sheet3!$AG$10)+(L12*Sheet3!$AG$10*Sheet3!$AG$10*Sheet3!$AG$10)</f>
        <v>86.249642078075965</v>
      </c>
      <c r="B12" s="249" t="s">
        <v>346</v>
      </c>
      <c r="C12" s="248">
        <v>94.667280000000005</v>
      </c>
      <c r="D12" s="248">
        <v>3.5670190000000002</v>
      </c>
      <c r="E12" s="248">
        <v>0.12316050000000001</v>
      </c>
      <c r="F12" s="248">
        <v>3.8539629999999998E-2</v>
      </c>
      <c r="G12" s="248">
        <v>-2.4388560000000001E-3</v>
      </c>
      <c r="H12" s="248">
        <v>-2.1973920000000001E-2</v>
      </c>
      <c r="I12" s="248">
        <v>2.2977769999999999E-4</v>
      </c>
      <c r="J12" s="248">
        <v>3.5664459999999999E-6</v>
      </c>
      <c r="K12" s="248">
        <v>-2.7541350000000002E-4</v>
      </c>
      <c r="L12" s="248">
        <v>1.3156229999999999E-4</v>
      </c>
      <c r="O12" s="247">
        <f>Q12+(R12*Sheet3!$AG$9)+(S12*Sheet3!$AG$10)+(T12*Sheet3!$AG$9*Sheet3!$AG$9)+(U12*Sheet3!$AG$9*Sheet3!$AG$10)+(V12*Sheet3!$AG$10*Sheet3!$AG$10)+(W12*Sheet3!$AG$9*Sheet3!$AG$9*Sheet3!$AG$9)+(X12*Sheet3!$AG$10*Sheet3!$AG$9*Sheet3!$AG$9)+(Y12*Sheet3!$AG$9*Sheet3!$AG$10*Sheet3!$AG$10)+(Z12*Sheet3!$AG$10*Sheet3!$AG$10*Sheet3!$AG$10)</f>
        <v>63.180554053164151</v>
      </c>
      <c r="P12" s="249" t="s">
        <v>346</v>
      </c>
      <c r="Q12" s="248">
        <v>42.080599999999997</v>
      </c>
      <c r="R12" s="248">
        <v>1.1697850000000001</v>
      </c>
      <c r="S12" s="248">
        <v>0.21903739999999999</v>
      </c>
      <c r="T12" s="248">
        <v>2.9066560000000002E-2</v>
      </c>
      <c r="U12" s="248">
        <v>-2.2875050000000001E-2</v>
      </c>
      <c r="V12" s="248">
        <v>3.564378E-3</v>
      </c>
      <c r="W12" s="248">
        <v>4.6561790000000002E-4</v>
      </c>
      <c r="X12" s="248">
        <v>-3.8588270000000001E-4</v>
      </c>
      <c r="Y12" s="248">
        <v>2.3878779999999999E-4</v>
      </c>
      <c r="Z12" s="248">
        <v>8.4792979999999998E-5</v>
      </c>
    </row>
    <row r="13" spans="1:26" ht="15">
      <c r="A13" s="247">
        <f>C13+(D13*Sheet3!$AG$9)+(E13*Sheet3!$AG$10)+(F13*Sheet3!$AG$9*Sheet3!$AG$9)+(G13*Sheet3!$AG$9*Sheet3!$AG$10)+(H13*Sheet3!$AG$10*Sheet3!$AG$10)+(I13*Sheet3!$AG$9*Sheet3!$AG$9*Sheet3!$AG$9)+(J13*Sheet3!$AG$10*Sheet3!$AG$9*Sheet3!$AG$9)+(K13*Sheet3!$AG$9*Sheet3!$AG$10*Sheet3!$AG$10)+(L13*Sheet3!$AG$10*Sheet3!$AG$10*Sheet3!$AG$10)</f>
        <v>98.117974404076094</v>
      </c>
      <c r="B13" s="249" t="s">
        <v>347</v>
      </c>
      <c r="C13" s="248">
        <v>129.2217</v>
      </c>
      <c r="D13" s="248">
        <v>4.487501</v>
      </c>
      <c r="E13" s="248">
        <v>-1.4080680000000001</v>
      </c>
      <c r="F13" s="248">
        <v>5.3343639999999998E-2</v>
      </c>
      <c r="G13" s="248">
        <v>-2.4441649999999999E-2</v>
      </c>
      <c r="H13" s="248">
        <v>1.0114049999999999E-2</v>
      </c>
      <c r="I13" s="248">
        <v>4.7654199999999999E-4</v>
      </c>
      <c r="J13" s="248">
        <v>-1.4999990000000001E-4</v>
      </c>
      <c r="K13" s="248">
        <v>-8.5245060000000005E-5</v>
      </c>
      <c r="L13" s="248">
        <v>-9.1770840000000002E-5</v>
      </c>
      <c r="O13" s="247">
        <f>Q13+(R13*Sheet3!$AG$9)+(S13*Sheet3!$AG$10)+(T13*Sheet3!$AG$9*Sheet3!$AG$9)+(U13*Sheet3!$AG$9*Sheet3!$AG$10)+(V13*Sheet3!$AG$10*Sheet3!$AG$10)+(W13*Sheet3!$AG$9*Sheet3!$AG$9*Sheet3!$AG$9)+(X13*Sheet3!$AG$10*Sheet3!$AG$9*Sheet3!$AG$9)+(Y13*Sheet3!$AG$9*Sheet3!$AG$10*Sheet3!$AG$10)+(Z13*Sheet3!$AG$10*Sheet3!$AG$10*Sheet3!$AG$10)</f>
        <v>72.778340615563081</v>
      </c>
      <c r="P13" s="249" t="s">
        <v>347</v>
      </c>
      <c r="Q13" s="248">
        <v>72.351439999999997</v>
      </c>
      <c r="R13" s="248">
        <v>1.7126269999999999</v>
      </c>
      <c r="S13" s="248">
        <v>-1.3342940000000001</v>
      </c>
      <c r="T13" s="248">
        <v>2.3986029999999998E-2</v>
      </c>
      <c r="U13" s="248">
        <v>-4.2398329999999998E-2</v>
      </c>
      <c r="V13" s="248">
        <v>3.8309849999999999E-2</v>
      </c>
      <c r="W13" s="248">
        <v>2.952141E-4</v>
      </c>
      <c r="X13" s="248">
        <v>-3.1021059999999999E-4</v>
      </c>
      <c r="Y13" s="248">
        <v>4.5346129999999999E-4</v>
      </c>
      <c r="Z13" s="248">
        <v>-1.3828930000000001E-4</v>
      </c>
    </row>
    <row r="14" spans="1:26" ht="15">
      <c r="A14" s="247">
        <f>C14+(D14*Sheet3!$AG$9)+(E14*Sheet3!$AG$10)+(F14*Sheet3!$AG$9*Sheet3!$AG$9)+(G14*Sheet3!$AG$9*Sheet3!$AG$10)+(H14*Sheet3!$AG$10*Sheet3!$AG$10)+(I14*Sheet3!$AG$9*Sheet3!$AG$9*Sheet3!$AG$9)+(J14*Sheet3!$AG$10*Sheet3!$AG$9*Sheet3!$AG$9)+(K14*Sheet3!$AG$9*Sheet3!$AG$10*Sheet3!$AG$10)+(L14*Sheet3!$AG$10*Sheet3!$AG$10*Sheet3!$AG$10)</f>
        <v>108.11370318974943</v>
      </c>
      <c r="B14" s="249" t="s">
        <v>348</v>
      </c>
      <c r="C14" s="248">
        <v>90.562799999999996</v>
      </c>
      <c r="D14" s="248">
        <v>3.4171320000000001</v>
      </c>
      <c r="E14" s="248">
        <v>1.6165970000000001</v>
      </c>
      <c r="F14" s="248">
        <v>4.7444769999999997E-2</v>
      </c>
      <c r="G14" s="248">
        <v>3.3072280000000003E-2</v>
      </c>
      <c r="H14" s="248">
        <v>-5.1690670000000001E-2</v>
      </c>
      <c r="I14" s="248">
        <v>2.2533469999999999E-4</v>
      </c>
      <c r="J14" s="248">
        <v>9.7068660000000005E-6</v>
      </c>
      <c r="K14" s="248">
        <v>-6.4680949999999999E-4</v>
      </c>
      <c r="L14" s="248">
        <v>3.0564939999999999E-4</v>
      </c>
      <c r="O14" s="247">
        <f>Q14+(R14*Sheet3!$AG$9)+(S14*Sheet3!$AG$10)+(T14*Sheet3!$AG$9*Sheet3!$AG$9)+(U14*Sheet3!$AG$9*Sheet3!$AG$10)+(V14*Sheet3!$AG$10*Sheet3!$AG$10)+(W14*Sheet3!$AG$9*Sheet3!$AG$9*Sheet3!$AG$9)+(X14*Sheet3!$AG$10*Sheet3!$AG$9*Sheet3!$AG$9)+(Y14*Sheet3!$AG$9*Sheet3!$AG$10*Sheet3!$AG$10)+(Z14*Sheet3!$AG$10*Sheet3!$AG$10*Sheet3!$AG$10)</f>
        <v>79.891478160609836</v>
      </c>
      <c r="P14" s="249" t="s">
        <v>348</v>
      </c>
      <c r="Q14" s="248">
        <v>59.877249999999997</v>
      </c>
      <c r="R14" s="248">
        <v>1.396793</v>
      </c>
      <c r="S14" s="248">
        <v>-0.18252370000000001</v>
      </c>
      <c r="T14" s="248">
        <v>2.2932460000000002E-2</v>
      </c>
      <c r="U14" s="248">
        <v>-2.2600539999999999E-2</v>
      </c>
      <c r="V14" s="248">
        <v>1.5708719999999999E-2</v>
      </c>
      <c r="W14" s="248">
        <v>2.2229500000000001E-4</v>
      </c>
      <c r="X14" s="248">
        <v>-2.832531E-4</v>
      </c>
      <c r="Y14" s="248">
        <v>2.5778120000000002E-4</v>
      </c>
      <c r="Z14" s="248">
        <v>4.9684690000000002E-6</v>
      </c>
    </row>
    <row r="15" spans="1:26" ht="15">
      <c r="A15" s="247">
        <f>C15+(D15*Sheet3!$AG$9)+(E15*Sheet3!$AG$10)+(F15*Sheet3!$AG$9*Sheet3!$AG$9)+(G15*Sheet3!$AG$9*Sheet3!$AG$10)+(H15*Sheet3!$AG$10*Sheet3!$AG$10)+(I15*Sheet3!$AG$9*Sheet3!$AG$9*Sheet3!$AG$9)+(J15*Sheet3!$AG$10*Sheet3!$AG$9*Sheet3!$AG$9)+(K15*Sheet3!$AG$9*Sheet3!$AG$10*Sheet3!$AG$10)+(L15*Sheet3!$AG$10*Sheet3!$AG$10*Sheet3!$AG$10)</f>
        <v>115.04775211770064</v>
      </c>
      <c r="B15" s="249" t="s">
        <v>349</v>
      </c>
      <c r="C15" s="248">
        <v>116.89870000000001</v>
      </c>
      <c r="D15" s="248">
        <v>4.1165019999999997</v>
      </c>
      <c r="E15" s="248">
        <v>0.61517639999999996</v>
      </c>
      <c r="F15" s="248">
        <v>5.5528599999999997E-2</v>
      </c>
      <c r="G15" s="248">
        <v>2.250079E-2</v>
      </c>
      <c r="H15" s="248">
        <v>-3.6345189999999999E-2</v>
      </c>
      <c r="I15" s="248">
        <v>3.8498569999999998E-4</v>
      </c>
      <c r="J15" s="248">
        <v>3.8666089999999998E-5</v>
      </c>
      <c r="K15" s="248">
        <v>-6.2263219999999998E-4</v>
      </c>
      <c r="L15" s="248">
        <v>2.1891170000000001E-4</v>
      </c>
      <c r="O15" s="247">
        <f>Q15+(R15*Sheet3!$AG$9)+(S15*Sheet3!$AG$10)+(T15*Sheet3!$AG$9*Sheet3!$AG$9)+(U15*Sheet3!$AG$9*Sheet3!$AG$10)+(V15*Sheet3!$AG$10*Sheet3!$AG$10)+(W15*Sheet3!$AG$9*Sheet3!$AG$9*Sheet3!$AG$9)+(X15*Sheet3!$AG$10*Sheet3!$AG$9*Sheet3!$AG$9)+(Y15*Sheet3!$AG$9*Sheet3!$AG$10*Sheet3!$AG$10)+(Z15*Sheet3!$AG$10*Sheet3!$AG$10*Sheet3!$AG$10)</f>
        <v>85.501154319746519</v>
      </c>
      <c r="P15" s="249" t="s">
        <v>349</v>
      </c>
      <c r="Q15" s="248">
        <v>66.414680000000004</v>
      </c>
      <c r="R15" s="248">
        <v>0.69322640000000002</v>
      </c>
      <c r="S15" s="248">
        <v>-0.48408849999999998</v>
      </c>
      <c r="T15" s="248">
        <v>1.462858E-2</v>
      </c>
      <c r="U15" s="248">
        <v>-4.2444530000000001E-4</v>
      </c>
      <c r="V15" s="248">
        <v>2.3873490000000001E-2</v>
      </c>
      <c r="W15" s="248">
        <v>4.4681199999999999E-4</v>
      </c>
      <c r="X15" s="248">
        <v>-7.0310739999999994E-5</v>
      </c>
      <c r="Y15" s="248">
        <v>3.9383520000000001E-5</v>
      </c>
      <c r="Z15" s="248">
        <v>-8.5964650000000007E-6</v>
      </c>
    </row>
    <row r="16" spans="1:26" ht="15">
      <c r="A16" s="247">
        <f>C16+(D16*Sheet3!$AG$9)+(E16*Sheet3!$AG$10)+(F16*Sheet3!$AG$9*Sheet3!$AG$9)+(G16*Sheet3!$AG$9*Sheet3!$AG$10)+(H16*Sheet3!$AG$10*Sheet3!$AG$10)+(I16*Sheet3!$AG$9*Sheet3!$AG$9*Sheet3!$AG$9)+(J16*Sheet3!$AG$10*Sheet3!$AG$9*Sheet3!$AG$9)+(K16*Sheet3!$AG$9*Sheet3!$AG$10*Sheet3!$AG$10)+(L16*Sheet3!$AG$10*Sheet3!$AG$10*Sheet3!$AG$10)</f>
        <v>121.97570909745041</v>
      </c>
      <c r="B16" s="249" t="s">
        <v>350</v>
      </c>
      <c r="C16" s="248">
        <v>143.60769999999999</v>
      </c>
      <c r="D16" s="248">
        <v>4.7352290000000004</v>
      </c>
      <c r="E16" s="248">
        <v>-0.64710199999999996</v>
      </c>
      <c r="F16" s="248">
        <v>5.7992420000000003E-2</v>
      </c>
      <c r="G16" s="248">
        <v>3.609934E-3</v>
      </c>
      <c r="H16" s="248">
        <v>-1.0698030000000001E-2</v>
      </c>
      <c r="I16" s="248">
        <v>2.6558069999999998E-4</v>
      </c>
      <c r="J16" s="248">
        <v>-1.261841E-5</v>
      </c>
      <c r="K16" s="248">
        <v>-4.1771640000000002E-4</v>
      </c>
      <c r="L16" s="248">
        <v>4.5018600000000003E-5</v>
      </c>
      <c r="O16" s="247">
        <f>Q16+(R16*Sheet3!$AG$9)+(S16*Sheet3!$AG$10)+(T16*Sheet3!$AG$9*Sheet3!$AG$9)+(U16*Sheet3!$AG$9*Sheet3!$AG$10)+(V16*Sheet3!$AG$10*Sheet3!$AG$10)+(W16*Sheet3!$AG$9*Sheet3!$AG$9*Sheet3!$AG$9)+(X16*Sheet3!$AG$10*Sheet3!$AG$9*Sheet3!$AG$9)+(Y16*Sheet3!$AG$9*Sheet3!$AG$10*Sheet3!$AG$10)+(Z16*Sheet3!$AG$10*Sheet3!$AG$10*Sheet3!$AG$10)</f>
        <v>91.716067640665386</v>
      </c>
      <c r="P16" s="249" t="s">
        <v>350</v>
      </c>
      <c r="Q16" s="248">
        <v>52.423000000000002</v>
      </c>
      <c r="R16" s="248">
        <v>1.8184750000000001</v>
      </c>
      <c r="S16" s="248">
        <v>0.71987769999999995</v>
      </c>
      <c r="T16" s="248">
        <v>3.9312119999999999E-2</v>
      </c>
      <c r="U16" s="248">
        <v>-4.1667410000000002E-2</v>
      </c>
      <c r="V16" s="248">
        <v>-4.3634490000000003E-5</v>
      </c>
      <c r="W16" s="248">
        <v>3.914163E-4</v>
      </c>
      <c r="X16" s="248">
        <v>-6.2937460000000002E-4</v>
      </c>
      <c r="Y16" s="248">
        <v>4.8210130000000002E-4</v>
      </c>
      <c r="Z16" s="248">
        <v>1.412308E-4</v>
      </c>
    </row>
    <row r="17" spans="1:26" ht="15">
      <c r="A17" s="247">
        <f>C17+(D17*Sheet3!$AG$9)+(E17*Sheet3!$AG$10)+(F17*Sheet3!$AG$9*Sheet3!$AG$9)+(G17*Sheet3!$AG$9*Sheet3!$AG$10)+(H17*Sheet3!$AG$10*Sheet3!$AG$10)+(I17*Sheet3!$AG$9*Sheet3!$AG$9*Sheet3!$AG$9)+(J17*Sheet3!$AG$10*Sheet3!$AG$9*Sheet3!$AG$9)+(K17*Sheet3!$AG$9*Sheet3!$AG$10*Sheet3!$AG$10)+(L17*Sheet3!$AG$10*Sheet3!$AG$10*Sheet3!$AG$10)</f>
        <v>23.564033771707425</v>
      </c>
      <c r="B17" s="249" t="s">
        <v>351</v>
      </c>
      <c r="C17" s="248">
        <v>25.84882</v>
      </c>
      <c r="D17" s="248">
        <v>1.111815</v>
      </c>
      <c r="E17" s="248">
        <v>1.328585E-2</v>
      </c>
      <c r="F17" s="248">
        <v>1.9376549999999999E-2</v>
      </c>
      <c r="G17" s="248">
        <v>-4.5663559999999997E-3</v>
      </c>
      <c r="H17" s="248">
        <v>-5.3382949999999998E-3</v>
      </c>
      <c r="I17" s="248">
        <v>1.4293110000000001E-4</v>
      </c>
      <c r="J17" s="248">
        <v>-1.5097339999999999E-4</v>
      </c>
      <c r="K17" s="248">
        <v>-4.3419289999999999E-5</v>
      </c>
      <c r="L17" s="248">
        <v>2.9659629999999998E-5</v>
      </c>
      <c r="O17" s="247">
        <f>Q17+(R17*Sheet3!$AG$9)+(S17*Sheet3!$AG$10)+(T17*Sheet3!$AG$9*Sheet3!$AG$9)+(U17*Sheet3!$AG$9*Sheet3!$AG$10)+(V17*Sheet3!$AG$10*Sheet3!$AG$10)+(W17*Sheet3!$AG$9*Sheet3!$AG$9*Sheet3!$AG$9)+(X17*Sheet3!$AG$10*Sheet3!$AG$9*Sheet3!$AG$9)+(Y17*Sheet3!$AG$9*Sheet3!$AG$10*Sheet3!$AG$10)+(Z17*Sheet3!$AG$10*Sheet3!$AG$10*Sheet3!$AG$10)</f>
        <v>18.631222850503175</v>
      </c>
      <c r="P17" s="249" t="s">
        <v>351</v>
      </c>
      <c r="Q17" s="248">
        <v>11.344010000000001</v>
      </c>
      <c r="R17" s="248">
        <v>0.26133499999999998</v>
      </c>
      <c r="S17" s="248">
        <v>0.16846610000000001</v>
      </c>
      <c r="T17" s="248">
        <v>5.0728869999999999E-3</v>
      </c>
      <c r="U17" s="248">
        <v>-2.4277539999999998E-3</v>
      </c>
      <c r="V17" s="248">
        <v>-1.833821E-3</v>
      </c>
      <c r="W17" s="248">
        <v>5.5571739999999998E-5</v>
      </c>
      <c r="X17" s="248">
        <v>-6.6275179999999997E-5</v>
      </c>
      <c r="Y17" s="248">
        <v>1.9523470000000002E-5</v>
      </c>
      <c r="Z17" s="248">
        <v>4.8517389999999997E-5</v>
      </c>
    </row>
    <row r="18" spans="1:26" ht="15">
      <c r="A18" s="247">
        <f>C18+(D18*Sheet3!$AG$9)+(E18*Sheet3!$AG$10)+(F18*Sheet3!$AG$9*Sheet3!$AG$9)+(G18*Sheet3!$AG$9*Sheet3!$AG$10)+(H18*Sheet3!$AG$10*Sheet3!$AG$10)+(I18*Sheet3!$AG$9*Sheet3!$AG$9*Sheet3!$AG$9)+(J18*Sheet3!$AG$10*Sheet3!$AG$9*Sheet3!$AG$9)+(K18*Sheet3!$AG$9*Sheet3!$AG$10*Sheet3!$AG$10)+(L18*Sheet3!$AG$10*Sheet3!$AG$10*Sheet3!$AG$10)</f>
        <v>27.234814561181793</v>
      </c>
      <c r="B18" s="249" t="s">
        <v>352</v>
      </c>
      <c r="C18" s="248">
        <v>29.875520000000002</v>
      </c>
      <c r="D18" s="248">
        <v>1.285013</v>
      </c>
      <c r="E18" s="248">
        <v>1.5355499999999999E-2</v>
      </c>
      <c r="F18" s="248">
        <v>2.239501E-2</v>
      </c>
      <c r="G18" s="248">
        <v>-5.2776979999999999E-3</v>
      </c>
      <c r="H18" s="248">
        <v>-6.1698889999999996E-3</v>
      </c>
      <c r="I18" s="248">
        <v>1.6519669999999999E-4</v>
      </c>
      <c r="J18" s="248">
        <v>-1.7449189999999999E-4</v>
      </c>
      <c r="K18" s="248">
        <v>-5.0183090000000003E-5</v>
      </c>
      <c r="L18" s="248">
        <v>3.4279980000000002E-5</v>
      </c>
      <c r="O18" s="247">
        <f>Q18+(R18*Sheet3!$AG$9)+(S18*Sheet3!$AG$10)+(T18*Sheet3!$AG$9*Sheet3!$AG$9)+(U18*Sheet3!$AG$9*Sheet3!$AG$10)+(V18*Sheet3!$AG$10*Sheet3!$AG$10)+(W18*Sheet3!$AG$9*Sheet3!$AG$9*Sheet3!$AG$9)+(X18*Sheet3!$AG$10*Sheet3!$AG$9*Sheet3!$AG$9)+(Y18*Sheet3!$AG$9*Sheet3!$AG$10*Sheet3!$AG$10)+(Z18*Sheet3!$AG$10*Sheet3!$AG$10*Sheet3!$AG$10)</f>
        <v>21.533578507258749</v>
      </c>
      <c r="P18" s="249" t="s">
        <v>352</v>
      </c>
      <c r="Q18" s="248">
        <v>13.11117</v>
      </c>
      <c r="R18" s="248">
        <v>0.30204540000000002</v>
      </c>
      <c r="S18" s="248">
        <v>0.19470960000000001</v>
      </c>
      <c r="T18" s="248">
        <v>5.8631359999999997E-3</v>
      </c>
      <c r="U18" s="248">
        <v>-2.805947E-3</v>
      </c>
      <c r="V18" s="248">
        <v>-2.1194909999999998E-3</v>
      </c>
      <c r="W18" s="248">
        <v>6.422865E-5</v>
      </c>
      <c r="X18" s="248">
        <v>-7.6599449999999994E-5</v>
      </c>
      <c r="Y18" s="248">
        <v>2.2564809999999999E-5</v>
      </c>
      <c r="Z18" s="248">
        <v>5.607537E-5</v>
      </c>
    </row>
    <row r="19" spans="1:26" ht="15">
      <c r="A19" s="247">
        <f>C19+(D19*Sheet3!$AG$9)+(E19*Sheet3!$AG$10)+(F19*Sheet3!$AG$9*Sheet3!$AG$9)+(G19*Sheet3!$AG$9*Sheet3!$AG$10)+(H19*Sheet3!$AG$10*Sheet3!$AG$10)+(I19*Sheet3!$AG$9*Sheet3!$AG$9*Sheet3!$AG$9)+(J19*Sheet3!$AG$10*Sheet3!$AG$9*Sheet3!$AG$9)+(K19*Sheet3!$AG$9*Sheet3!$AG$10*Sheet3!$AG$10)+(L19*Sheet3!$AG$10*Sheet3!$AG$10*Sheet3!$AG$10)</f>
        <v>30.490236954430234</v>
      </c>
      <c r="B19" s="249" t="s">
        <v>353</v>
      </c>
      <c r="C19" s="248">
        <v>37.756410000000002</v>
      </c>
      <c r="D19" s="248">
        <v>1.540659</v>
      </c>
      <c r="E19" s="248">
        <v>-0.25491249999999999</v>
      </c>
      <c r="F19" s="248">
        <v>2.7194240000000001E-2</v>
      </c>
      <c r="G19" s="248">
        <v>-1.042943E-2</v>
      </c>
      <c r="H19" s="248">
        <v>-1.572988E-3</v>
      </c>
      <c r="I19" s="248">
        <v>2.5947559999999999E-4</v>
      </c>
      <c r="J19" s="248">
        <v>-1.7803409999999999E-4</v>
      </c>
      <c r="K19" s="248">
        <v>-1.390522E-5</v>
      </c>
      <c r="L19" s="248">
        <v>7.744924E-6</v>
      </c>
      <c r="O19" s="247">
        <f>Q19+(R19*Sheet3!$AG$9)+(S19*Sheet3!$AG$10)+(T19*Sheet3!$AG$9*Sheet3!$AG$9)+(U19*Sheet3!$AG$9*Sheet3!$AG$10)+(V19*Sheet3!$AG$10*Sheet3!$AG$10)+(W19*Sheet3!$AG$9*Sheet3!$AG$9*Sheet3!$AG$9)+(X19*Sheet3!$AG$10*Sheet3!$AG$9*Sheet3!$AG$9)+(Y19*Sheet3!$AG$9*Sheet3!$AG$10*Sheet3!$AG$10)+(Z19*Sheet3!$AG$10*Sheet3!$AG$10*Sheet3!$AG$10)</f>
        <v>23.444059502858007</v>
      </c>
      <c r="P19" s="249" t="s">
        <v>353</v>
      </c>
      <c r="Q19" s="248">
        <v>19.440950000000001</v>
      </c>
      <c r="R19" s="248">
        <v>0.62607179999999996</v>
      </c>
      <c r="S19" s="248">
        <v>-0.16785269999999999</v>
      </c>
      <c r="T19" s="248">
        <v>1.3210710000000001E-2</v>
      </c>
      <c r="U19" s="248">
        <v>-1.4986289999999999E-2</v>
      </c>
      <c r="V19" s="248">
        <v>6.3931969999999998E-3</v>
      </c>
      <c r="W19" s="248">
        <v>1.4452719999999999E-4</v>
      </c>
      <c r="X19" s="248">
        <v>-1.8576469999999999E-4</v>
      </c>
      <c r="Y19" s="248">
        <v>1.4928009999999999E-4</v>
      </c>
      <c r="Z19" s="248">
        <v>-1.4425E-6</v>
      </c>
    </row>
    <row r="20" spans="1:26" ht="15">
      <c r="A20" s="247">
        <f>C20+(D20*Sheet3!$AG$9)+(E20*Sheet3!$AG$10)+(F20*Sheet3!$AG$9*Sheet3!$AG$9)+(G20*Sheet3!$AG$9*Sheet3!$AG$10)+(H20*Sheet3!$AG$10*Sheet3!$AG$10)+(I20*Sheet3!$AG$9*Sheet3!$AG$9*Sheet3!$AG$9)+(J20*Sheet3!$AG$10*Sheet3!$AG$9*Sheet3!$AG$9)+(K20*Sheet3!$AG$9*Sheet3!$AG$10*Sheet3!$AG$10)+(L20*Sheet3!$AG$10*Sheet3!$AG$10*Sheet3!$AG$10)</f>
        <v>35.412339323324964</v>
      </c>
      <c r="B20" s="249" t="s">
        <v>354</v>
      </c>
      <c r="C20" s="248">
        <v>42.898960000000002</v>
      </c>
      <c r="D20" s="248">
        <v>1.385826</v>
      </c>
      <c r="E20" s="248">
        <v>-0.1941484</v>
      </c>
      <c r="F20" s="248">
        <v>1.7417990000000001E-2</v>
      </c>
      <c r="G20" s="248">
        <v>2.8648319999999999E-3</v>
      </c>
      <c r="H20" s="248">
        <v>-3.6730719999999999E-3</v>
      </c>
      <c r="I20" s="248">
        <v>1.675724E-4</v>
      </c>
      <c r="J20" s="248">
        <v>1.745145E-5</v>
      </c>
      <c r="K20" s="248">
        <v>-1.406085E-4</v>
      </c>
      <c r="L20" s="248">
        <v>7.0315149999999997E-6</v>
      </c>
      <c r="O20" s="247">
        <f>Q20+(R20*Sheet3!$AG$9)+(S20*Sheet3!$AG$10)+(T20*Sheet3!$AG$9*Sheet3!$AG$9)+(U20*Sheet3!$AG$9*Sheet3!$AG$10)+(V20*Sheet3!$AG$10*Sheet3!$AG$10)+(W20*Sheet3!$AG$9*Sheet3!$AG$9*Sheet3!$AG$9)+(X20*Sheet3!$AG$10*Sheet3!$AG$9*Sheet3!$AG$9)+(Y20*Sheet3!$AG$9*Sheet3!$AG$10*Sheet3!$AG$10)+(Z20*Sheet3!$AG$10*Sheet3!$AG$10*Sheet3!$AG$10)</f>
        <v>27.666010213083513</v>
      </c>
      <c r="P20" s="249" t="s">
        <v>354</v>
      </c>
      <c r="Q20" s="248">
        <v>15.788919999999999</v>
      </c>
      <c r="R20" s="248">
        <v>0.45494760000000001</v>
      </c>
      <c r="S20" s="248">
        <v>0.29041050000000002</v>
      </c>
      <c r="T20" s="248">
        <v>7.1903280000000002E-3</v>
      </c>
      <c r="U20" s="248">
        <v>-5.5680260000000002E-3</v>
      </c>
      <c r="V20" s="248">
        <v>-3.0101870000000001E-3</v>
      </c>
      <c r="W20" s="248">
        <v>6.2824069999999998E-5</v>
      </c>
      <c r="X20" s="248">
        <v>-6.81302E-5</v>
      </c>
      <c r="Y20" s="248">
        <v>6.2933190000000002E-5</v>
      </c>
      <c r="Z20" s="248">
        <v>6.798587E-5</v>
      </c>
    </row>
    <row r="21" spans="1:26" ht="15">
      <c r="A21" s="247">
        <f>C21+(D21*Sheet3!$AG$9)+(E21*Sheet3!$AG$10)+(F21*Sheet3!$AG$9*Sheet3!$AG$9)+(G21*Sheet3!$AG$9*Sheet3!$AG$10)+(H21*Sheet3!$AG$10*Sheet3!$AG$10)+(I21*Sheet3!$AG$9*Sheet3!$AG$9*Sheet3!$AG$9)+(J21*Sheet3!$AG$10*Sheet3!$AG$9*Sheet3!$AG$9)+(K21*Sheet3!$AG$9*Sheet3!$AG$10*Sheet3!$AG$10)+(L21*Sheet3!$AG$10*Sheet3!$AG$10*Sheet3!$AG$10)</f>
        <v>41.06700986843461</v>
      </c>
      <c r="B21" s="249" t="s">
        <v>355</v>
      </c>
      <c r="C21" s="248">
        <v>40.40784</v>
      </c>
      <c r="D21" s="248">
        <v>1.445354</v>
      </c>
      <c r="E21" s="248">
        <v>0.27218520000000002</v>
      </c>
      <c r="F21" s="248">
        <v>2.216365E-2</v>
      </c>
      <c r="G21" s="248">
        <v>1.2977509999999999E-2</v>
      </c>
      <c r="H21" s="248">
        <v>-1.363048E-2</v>
      </c>
      <c r="I21" s="248">
        <v>5.8402169999999999E-5</v>
      </c>
      <c r="J21" s="248">
        <v>-2.3532970000000001E-5</v>
      </c>
      <c r="K21" s="248">
        <v>-2.9007570000000001E-4</v>
      </c>
      <c r="L21" s="248">
        <v>7.8448099999999999E-5</v>
      </c>
      <c r="O21" s="247">
        <f>Q21+(R21*Sheet3!$AG$9)+(S21*Sheet3!$AG$10)+(T21*Sheet3!$AG$9*Sheet3!$AG$9)+(U21*Sheet3!$AG$9*Sheet3!$AG$10)+(V21*Sheet3!$AG$10*Sheet3!$AG$10)+(W21*Sheet3!$AG$9*Sheet3!$AG$9*Sheet3!$AG$9)+(X21*Sheet3!$AG$10*Sheet3!$AG$9*Sheet3!$AG$9)+(Y21*Sheet3!$AG$9*Sheet3!$AG$10*Sheet3!$AG$10)+(Z21*Sheet3!$AG$10*Sheet3!$AG$10*Sheet3!$AG$10)</f>
        <v>30.416616479209136</v>
      </c>
      <c r="P21" s="249" t="s">
        <v>355</v>
      </c>
      <c r="Q21" s="248">
        <v>21.58278</v>
      </c>
      <c r="R21" s="248">
        <v>0.6571399</v>
      </c>
      <c r="S21" s="248">
        <v>1.9444940000000001E-2</v>
      </c>
      <c r="T21" s="248">
        <v>1.340182E-2</v>
      </c>
      <c r="U21" s="248">
        <v>-1.4783630000000001E-2</v>
      </c>
      <c r="V21" s="248">
        <v>3.5402189999999998E-3</v>
      </c>
      <c r="W21" s="248">
        <v>1.449736E-4</v>
      </c>
      <c r="X21" s="248">
        <v>-2.0482580000000001E-4</v>
      </c>
      <c r="Y21" s="248">
        <v>1.4568250000000001E-4</v>
      </c>
      <c r="Z21" s="248">
        <v>2.900639E-5</v>
      </c>
    </row>
    <row r="22" spans="1:26" ht="15">
      <c r="A22" s="247">
        <f>C22+(D22*Sheet3!$AG$9)+(E22*Sheet3!$AG$10)+(F22*Sheet3!$AG$9*Sheet3!$AG$9)+(G22*Sheet3!$AG$9*Sheet3!$AG$10)+(H22*Sheet3!$AG$10*Sheet3!$AG$10)+(I22*Sheet3!$AG$9*Sheet3!$AG$9*Sheet3!$AG$9)+(J22*Sheet3!$AG$10*Sheet3!$AG$9*Sheet3!$AG$9)+(K22*Sheet3!$AG$9*Sheet3!$AG$10*Sheet3!$AG$10)+(L22*Sheet3!$AG$10*Sheet3!$AG$10*Sheet3!$AG$10)</f>
        <v>38.516049926076271</v>
      </c>
      <c r="B22" s="249" t="s">
        <v>356</v>
      </c>
      <c r="C22" s="248">
        <v>38.651679999999999</v>
      </c>
      <c r="D22" s="248">
        <v>1.8231200000000001</v>
      </c>
      <c r="E22" s="248">
        <v>0.25538470000000002</v>
      </c>
      <c r="F22" s="248">
        <v>2.6441650000000001E-2</v>
      </c>
      <c r="G22" s="248">
        <v>-7.006239E-3</v>
      </c>
      <c r="H22" s="248">
        <v>-1.37801E-2</v>
      </c>
      <c r="I22" s="248">
        <v>8.3717110000000006E-5</v>
      </c>
      <c r="J22" s="248">
        <v>-1.2123799999999999E-4</v>
      </c>
      <c r="K22" s="248">
        <v>-7.1523919999999996E-5</v>
      </c>
      <c r="L22" s="248">
        <v>8.3954970000000003E-5</v>
      </c>
      <c r="O22" s="247">
        <f>Q22+(R22*Sheet3!$AG$9)+(S22*Sheet3!$AG$10)+(T22*Sheet3!$AG$9*Sheet3!$AG$9)+(U22*Sheet3!$AG$9*Sheet3!$AG$10)+(V22*Sheet3!$AG$10*Sheet3!$AG$10)+(W22*Sheet3!$AG$9*Sheet3!$AG$9*Sheet3!$AG$9)+(X22*Sheet3!$AG$10*Sheet3!$AG$9*Sheet3!$AG$9)+(Y22*Sheet3!$AG$9*Sheet3!$AG$10*Sheet3!$AG$10)+(Z22*Sheet3!$AG$10*Sheet3!$AG$10*Sheet3!$AG$10)</f>
        <v>29.621283930714284</v>
      </c>
      <c r="P22" s="249" t="s">
        <v>356</v>
      </c>
      <c r="Q22" s="248">
        <v>26.918769999999999</v>
      </c>
      <c r="R22" s="248">
        <v>0.25629360000000001</v>
      </c>
      <c r="S22" s="248">
        <v>-0.44205739999999999</v>
      </c>
      <c r="T22" s="248">
        <v>6.066007E-3</v>
      </c>
      <c r="U22" s="248">
        <v>-3.2812290000000001E-3</v>
      </c>
      <c r="V22" s="248">
        <v>1.4895230000000001E-2</v>
      </c>
      <c r="W22" s="248">
        <v>9.9255680000000004E-5</v>
      </c>
      <c r="X22" s="248">
        <v>-1.071054E-4</v>
      </c>
      <c r="Y22" s="248">
        <v>5.5817499999999999E-5</v>
      </c>
      <c r="Z22" s="248">
        <v>-5.5175310000000001E-5</v>
      </c>
    </row>
    <row r="23" spans="1:26" ht="15">
      <c r="A23" s="247">
        <f>C23+(D23*Sheet3!$AG$9)+(E23*Sheet3!$AG$10)+(F23*Sheet3!$AG$9*Sheet3!$AG$9)+(G23*Sheet3!$AG$9*Sheet3!$AG$10)+(H23*Sheet3!$AG$10*Sheet3!$AG$10)+(I23*Sheet3!$AG$9*Sheet3!$AG$9*Sheet3!$AG$9)+(J23*Sheet3!$AG$10*Sheet3!$AG$9*Sheet3!$AG$9)+(K23*Sheet3!$AG$9*Sheet3!$AG$10*Sheet3!$AG$10)+(L23*Sheet3!$AG$10*Sheet3!$AG$10*Sheet3!$AG$10)</f>
        <v>43.340940611905253</v>
      </c>
      <c r="B23" s="249" t="s">
        <v>357</v>
      </c>
      <c r="C23" s="248">
        <v>48.471080000000001</v>
      </c>
      <c r="D23" s="248">
        <v>1.8415870000000001</v>
      </c>
      <c r="E23" s="248">
        <v>-9.0148619999999999E-2</v>
      </c>
      <c r="F23" s="248">
        <v>3.0615819999999998E-2</v>
      </c>
      <c r="G23" s="248">
        <v>-2.8239820000000001E-3</v>
      </c>
      <c r="H23" s="248">
        <v>-6.1005809999999999E-3</v>
      </c>
      <c r="I23" s="248">
        <v>2.0559199999999999E-4</v>
      </c>
      <c r="J23" s="248">
        <v>-1.8016249999999999E-4</v>
      </c>
      <c r="K23" s="248">
        <v>-1.2074049999999999E-4</v>
      </c>
      <c r="L23" s="248">
        <v>2.2605689999999999E-5</v>
      </c>
      <c r="O23" s="247">
        <f>Q23+(R23*Sheet3!$AG$9)+(S23*Sheet3!$AG$10)+(T23*Sheet3!$AG$9*Sheet3!$AG$9)+(U23*Sheet3!$AG$9*Sheet3!$AG$10)+(V23*Sheet3!$AG$10*Sheet3!$AG$10)+(W23*Sheet3!$AG$9*Sheet3!$AG$9*Sheet3!$AG$9)+(X23*Sheet3!$AG$10*Sheet3!$AG$9*Sheet3!$AG$9)+(Y23*Sheet3!$AG$9*Sheet3!$AG$10*Sheet3!$AG$10)+(Z23*Sheet3!$AG$10*Sheet3!$AG$10*Sheet3!$AG$10)</f>
        <v>31.777343032219086</v>
      </c>
      <c r="P23" s="249" t="s">
        <v>357</v>
      </c>
      <c r="Q23" s="248">
        <v>15.19355</v>
      </c>
      <c r="R23" s="248">
        <v>6.69873E-2</v>
      </c>
      <c r="S23" s="248">
        <v>0.42862450000000002</v>
      </c>
      <c r="T23" s="248">
        <v>1.7784540000000001E-3</v>
      </c>
      <c r="U23" s="248">
        <v>4.5500319999999999E-3</v>
      </c>
      <c r="V23" s="248">
        <v>-3.9740349999999999E-3</v>
      </c>
      <c r="W23" s="248">
        <v>-5.3307619999999999E-7</v>
      </c>
      <c r="X23" s="248">
        <v>6.4409740000000004E-6</v>
      </c>
      <c r="Y23" s="248">
        <v>-3.5816050000000001E-5</v>
      </c>
      <c r="Z23" s="248">
        <v>9.2445040000000003E-5</v>
      </c>
    </row>
    <row r="24" spans="1:26" ht="15">
      <c r="A24" s="247">
        <f>C24+(D24*Sheet3!$AG$9)+(E24*Sheet3!$AG$10)+(F24*Sheet3!$AG$9*Sheet3!$AG$9)+(G24*Sheet3!$AG$9*Sheet3!$AG$10)+(H24*Sheet3!$AG$10*Sheet3!$AG$10)+(I24*Sheet3!$AG$9*Sheet3!$AG$9*Sheet3!$AG$9)+(J24*Sheet3!$AG$10*Sheet3!$AG$9*Sheet3!$AG$9)+(K24*Sheet3!$AG$9*Sheet3!$AG$10*Sheet3!$AG$10)+(L24*Sheet3!$AG$10*Sheet3!$AG$10*Sheet3!$AG$10)</f>
        <v>48.2701415728122</v>
      </c>
      <c r="B24" s="249" t="s">
        <v>358</v>
      </c>
      <c r="C24" s="248">
        <v>54.416530000000002</v>
      </c>
      <c r="D24" s="248">
        <v>2.1367609999999999</v>
      </c>
      <c r="E24" s="248">
        <v>-0.1648174</v>
      </c>
      <c r="F24" s="248">
        <v>3.7111199999999997E-2</v>
      </c>
      <c r="G24" s="248">
        <v>-7.5712710000000001E-3</v>
      </c>
      <c r="H24" s="248">
        <v>-4.8896720000000003E-3</v>
      </c>
      <c r="I24" s="248">
        <v>2.1632760000000001E-4</v>
      </c>
      <c r="J24" s="248">
        <v>-2.5082719999999998E-4</v>
      </c>
      <c r="K24" s="248">
        <v>-9.3592259999999999E-5</v>
      </c>
      <c r="L24" s="248">
        <v>1.290814E-5</v>
      </c>
      <c r="O24" s="247">
        <f>Q24+(R24*Sheet3!$AG$9)+(S24*Sheet3!$AG$10)+(T24*Sheet3!$AG$9*Sheet3!$AG$9)+(U24*Sheet3!$AG$9*Sheet3!$AG$10)+(V24*Sheet3!$AG$10*Sheet3!$AG$10)+(W24*Sheet3!$AG$9*Sheet3!$AG$9*Sheet3!$AG$9)+(X24*Sheet3!$AG$10*Sheet3!$AG$9*Sheet3!$AG$9)+(Y24*Sheet3!$AG$9*Sheet3!$AG$10*Sheet3!$AG$10)+(Z24*Sheet3!$AG$10*Sheet3!$AG$10*Sheet3!$AG$10)</f>
        <v>36.168489340347556</v>
      </c>
      <c r="P24" s="249" t="s">
        <v>358</v>
      </c>
      <c r="Q24" s="248">
        <v>13.620480000000001</v>
      </c>
      <c r="R24" s="248">
        <v>0.2643607</v>
      </c>
      <c r="S24" s="248">
        <v>0.61011040000000005</v>
      </c>
      <c r="T24" s="248">
        <v>7.1398119999999997E-3</v>
      </c>
      <c r="U24" s="248">
        <v>-1.9785520000000002E-3</v>
      </c>
      <c r="V24" s="248">
        <v>-4.9311340000000002E-3</v>
      </c>
      <c r="W24" s="248">
        <v>7.474825E-5</v>
      </c>
      <c r="X24" s="248">
        <v>-9.8105640000000001E-5</v>
      </c>
      <c r="Y24" s="248">
        <v>1.3994739999999999E-5</v>
      </c>
      <c r="Z24" s="248">
        <v>9.782085E-5</v>
      </c>
    </row>
    <row r="25" spans="1:26" ht="15">
      <c r="A25" s="247">
        <f>C25+(D25*Sheet3!$AG$9)+(E25*Sheet3!$AG$10)+(F25*Sheet3!$AG$9*Sheet3!$AG$9)+(G25*Sheet3!$AG$9*Sheet3!$AG$10)+(H25*Sheet3!$AG$10*Sheet3!$AG$10)+(I25*Sheet3!$AG$9*Sheet3!$AG$9*Sheet3!$AG$9)+(J25*Sheet3!$AG$10*Sheet3!$AG$9*Sheet3!$AG$9)+(K25*Sheet3!$AG$9*Sheet3!$AG$10*Sheet3!$AG$10)+(L25*Sheet3!$AG$10*Sheet3!$AG$10*Sheet3!$AG$10)</f>
        <v>54.373005595442379</v>
      </c>
      <c r="B25" s="249" t="s">
        <v>359</v>
      </c>
      <c r="C25" s="248">
        <v>44.361960000000003</v>
      </c>
      <c r="D25" s="248">
        <v>2.032095</v>
      </c>
      <c r="E25" s="248">
        <v>1.041858</v>
      </c>
      <c r="F25" s="248">
        <v>2.5691430000000001E-2</v>
      </c>
      <c r="G25" s="248">
        <v>1.0452289999999999E-2</v>
      </c>
      <c r="H25" s="248">
        <v>-3.3557440000000001E-2</v>
      </c>
      <c r="I25" s="248">
        <v>5.1046530000000002E-5</v>
      </c>
      <c r="J25" s="248">
        <v>2.4413929999999999E-5</v>
      </c>
      <c r="K25" s="248">
        <v>-2.9660450000000002E-4</v>
      </c>
      <c r="L25" s="248">
        <v>2.0816310000000001E-4</v>
      </c>
      <c r="O25" s="247">
        <f>Q25+(R25*Sheet3!$AG$9)+(S25*Sheet3!$AG$10)+(T25*Sheet3!$AG$9*Sheet3!$AG$9)+(U25*Sheet3!$AG$9*Sheet3!$AG$10)+(V25*Sheet3!$AG$10*Sheet3!$AG$10)+(W25*Sheet3!$AG$9*Sheet3!$AG$9*Sheet3!$AG$9)+(X25*Sheet3!$AG$10*Sheet3!$AG$9*Sheet3!$AG$9)+(Y25*Sheet3!$AG$9*Sheet3!$AG$10*Sheet3!$AG$10)+(Z25*Sheet3!$AG$10*Sheet3!$AG$10*Sheet3!$AG$10)</f>
        <v>43.739081821880788</v>
      </c>
      <c r="P25" s="249" t="s">
        <v>359</v>
      </c>
      <c r="Q25" s="248">
        <v>27.30058</v>
      </c>
      <c r="R25" s="248">
        <v>1.0350550000000001</v>
      </c>
      <c r="S25" s="248">
        <v>0.3264281</v>
      </c>
      <c r="T25" s="248">
        <v>1.7802459999999999E-2</v>
      </c>
      <c r="U25" s="248">
        <v>-2.2770080000000002E-2</v>
      </c>
      <c r="V25" s="248">
        <v>-2.1939939999999999E-3</v>
      </c>
      <c r="W25" s="248">
        <v>1.145776E-4</v>
      </c>
      <c r="X25" s="248">
        <v>-2.6164830000000001E-4</v>
      </c>
      <c r="Y25" s="248">
        <v>2.3206090000000001E-4</v>
      </c>
      <c r="Z25" s="248">
        <v>9.0890659999999998E-5</v>
      </c>
    </row>
    <row r="26" spans="1:26" ht="15">
      <c r="A26" s="247">
        <f>C26+(D26*Sheet3!$AG$9)+(E26*Sheet3!$AG$10)+(F26*Sheet3!$AG$9*Sheet3!$AG$9)+(G26*Sheet3!$AG$9*Sheet3!$AG$10)+(H26*Sheet3!$AG$10*Sheet3!$AG$10)+(I26*Sheet3!$AG$9*Sheet3!$AG$9*Sheet3!$AG$9)+(J26*Sheet3!$AG$10*Sheet3!$AG$9*Sheet3!$AG$9)+(K26*Sheet3!$AG$9*Sheet3!$AG$10*Sheet3!$AG$10)+(L26*Sheet3!$AG$10*Sheet3!$AG$10*Sheet3!$AG$10)</f>
        <v>66.01219484739903</v>
      </c>
      <c r="B26" s="249" t="s">
        <v>360</v>
      </c>
      <c r="C26" s="248">
        <v>67.033000000000001</v>
      </c>
      <c r="D26" s="248">
        <v>2.3096999999999999</v>
      </c>
      <c r="E26" s="248">
        <v>0.4166803</v>
      </c>
      <c r="F26" s="248">
        <v>2.422521E-2</v>
      </c>
      <c r="G26" s="248">
        <v>2.1226620000000002E-2</v>
      </c>
      <c r="H26" s="248">
        <v>-2.3775890000000001E-2</v>
      </c>
      <c r="I26" s="248">
        <v>-6.9659210000000006E-5</v>
      </c>
      <c r="J26" s="248">
        <v>1.9589809999999999E-4</v>
      </c>
      <c r="K26" s="248">
        <v>-4.8233530000000002E-4</v>
      </c>
      <c r="L26" s="248">
        <v>1.543553E-4</v>
      </c>
      <c r="O26" s="247">
        <f>Q26+(R26*Sheet3!$AG$9)+(S26*Sheet3!$AG$10)+(T26*Sheet3!$AG$9*Sheet3!$AG$9)+(U26*Sheet3!$AG$9*Sheet3!$AG$10)+(V26*Sheet3!$AG$10*Sheet3!$AG$10)+(W26*Sheet3!$AG$9*Sheet3!$AG$9*Sheet3!$AG$9)+(X26*Sheet3!$AG$10*Sheet3!$AG$9*Sheet3!$AG$9)+(Y26*Sheet3!$AG$9*Sheet3!$AG$10*Sheet3!$AG$10)+(Z26*Sheet3!$AG$10*Sheet3!$AG$10*Sheet3!$AG$10)</f>
        <v>47.475256587135959</v>
      </c>
      <c r="P26" s="249" t="s">
        <v>360</v>
      </c>
      <c r="Q26" s="248">
        <v>29.900230000000001</v>
      </c>
      <c r="R26" s="248">
        <v>1.0699989999999999</v>
      </c>
      <c r="S26" s="248">
        <v>0.2241418</v>
      </c>
      <c r="T26" s="248">
        <v>2.8132069999999999E-2</v>
      </c>
      <c r="U26" s="248">
        <v>-2.547027E-2</v>
      </c>
      <c r="V26" s="248">
        <v>2.2343469999999998E-3</v>
      </c>
      <c r="W26" s="248">
        <v>2.5998349999999999E-4</v>
      </c>
      <c r="X26" s="248">
        <v>-4.6614669999999999E-4</v>
      </c>
      <c r="Y26" s="248">
        <v>2.6655169999999998E-4</v>
      </c>
      <c r="Z26" s="248">
        <v>6.5347520000000006E-5</v>
      </c>
    </row>
    <row r="27" spans="1:26" ht="15">
      <c r="A27" s="247">
        <f>C27+(D27*Sheet3!$AG$9)+(E27*Sheet3!$AG$10)+(F27*Sheet3!$AG$9*Sheet3!$AG$9)+(G27*Sheet3!$AG$9*Sheet3!$AG$10)+(H27*Sheet3!$AG$10*Sheet3!$AG$10)+(I27*Sheet3!$AG$9*Sheet3!$AG$9*Sheet3!$AG$9)+(J27*Sheet3!$AG$10*Sheet3!$AG$9*Sheet3!$AG$9)+(K27*Sheet3!$AG$9*Sheet3!$AG$10*Sheet3!$AG$10)+(L27*Sheet3!$AG$10*Sheet3!$AG$10*Sheet3!$AG$10)</f>
        <v>64.250309931882626</v>
      </c>
      <c r="B27" s="249" t="s">
        <v>361</v>
      </c>
      <c r="C27" s="248">
        <v>76.340559999999996</v>
      </c>
      <c r="D27" s="248">
        <v>2.9897149999999999</v>
      </c>
      <c r="E27" s="248">
        <v>-0.36346729999999999</v>
      </c>
      <c r="F27" s="248">
        <v>5.0091259999999999E-2</v>
      </c>
      <c r="G27" s="248">
        <v>-1.520938E-2</v>
      </c>
      <c r="H27" s="248">
        <v>-5.8368789999999997E-3</v>
      </c>
      <c r="I27" s="248">
        <v>3.0417749999999999E-4</v>
      </c>
      <c r="J27" s="248">
        <v>-3.6287009999999998E-4</v>
      </c>
      <c r="K27" s="248">
        <v>-6.0165940000000002E-5</v>
      </c>
      <c r="L27" s="248">
        <v>2.5670419999999999E-5</v>
      </c>
      <c r="O27" s="247">
        <f>Q27+(R27*Sheet3!$AG$9)+(S27*Sheet3!$AG$10)+(T27*Sheet3!$AG$9*Sheet3!$AG$9)+(U27*Sheet3!$AG$9*Sheet3!$AG$10)+(V27*Sheet3!$AG$10*Sheet3!$AG$10)+(W27*Sheet3!$AG$9*Sheet3!$AG$9*Sheet3!$AG$9)+(X27*Sheet3!$AG$10*Sheet3!$AG$9*Sheet3!$AG$9)+(Y27*Sheet3!$AG$9*Sheet3!$AG$10*Sheet3!$AG$10)+(Z27*Sheet3!$AG$10*Sheet3!$AG$10*Sheet3!$AG$10)</f>
        <v>46.918157323971357</v>
      </c>
      <c r="P27" s="249" t="s">
        <v>361</v>
      </c>
      <c r="Q27" s="248">
        <v>8.8269859999999998</v>
      </c>
      <c r="R27" s="248">
        <v>-0.2484364</v>
      </c>
      <c r="S27" s="248">
        <v>1.5794440000000001</v>
      </c>
      <c r="T27" s="248">
        <v>-1.074784E-4</v>
      </c>
      <c r="U27" s="248">
        <v>2.357515E-2</v>
      </c>
      <c r="V27" s="248">
        <v>-2.8604540000000001E-2</v>
      </c>
      <c r="W27" s="248">
        <v>2.0828459999999999E-5</v>
      </c>
      <c r="X27" s="248">
        <v>1.4201909999999999E-4</v>
      </c>
      <c r="Y27" s="248">
        <v>-2.7756269999999999E-4</v>
      </c>
      <c r="Z27" s="248">
        <v>3.2835269999999998E-4</v>
      </c>
    </row>
    <row r="28" spans="1:26" ht="15">
      <c r="A28" s="247">
        <f>C28+(D28*Sheet3!$AG$9)+(E28*Sheet3!$AG$10)+(F28*Sheet3!$AG$9*Sheet3!$AG$9)+(G28*Sheet3!$AG$9*Sheet3!$AG$10)+(H28*Sheet3!$AG$10*Sheet3!$AG$10)+(I28*Sheet3!$AG$9*Sheet3!$AG$9*Sheet3!$AG$9)+(J28*Sheet3!$AG$10*Sheet3!$AG$9*Sheet3!$AG$9)+(K28*Sheet3!$AG$9*Sheet3!$AG$10*Sheet3!$AG$10)+(L28*Sheet3!$AG$10*Sheet3!$AG$10*Sheet3!$AG$10)</f>
        <v>76.967948018812379</v>
      </c>
      <c r="B28" s="249" t="s">
        <v>362</v>
      </c>
      <c r="C28" s="248">
        <v>84.368409999999997</v>
      </c>
      <c r="D28" s="248">
        <v>3.1959330000000001</v>
      </c>
      <c r="E28" s="248">
        <v>0.1116375</v>
      </c>
      <c r="F28" s="248">
        <v>3.6536649999999997E-2</v>
      </c>
      <c r="G28" s="248">
        <v>-2.5771629999999999E-3</v>
      </c>
      <c r="H28" s="248">
        <v>-1.957677E-2</v>
      </c>
      <c r="I28" s="248">
        <v>2.2461200000000001E-4</v>
      </c>
      <c r="J28" s="248">
        <v>-3.913136E-5</v>
      </c>
      <c r="K28" s="248">
        <v>-2.432275E-4</v>
      </c>
      <c r="L28" s="248">
        <v>1.1713340000000001E-4</v>
      </c>
      <c r="O28" s="247">
        <f>Q28+(R28*Sheet3!$AG$9)+(S28*Sheet3!$AG$10)+(T28*Sheet3!$AG$9*Sheet3!$AG$9)+(U28*Sheet3!$AG$9*Sheet3!$AG$10)+(V28*Sheet3!$AG$10*Sheet3!$AG$10)+(W28*Sheet3!$AG$9*Sheet3!$AG$9*Sheet3!$AG$9)+(X28*Sheet3!$AG$10*Sheet3!$AG$9*Sheet3!$AG$9)+(Y28*Sheet3!$AG$9*Sheet3!$AG$10*Sheet3!$AG$10)+(Z28*Sheet3!$AG$10*Sheet3!$AG$10*Sheet3!$AG$10)</f>
        <v>55.02050737629154</v>
      </c>
      <c r="P28" s="249" t="s">
        <v>362</v>
      </c>
      <c r="Q28" s="248">
        <v>41.115729999999999</v>
      </c>
      <c r="R28" s="248">
        <v>1.24105</v>
      </c>
      <c r="S28" s="248">
        <v>-7.9920240000000003E-2</v>
      </c>
      <c r="T28" s="248">
        <v>2.4311989999999999E-2</v>
      </c>
      <c r="U28" s="248">
        <v>-3.0039030000000001E-2</v>
      </c>
      <c r="V28" s="248">
        <v>8.5299829999999997E-3</v>
      </c>
      <c r="W28" s="248">
        <v>4.3109069999999999E-4</v>
      </c>
      <c r="X28" s="248">
        <v>-3.1333169999999999E-4</v>
      </c>
      <c r="Y28" s="248">
        <v>3.155209E-4</v>
      </c>
      <c r="Z28" s="248">
        <v>3.7674330000000002E-5</v>
      </c>
    </row>
    <row r="29" spans="1:26" ht="15">
      <c r="A29" s="247">
        <f>C29+(D29*Sheet3!$AG$9)+(E29*Sheet3!$AG$10)+(F29*Sheet3!$AG$9*Sheet3!$AG$9)+(G29*Sheet3!$AG$9*Sheet3!$AG$10)+(H29*Sheet3!$AG$10*Sheet3!$AG$10)+(I29*Sheet3!$AG$9*Sheet3!$AG$9*Sheet3!$AG$9)+(J29*Sheet3!$AG$10*Sheet3!$AG$9*Sheet3!$AG$9)+(K29*Sheet3!$AG$9*Sheet3!$AG$10*Sheet3!$AG$10)+(L29*Sheet3!$AG$10*Sheet3!$AG$10*Sheet3!$AG$10)</f>
        <v>84.609142067047458</v>
      </c>
      <c r="B29" s="249" t="s">
        <v>363</v>
      </c>
      <c r="C29" s="248">
        <v>92.746780000000001</v>
      </c>
      <c r="D29" s="248">
        <v>3.5132439999999998</v>
      </c>
      <c r="E29" s="248">
        <v>0.1225605</v>
      </c>
      <c r="F29" s="248">
        <v>4.0163499999999998E-2</v>
      </c>
      <c r="G29" s="248">
        <v>-2.8337119999999999E-3</v>
      </c>
      <c r="H29" s="248">
        <v>-2.1516859999999999E-2</v>
      </c>
      <c r="I29" s="248">
        <v>2.468638E-4</v>
      </c>
      <c r="J29" s="248">
        <v>-4.3016429999999999E-5</v>
      </c>
      <c r="K29" s="248">
        <v>-2.6736689999999998E-4</v>
      </c>
      <c r="L29" s="248">
        <v>1.287367E-4</v>
      </c>
      <c r="O29" s="247">
        <f>Q29+(R29*Sheet3!$AG$9)+(S29*Sheet3!$AG$10)+(T29*Sheet3!$AG$9*Sheet3!$AG$9)+(U29*Sheet3!$AG$9*Sheet3!$AG$10)+(V29*Sheet3!$AG$10*Sheet3!$AG$10)+(W29*Sheet3!$AG$9*Sheet3!$AG$9*Sheet3!$AG$9)+(X29*Sheet3!$AG$10*Sheet3!$AG$9*Sheet3!$AG$9)+(Y29*Sheet3!$AG$9*Sheet3!$AG$10*Sheet3!$AG$10)+(Z29*Sheet3!$AG$10*Sheet3!$AG$10*Sheet3!$AG$10)</f>
        <v>62.297525942044551</v>
      </c>
      <c r="P29" s="249" t="s">
        <v>363</v>
      </c>
      <c r="Q29" s="248">
        <v>46.552979999999998</v>
      </c>
      <c r="R29" s="248">
        <v>1.4053230000000001</v>
      </c>
      <c r="S29" s="248">
        <v>-9.0411039999999998E-2</v>
      </c>
      <c r="T29" s="248">
        <v>2.7529499999999998E-2</v>
      </c>
      <c r="U29" s="248">
        <v>-3.4017430000000001E-2</v>
      </c>
      <c r="V29" s="248">
        <v>9.6558519999999995E-3</v>
      </c>
      <c r="W29" s="248">
        <v>4.8806320000000002E-4</v>
      </c>
      <c r="X29" s="248">
        <v>-3.548399E-4</v>
      </c>
      <c r="Y29" s="248">
        <v>3.5730560000000002E-4</v>
      </c>
      <c r="Z29" s="248">
        <v>4.2676119999999998E-5</v>
      </c>
    </row>
    <row r="30" spans="1:26" ht="15">
      <c r="A30" s="247">
        <f>C30+(D30*Sheet3!$AG$9)+(E30*Sheet3!$AG$10)+(F30*Sheet3!$AG$9*Sheet3!$AG$9)+(G30*Sheet3!$AG$9*Sheet3!$AG$10)+(H30*Sheet3!$AG$10*Sheet3!$AG$10)+(I30*Sheet3!$AG$9*Sheet3!$AG$9*Sheet3!$AG$9)+(J30*Sheet3!$AG$10*Sheet3!$AG$9*Sheet3!$AG$9)+(K30*Sheet3!$AG$9*Sheet3!$AG$10*Sheet3!$AG$10)+(L30*Sheet3!$AG$10*Sheet3!$AG$10*Sheet3!$AG$10)</f>
        <v>94.851636527822563</v>
      </c>
      <c r="B30" s="249" t="s">
        <v>364</v>
      </c>
      <c r="C30" s="248">
        <v>147.22749999999999</v>
      </c>
      <c r="D30" s="248">
        <v>4.9495069999999997</v>
      </c>
      <c r="E30" s="248">
        <v>-3.0200770000000001</v>
      </c>
      <c r="F30" s="248">
        <v>6.8453879999999995E-2</v>
      </c>
      <c r="G30" s="248">
        <v>-4.7233560000000001E-2</v>
      </c>
      <c r="H30" s="248">
        <v>4.8443680000000003E-2</v>
      </c>
      <c r="I30" s="248">
        <v>3.8961289999999999E-4</v>
      </c>
      <c r="J30" s="248">
        <v>-4.7057309999999999E-4</v>
      </c>
      <c r="K30" s="248">
        <v>1.653212E-4</v>
      </c>
      <c r="L30" s="248">
        <v>-3.7021990000000001E-4</v>
      </c>
      <c r="O30" s="247">
        <f>Q30+(R30*Sheet3!$AG$9)+(S30*Sheet3!$AG$10)+(T30*Sheet3!$AG$9*Sheet3!$AG$9)+(U30*Sheet3!$AG$9*Sheet3!$AG$10)+(V30*Sheet3!$AG$10*Sheet3!$AG$10)+(W30*Sheet3!$AG$9*Sheet3!$AG$9*Sheet3!$AG$9)+(X30*Sheet3!$AG$10*Sheet3!$AG$9*Sheet3!$AG$9)+(Y30*Sheet3!$AG$9*Sheet3!$AG$10*Sheet3!$AG$10)+(Z30*Sheet3!$AG$10*Sheet3!$AG$10*Sheet3!$AG$10)</f>
        <v>71.76891797325176</v>
      </c>
      <c r="P30" s="249" t="s">
        <v>364</v>
      </c>
      <c r="Q30" s="248">
        <v>72.739680000000007</v>
      </c>
      <c r="R30" s="248">
        <v>2.0930399999999998</v>
      </c>
      <c r="S30" s="248">
        <v>-1.5088710000000001</v>
      </c>
      <c r="T30" s="248">
        <v>3.9324329999999998E-2</v>
      </c>
      <c r="U30" s="248">
        <v>-6.3818990000000006E-2</v>
      </c>
      <c r="V30" s="248">
        <v>4.3266930000000002E-2</v>
      </c>
      <c r="W30" s="248">
        <v>6.7195769999999996E-4</v>
      </c>
      <c r="X30" s="248">
        <v>-6.0277590000000004E-4</v>
      </c>
      <c r="Y30" s="248">
        <v>6.6354339999999997E-4</v>
      </c>
      <c r="Z30" s="248">
        <v>-1.6641520000000001E-4</v>
      </c>
    </row>
    <row r="31" spans="1:26" ht="15">
      <c r="A31" s="247">
        <f>C31+(D31*Sheet3!$AG$9)+(E31*Sheet3!$AG$10)+(F31*Sheet3!$AG$9*Sheet3!$AG$9)+(G31*Sheet3!$AG$9*Sheet3!$AG$10)+(H31*Sheet3!$AG$10*Sheet3!$AG$10)+(I31*Sheet3!$AG$9*Sheet3!$AG$9*Sheet3!$AG$9)+(J31*Sheet3!$AG$10*Sheet3!$AG$9*Sheet3!$AG$9)+(K31*Sheet3!$AG$9*Sheet3!$AG$10*Sheet3!$AG$10)+(L31*Sheet3!$AG$10*Sheet3!$AG$10*Sheet3!$AG$10)</f>
        <v>108.86895114597168</v>
      </c>
      <c r="B31" s="249" t="s">
        <v>365</v>
      </c>
      <c r="C31" s="248">
        <v>116.621</v>
      </c>
      <c r="D31" s="248">
        <v>4.7099270000000004</v>
      </c>
      <c r="E31" s="248">
        <v>-2.36583E-2</v>
      </c>
      <c r="F31" s="248">
        <v>6.7482959999999995E-2</v>
      </c>
      <c r="G31" s="248">
        <v>-1.445399E-2</v>
      </c>
      <c r="H31" s="248">
        <v>-1.7877649999999998E-2</v>
      </c>
      <c r="I31" s="248">
        <v>2.2209749999999999E-4</v>
      </c>
      <c r="J31" s="248">
        <v>-4.1595590000000001E-4</v>
      </c>
      <c r="K31" s="248">
        <v>-2.0074989999999999E-4</v>
      </c>
      <c r="L31" s="248">
        <v>8.1614009999999996E-5</v>
      </c>
      <c r="O31" s="247">
        <f>Q31+(R31*Sheet3!$AG$9)+(S31*Sheet3!$AG$10)+(T31*Sheet3!$AG$9*Sheet3!$AG$9)+(U31*Sheet3!$AG$9*Sheet3!$AG$10)+(V31*Sheet3!$AG$10*Sheet3!$AG$10)+(W31*Sheet3!$AG$9*Sheet3!$AG$9*Sheet3!$AG$9)+(X31*Sheet3!$AG$10*Sheet3!$AG$9*Sheet3!$AG$9)+(Y31*Sheet3!$AG$9*Sheet3!$AG$10*Sheet3!$AG$10)+(Z31*Sheet3!$AG$10*Sheet3!$AG$10*Sheet3!$AG$10)</f>
        <v>79.709692775624148</v>
      </c>
      <c r="P31" s="249" t="s">
        <v>365</v>
      </c>
      <c r="Q31" s="248">
        <v>67.937830000000005</v>
      </c>
      <c r="R31" s="248">
        <v>2.0524079999999998</v>
      </c>
      <c r="S31" s="248">
        <v>-0.85448210000000002</v>
      </c>
      <c r="T31" s="248">
        <v>4.2824220000000003E-2</v>
      </c>
      <c r="U31" s="248">
        <v>-5.3287769999999998E-2</v>
      </c>
      <c r="V31" s="248">
        <v>3.1280389999999998E-2</v>
      </c>
      <c r="W31" s="248">
        <v>7.2373960000000006E-5</v>
      </c>
      <c r="X31" s="248">
        <v>-7.5286730000000005E-4</v>
      </c>
      <c r="Y31" s="248">
        <v>5.6394419999999999E-4</v>
      </c>
      <c r="Z31" s="248">
        <v>-8.6148240000000006E-5</v>
      </c>
    </row>
    <row r="32" spans="1:26" ht="15">
      <c r="A32" s="247">
        <f>C32+(D32*Sheet3!$AG$9)+(E32*Sheet3!$AG$10)+(F32*Sheet3!$AG$9*Sheet3!$AG$9)+(G32*Sheet3!$AG$9*Sheet3!$AG$10)+(H32*Sheet3!$AG$10*Sheet3!$AG$10)+(I32*Sheet3!$AG$9*Sheet3!$AG$9*Sheet3!$AG$9)+(J32*Sheet3!$AG$10*Sheet3!$AG$9*Sheet3!$AG$9)+(K32*Sheet3!$AG$9*Sheet3!$AG$10*Sheet3!$AG$10)+(L32*Sheet3!$AG$10*Sheet3!$AG$10*Sheet3!$AG$10)</f>
        <v>114.4673269679532</v>
      </c>
      <c r="B32" s="249" t="s">
        <v>366</v>
      </c>
      <c r="C32" s="248">
        <v>116.2557</v>
      </c>
      <c r="D32" s="248">
        <v>4.1001519999999996</v>
      </c>
      <c r="E32" s="248">
        <v>0.61870979999999998</v>
      </c>
      <c r="F32" s="248">
        <v>5.5181809999999998E-2</v>
      </c>
      <c r="G32" s="248">
        <v>2.2130110000000001E-2</v>
      </c>
      <c r="H32" s="248">
        <v>-3.636462E-2</v>
      </c>
      <c r="I32" s="248">
        <v>3.8491909999999999E-4</v>
      </c>
      <c r="J32" s="248">
        <v>4.057282E-5</v>
      </c>
      <c r="K32" s="248">
        <v>-6.1630680000000001E-4</v>
      </c>
      <c r="L32" s="248">
        <v>2.1957309999999999E-4</v>
      </c>
      <c r="O32" s="247">
        <f>Q32+(R32*Sheet3!$AG$9)+(S32*Sheet3!$AG$10)+(T32*Sheet3!$AG$9*Sheet3!$AG$9)+(U32*Sheet3!$AG$9*Sheet3!$AG$10)+(V32*Sheet3!$AG$10*Sheet3!$AG$10)+(W32*Sheet3!$AG$9*Sheet3!$AG$9*Sheet3!$AG$9)+(X32*Sheet3!$AG$10*Sheet3!$AG$9*Sheet3!$AG$9)+(Y32*Sheet3!$AG$9*Sheet3!$AG$10*Sheet3!$AG$10)+(Z32*Sheet3!$AG$10*Sheet3!$AG$10*Sheet3!$AG$10)</f>
        <v>85.928668077177349</v>
      </c>
      <c r="P32" s="249" t="s">
        <v>366</v>
      </c>
      <c r="Q32" s="248">
        <v>66.746759999999995</v>
      </c>
      <c r="R32" s="248">
        <v>0.69669250000000005</v>
      </c>
      <c r="S32" s="248">
        <v>-0.48650900000000002</v>
      </c>
      <c r="T32" s="248">
        <v>1.470172E-2</v>
      </c>
      <c r="U32" s="248">
        <v>-4.2656749999999999E-4</v>
      </c>
      <c r="V32" s="248">
        <v>2.3992860000000001E-2</v>
      </c>
      <c r="W32" s="248">
        <v>4.4904610000000002E-4</v>
      </c>
      <c r="X32" s="248">
        <v>-7.0662290000000002E-5</v>
      </c>
      <c r="Y32" s="248">
        <v>3.958043E-5</v>
      </c>
      <c r="Z32" s="248">
        <v>-8.6394469999999992E-6</v>
      </c>
    </row>
    <row r="33" spans="1:26" ht="15">
      <c r="A33" s="255"/>
      <c r="X33" s="242"/>
    </row>
    <row r="34" spans="1:26">
      <c r="A34" s="87"/>
      <c r="B34" s="87"/>
      <c r="C34" s="87"/>
      <c r="D34" s="87"/>
      <c r="E34" s="87"/>
      <c r="F34" s="87"/>
      <c r="G34" s="87"/>
      <c r="H34" s="87"/>
      <c r="I34" s="87"/>
      <c r="J34" s="87"/>
      <c r="K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X34" s="87"/>
      <c r="Y34" s="87"/>
      <c r="Z34" s="87"/>
    </row>
    <row r="35" spans="1:26" ht="15">
      <c r="A35" s="247" t="e">
        <f>C35+(D35*Sheet3!$AG$9)+(E35*Sheet3!$AG$10)+(F35*Sheet3!$AG$9*Sheet3!$AG$9)+(G35*Sheet3!$AG$9*Sheet3!$AG$10)+(H35*Sheet3!$AG$10*Sheet3!$AG$10)+(I35*Sheet3!$AG$9*Sheet3!$AG$9*Sheet3!$AG$9)+(J35*Sheet3!$AG$10*Sheet3!$AG$9*Sheet3!$AG$9)+(K35*Sheet3!$AG$9*Sheet3!$AG$10*Sheet3!$AG$10)+(L35*Sheet3!$AG$10*Sheet3!$AG$10*Sheet3!$AG$10)</f>
        <v>#VALUE!</v>
      </c>
      <c r="B35" s="255" t="s">
        <v>322</v>
      </c>
      <c r="C35" s="256" t="s">
        <v>323</v>
      </c>
      <c r="D35" s="256" t="s">
        <v>324</v>
      </c>
      <c r="E35" s="256" t="s">
        <v>325</v>
      </c>
      <c r="F35" s="256" t="s">
        <v>326</v>
      </c>
      <c r="G35" s="256" t="s">
        <v>327</v>
      </c>
      <c r="H35" s="256" t="s">
        <v>328</v>
      </c>
      <c r="I35" s="256" t="s">
        <v>329</v>
      </c>
      <c r="J35" s="256" t="s">
        <v>330</v>
      </c>
      <c r="K35" s="256" t="s">
        <v>331</v>
      </c>
      <c r="L35" s="256" t="s">
        <v>332</v>
      </c>
      <c r="O35" s="247" t="e">
        <f>Q35+(R35*Sheet3!$AG$9)+(S35*Sheet3!$AG$10)+(T35*Sheet3!$AG$9*Sheet3!$AG$9)+(U35*Sheet3!$AG$9*Sheet3!$AG$10)+(V35*Sheet3!$AG$10*Sheet3!$AG$10)+(W35*Sheet3!$AG$9*Sheet3!$AG$9*Sheet3!$AG$9)+(X35*Sheet3!$AG$10*Sheet3!$AG$9*Sheet3!$AG$9)+(Y35*Sheet3!$AG$9*Sheet3!$AG$10*Sheet3!$AG$10)+(Z35*Sheet3!$AG$10*Sheet3!$AG$10*Sheet3!$AG$10)</f>
        <v>#VALUE!</v>
      </c>
      <c r="P35" s="255" t="s">
        <v>322</v>
      </c>
      <c r="Q35" s="256" t="s">
        <v>323</v>
      </c>
      <c r="R35" s="256" t="s">
        <v>324</v>
      </c>
      <c r="S35" s="256" t="s">
        <v>325</v>
      </c>
      <c r="T35" s="256" t="s">
        <v>326</v>
      </c>
      <c r="U35" s="256" t="s">
        <v>327</v>
      </c>
      <c r="V35" s="256" t="s">
        <v>328</v>
      </c>
      <c r="W35" s="256" t="s">
        <v>329</v>
      </c>
      <c r="X35" s="256" t="s">
        <v>330</v>
      </c>
      <c r="Y35" s="256" t="s">
        <v>331</v>
      </c>
      <c r="Z35" s="256" t="s">
        <v>332</v>
      </c>
    </row>
    <row r="36" spans="1:26" ht="15">
      <c r="A36" s="247">
        <f>C36+(D36*Sheet3!$AG$9)+(E36*Sheet3!$AG$10)+(F36*Sheet3!$AG$9*Sheet3!$AG$9)+(G36*Sheet3!$AG$9*Sheet3!$AG$10)+(H36*Sheet3!$AG$10*Sheet3!$AG$10)+(I36*Sheet3!$AG$9*Sheet3!$AG$9*Sheet3!$AG$9)+(J36*Sheet3!$AG$10*Sheet3!$AG$9*Sheet3!$AG$9)+(K36*Sheet3!$AG$9*Sheet3!$AG$10*Sheet3!$AG$10)+(L36*Sheet3!$AG$10*Sheet3!$AG$10*Sheet3!$AG$10)</f>
        <v>44.393336010401697</v>
      </c>
      <c r="B36" s="255" t="s">
        <v>367</v>
      </c>
      <c r="C36" s="248">
        <v>58.435139999999997</v>
      </c>
      <c r="D36" s="248">
        <v>2.3102469999999999</v>
      </c>
      <c r="E36" s="248">
        <v>-0.4990754</v>
      </c>
      <c r="F36" s="248">
        <v>3.5255160000000001E-2</v>
      </c>
      <c r="G36" s="248">
        <v>-1.5493160000000001E-2</v>
      </c>
      <c r="H36" s="248">
        <v>-1.3884279999999999E-3</v>
      </c>
      <c r="I36" s="248">
        <v>2.0576200000000001E-4</v>
      </c>
      <c r="J36" s="248">
        <v>-2.1511410000000001E-4</v>
      </c>
      <c r="K36" s="248">
        <v>-1.7055049999999999E-5</v>
      </c>
      <c r="L36" s="248">
        <v>1.033435E-5</v>
      </c>
      <c r="O36" s="247">
        <f>Q36+(R36*Sheet3!$AG$9)+(S36*Sheet3!$AG$10)+(T36*Sheet3!$AG$9*Sheet3!$AG$9)+(U36*Sheet3!$AG$9*Sheet3!$AG$10)+(V36*Sheet3!$AG$10*Sheet3!$AG$10)+(W36*Sheet3!$AG$9*Sheet3!$AG$9*Sheet3!$AG$9)+(X36*Sheet3!$AG$10*Sheet3!$AG$9*Sheet3!$AG$9)+(Y36*Sheet3!$AG$9*Sheet3!$AG$10*Sheet3!$AG$10)+(Z36*Sheet3!$AG$10*Sheet3!$AG$10*Sheet3!$AG$10)</f>
        <v>33.090319773246151</v>
      </c>
      <c r="P36" s="255" t="s">
        <v>367</v>
      </c>
      <c r="Q36" s="248">
        <v>32.982500000000002</v>
      </c>
      <c r="R36" s="248">
        <v>0.99174039999999997</v>
      </c>
      <c r="S36" s="248">
        <v>-1.2662310000000001</v>
      </c>
      <c r="T36" s="248">
        <v>2.3923460000000001E-2</v>
      </c>
      <c r="U36" s="248">
        <v>-4.5288870000000002E-2</v>
      </c>
      <c r="V36" s="248">
        <v>4.5431319999999997E-2</v>
      </c>
      <c r="W36" s="248">
        <v>2.883098E-4</v>
      </c>
      <c r="X36" s="248">
        <v>-5.7583730000000004E-4</v>
      </c>
      <c r="Y36" s="248">
        <v>5.6439939999999996E-4</v>
      </c>
      <c r="Z36" s="248">
        <v>-3.2933540000000002E-4</v>
      </c>
    </row>
    <row r="37" spans="1:26" ht="15">
      <c r="A37" s="247">
        <f>C37+(D37*Sheet3!$AG$9)+(E37*Sheet3!$AG$10)+(F37*Sheet3!$AG$9*Sheet3!$AG$9)+(G37*Sheet3!$AG$9*Sheet3!$AG$10)+(H37*Sheet3!$AG$10*Sheet3!$AG$10)+(I37*Sheet3!$AG$9*Sheet3!$AG$9*Sheet3!$AG$9)+(J37*Sheet3!$AG$10*Sheet3!$AG$9*Sheet3!$AG$9)+(K37*Sheet3!$AG$9*Sheet3!$AG$10*Sheet3!$AG$10)+(L37*Sheet3!$AG$10*Sheet3!$AG$10*Sheet3!$AG$10)</f>
        <v>50.955830431093624</v>
      </c>
      <c r="B37" s="255" t="s">
        <v>368</v>
      </c>
      <c r="C37" s="248">
        <v>67.07338</v>
      </c>
      <c r="D37" s="248">
        <v>2.6517620000000002</v>
      </c>
      <c r="E37" s="248">
        <v>-0.57285180000000002</v>
      </c>
      <c r="F37" s="248">
        <v>4.0466790000000002E-2</v>
      </c>
      <c r="G37" s="248">
        <v>-1.7783460000000001E-2</v>
      </c>
      <c r="H37" s="248">
        <v>-1.5936730000000001E-3</v>
      </c>
      <c r="I37" s="248">
        <v>2.3617899999999999E-4</v>
      </c>
      <c r="J37" s="248">
        <v>-2.4691360000000001E-4</v>
      </c>
      <c r="K37" s="248">
        <v>-1.9576229999999999E-5</v>
      </c>
      <c r="L37" s="248">
        <v>1.186203E-5</v>
      </c>
      <c r="O37" s="247">
        <f>Q37+(R37*Sheet3!$AG$9)+(S37*Sheet3!$AG$10)+(T37*Sheet3!$AG$9*Sheet3!$AG$9)+(U37*Sheet3!$AG$9*Sheet3!$AG$10)+(V37*Sheet3!$AG$10*Sheet3!$AG$10)+(W37*Sheet3!$AG$9*Sheet3!$AG$9*Sheet3!$AG$9)+(X37*Sheet3!$AG$10*Sheet3!$AG$9*Sheet3!$AG$9)+(Y37*Sheet3!$AG$9*Sheet3!$AG$10*Sheet3!$AG$10)+(Z37*Sheet3!$AG$10*Sheet3!$AG$10*Sheet3!$AG$10)</f>
        <v>37.981979567371937</v>
      </c>
      <c r="P37" s="255" t="s">
        <v>368</v>
      </c>
      <c r="Q37" s="248">
        <v>37.858170000000001</v>
      </c>
      <c r="R37" s="248">
        <v>1.1383460000000001</v>
      </c>
      <c r="S37" s="248">
        <v>-1.4534119999999999</v>
      </c>
      <c r="T37" s="248">
        <v>2.7459979999999998E-2</v>
      </c>
      <c r="U37" s="248">
        <v>-5.1983750000000002E-2</v>
      </c>
      <c r="V37" s="248">
        <v>5.2147260000000001E-2</v>
      </c>
      <c r="W37" s="248">
        <v>3.3092959999999998E-4</v>
      </c>
      <c r="X37" s="248">
        <v>-6.6096109999999998E-4</v>
      </c>
      <c r="Y37" s="248">
        <v>6.4783240000000001E-4</v>
      </c>
      <c r="Z37" s="248">
        <v>-3.7801970000000002E-4</v>
      </c>
    </row>
    <row r="38" spans="1:26" ht="15">
      <c r="A38" s="247">
        <f>C38+(D38*Sheet3!$AG$9)+(E38*Sheet3!$AG$10)+(F38*Sheet3!$AG$9*Sheet3!$AG$9)+(G38*Sheet3!$AG$9*Sheet3!$AG$10)+(H38*Sheet3!$AG$10*Sheet3!$AG$10)+(I38*Sheet3!$AG$9*Sheet3!$AG$9*Sheet3!$AG$9)+(J38*Sheet3!$AG$10*Sheet3!$AG$9*Sheet3!$AG$9)+(K38*Sheet3!$AG$9*Sheet3!$AG$10*Sheet3!$AG$10)+(L38*Sheet3!$AG$10*Sheet3!$AG$10*Sheet3!$AG$10)</f>
        <v>60.055405149207587</v>
      </c>
      <c r="B38" s="255" t="s">
        <v>369</v>
      </c>
      <c r="C38" s="248">
        <v>79.051190000000005</v>
      </c>
      <c r="D38" s="248">
        <v>3.1253069999999998</v>
      </c>
      <c r="E38" s="248">
        <v>-0.67515029999999998</v>
      </c>
      <c r="F38" s="248">
        <v>4.7693260000000001E-2</v>
      </c>
      <c r="G38" s="248">
        <v>-2.0959189999999999E-2</v>
      </c>
      <c r="H38" s="248">
        <v>-1.878268E-3</v>
      </c>
      <c r="I38" s="248">
        <v>2.7835529999999998E-4</v>
      </c>
      <c r="J38" s="248">
        <v>-2.9100680000000001E-4</v>
      </c>
      <c r="K38" s="248">
        <v>-2.307211E-5</v>
      </c>
      <c r="L38" s="248">
        <v>1.3980329999999999E-5</v>
      </c>
      <c r="O38" s="247">
        <f>Q38+(R38*Sheet3!$AG$9)+(S38*Sheet3!$AG$10)+(T38*Sheet3!$AG$9*Sheet3!$AG$9)+(U38*Sheet3!$AG$9*Sheet3!$AG$10)+(V38*Sheet3!$AG$10*Sheet3!$AG$10)+(W38*Sheet3!$AG$9*Sheet3!$AG$9*Sheet3!$AG$9)+(X38*Sheet3!$AG$10*Sheet3!$AG$9*Sheet3!$AG$9)+(Y38*Sheet3!$AG$9*Sheet3!$AG$10*Sheet3!$AG$10)+(Z38*Sheet3!$AG$10*Sheet3!$AG$10*Sheet3!$AG$10)</f>
        <v>44.342121240223307</v>
      </c>
      <c r="P38" s="255" t="s">
        <v>369</v>
      </c>
      <c r="Q38" s="248">
        <v>44.197620000000001</v>
      </c>
      <c r="R38" s="248">
        <v>1.328964</v>
      </c>
      <c r="S38" s="248">
        <v>-1.69679</v>
      </c>
      <c r="T38" s="248">
        <v>3.2058219999999998E-2</v>
      </c>
      <c r="U38" s="248">
        <v>-6.0688560000000003E-2</v>
      </c>
      <c r="V38" s="248">
        <v>6.087944E-2</v>
      </c>
      <c r="W38" s="248">
        <v>3.8634450000000001E-4</v>
      </c>
      <c r="X38" s="248">
        <v>-7.7164059999999997E-4</v>
      </c>
      <c r="Y38" s="248">
        <v>7.5631349999999995E-4</v>
      </c>
      <c r="Z38" s="248">
        <v>-4.4132010000000002E-4</v>
      </c>
    </row>
    <row r="39" spans="1:26" ht="15">
      <c r="A39" s="247">
        <f>C39+(D39*Sheet3!$AG$9)+(E39*Sheet3!$AG$10)+(F39*Sheet3!$AG$9*Sheet3!$AG$9)+(G39*Sheet3!$AG$9*Sheet3!$AG$10)+(H39*Sheet3!$AG$10*Sheet3!$AG$10)+(I39*Sheet3!$AG$9*Sheet3!$AG$9*Sheet3!$AG$9)+(J39*Sheet3!$AG$10*Sheet3!$AG$9*Sheet3!$AG$9)+(K39*Sheet3!$AG$9*Sheet3!$AG$10*Sheet3!$AG$10)+(L39*Sheet3!$AG$10*Sheet3!$AG$10*Sheet3!$AG$10)</f>
        <v>66.912921845358014</v>
      </c>
      <c r="B39" s="255" t="s">
        <v>370</v>
      </c>
      <c r="C39" s="248">
        <v>88.077770000000001</v>
      </c>
      <c r="D39" s="248">
        <v>3.4821749999999998</v>
      </c>
      <c r="E39" s="248">
        <v>-0.75224340000000001</v>
      </c>
      <c r="F39" s="248">
        <v>5.3139180000000001E-2</v>
      </c>
      <c r="G39" s="248">
        <v>-2.3352439999999999E-2</v>
      </c>
      <c r="H39" s="248">
        <v>-2.092741E-3</v>
      </c>
      <c r="I39" s="248">
        <v>3.1013969999999999E-4</v>
      </c>
      <c r="J39" s="248">
        <v>-3.2423590000000001E-4</v>
      </c>
      <c r="K39" s="248">
        <v>-2.5706630000000001E-5</v>
      </c>
      <c r="L39" s="248">
        <v>1.5576689999999999E-5</v>
      </c>
      <c r="O39" s="247">
        <f>Q39+(R39*Sheet3!$AG$9)+(S39*Sheet3!$AG$10)+(T39*Sheet3!$AG$9*Sheet3!$AG$9)+(U39*Sheet3!$AG$9*Sheet3!$AG$10)+(V39*Sheet3!$AG$10*Sheet3!$AG$10)+(W39*Sheet3!$AG$9*Sheet3!$AG$9*Sheet3!$AG$9)+(X39*Sheet3!$AG$10*Sheet3!$AG$9*Sheet3!$AG$9)+(Y39*Sheet3!$AG$9*Sheet3!$AG$10*Sheet3!$AG$10)+(Z39*Sheet3!$AG$10*Sheet3!$AG$10*Sheet3!$AG$10)</f>
        <v>50.421473771970824</v>
      </c>
      <c r="P39" s="255" t="s">
        <v>370</v>
      </c>
      <c r="Q39" s="248">
        <v>50.257159999999999</v>
      </c>
      <c r="R39" s="248">
        <v>1.5111669999999999</v>
      </c>
      <c r="S39" s="248">
        <v>-1.929422</v>
      </c>
      <c r="T39" s="248">
        <v>3.6453430000000002E-2</v>
      </c>
      <c r="U39" s="248">
        <v>-6.9009020000000004E-2</v>
      </c>
      <c r="V39" s="248">
        <v>6.9226079999999995E-2</v>
      </c>
      <c r="W39" s="248">
        <v>4.3931269999999999E-4</v>
      </c>
      <c r="X39" s="248">
        <v>-8.7743330000000005E-4</v>
      </c>
      <c r="Y39" s="248">
        <v>8.6000490000000002E-4</v>
      </c>
      <c r="Z39" s="248">
        <v>-5.0182549999999997E-4</v>
      </c>
    </row>
    <row r="40" spans="1:26" ht="15">
      <c r="A40" s="247">
        <f>C40+(D40*Sheet3!$AG$9)+(E40*Sheet3!$AG$10)+(F40*Sheet3!$AG$9*Sheet3!$AG$9)+(G40*Sheet3!$AG$9*Sheet3!$AG$10)+(H40*Sheet3!$AG$10*Sheet3!$AG$10)+(I40*Sheet3!$AG$9*Sheet3!$AG$9*Sheet3!$AG$9)+(J40*Sheet3!$AG$10*Sheet3!$AG$9*Sheet3!$AG$9)+(K40*Sheet3!$AG$9*Sheet3!$AG$10*Sheet3!$AG$10)+(L40*Sheet3!$AG$10*Sheet3!$AG$10*Sheet3!$AG$10)</f>
        <v>73.827136032984839</v>
      </c>
      <c r="B40" s="255" t="s">
        <v>371</v>
      </c>
      <c r="C40" s="248">
        <v>97.178979999999996</v>
      </c>
      <c r="D40" s="248">
        <v>3.841993</v>
      </c>
      <c r="E40" s="248">
        <v>-0.82997379999999998</v>
      </c>
      <c r="F40" s="248">
        <v>5.8630139999999997E-2</v>
      </c>
      <c r="G40" s="248">
        <v>-2.5765489999999999E-2</v>
      </c>
      <c r="H40" s="248">
        <v>-2.3089870000000002E-3</v>
      </c>
      <c r="I40" s="248">
        <v>3.421869E-4</v>
      </c>
      <c r="J40" s="248">
        <v>-3.5773970000000001E-4</v>
      </c>
      <c r="K40" s="248">
        <v>-2.8362939999999999E-5</v>
      </c>
      <c r="L40" s="248">
        <v>1.7186259999999999E-5</v>
      </c>
      <c r="O40" s="247">
        <f>Q40+(R40*Sheet3!$AG$9)+(S40*Sheet3!$AG$10)+(T40*Sheet3!$AG$9*Sheet3!$AG$9)+(U40*Sheet3!$AG$9*Sheet3!$AG$10)+(V40*Sheet3!$AG$10*Sheet3!$AG$10)+(W40*Sheet3!$AG$9*Sheet3!$AG$9*Sheet3!$AG$9)+(X40*Sheet3!$AG$10*Sheet3!$AG$9*Sheet3!$AG$9)+(Y40*Sheet3!$AG$9*Sheet3!$AG$10*Sheet3!$AG$10)+(Z40*Sheet3!$AG$10*Sheet3!$AG$10*Sheet3!$AG$10)</f>
        <v>55.056615223350718</v>
      </c>
      <c r="P40" s="255" t="s">
        <v>371</v>
      </c>
      <c r="Q40" s="248">
        <v>54.877200000000002</v>
      </c>
      <c r="R40" s="248">
        <v>1.650085</v>
      </c>
      <c r="S40" s="248">
        <v>-2.1067900000000002</v>
      </c>
      <c r="T40" s="248">
        <v>3.9804529999999998E-2</v>
      </c>
      <c r="U40" s="248">
        <v>-7.5352890000000006E-2</v>
      </c>
      <c r="V40" s="248">
        <v>7.5589900000000002E-2</v>
      </c>
      <c r="W40" s="248">
        <v>4.7969799999999997E-4</v>
      </c>
      <c r="X40" s="248">
        <v>-9.5809420000000001E-4</v>
      </c>
      <c r="Y40" s="248">
        <v>9.3906359999999995E-4</v>
      </c>
      <c r="Z40" s="248">
        <v>-5.4795739999999999E-4</v>
      </c>
    </row>
    <row r="41" spans="1:26" ht="15">
      <c r="A41" s="247">
        <f>C41+(D41*Sheet3!$AG$9)+(E41*Sheet3!$AG$10)+(F41*Sheet3!$AG$9*Sheet3!$AG$9)+(G41*Sheet3!$AG$9*Sheet3!$AG$10)+(H41*Sheet3!$AG$10*Sheet3!$AG$10)+(I41*Sheet3!$AG$9*Sheet3!$AG$9*Sheet3!$AG$9)+(J41*Sheet3!$AG$10*Sheet3!$AG$9*Sheet3!$AG$9)+(K41*Sheet3!$AG$9*Sheet3!$AG$10*Sheet3!$AG$10)+(L41*Sheet3!$AG$10*Sheet3!$AG$10*Sheet3!$AG$10)</f>
        <v>87.1337141208747</v>
      </c>
      <c r="B41" s="255" t="s">
        <v>372</v>
      </c>
      <c r="C41" s="248">
        <v>108.0642</v>
      </c>
      <c r="D41" s="248">
        <v>4.1587940000000003</v>
      </c>
      <c r="E41" s="248">
        <v>-0.648393</v>
      </c>
      <c r="F41" s="248">
        <v>6.4674410000000002E-2</v>
      </c>
      <c r="G41" s="248">
        <v>-2.198578E-2</v>
      </c>
      <c r="H41" s="248">
        <v>-6.4910940000000002E-3</v>
      </c>
      <c r="I41" s="248">
        <v>3.9155430000000001E-4</v>
      </c>
      <c r="J41" s="248">
        <v>-3.541277E-4</v>
      </c>
      <c r="K41" s="248">
        <v>-7.6773560000000004E-5</v>
      </c>
      <c r="L41" s="248">
        <v>1.8844490000000002E-5</v>
      </c>
      <c r="O41" s="247">
        <f>Q41+(R41*Sheet3!$AG$9)+(S41*Sheet3!$AG$10)+(T41*Sheet3!$AG$9*Sheet3!$AG$9)+(U41*Sheet3!$AG$9*Sheet3!$AG$10)+(V41*Sheet3!$AG$10*Sheet3!$AG$10)+(W41*Sheet3!$AG$9*Sheet3!$AG$9*Sheet3!$AG$9)+(X41*Sheet3!$AG$10*Sheet3!$AG$9*Sheet3!$AG$9)+(Y41*Sheet3!$AG$9*Sheet3!$AG$10*Sheet3!$AG$10)+(Z41*Sheet3!$AG$10*Sheet3!$AG$10*Sheet3!$AG$10)</f>
        <v>63.253224863490026</v>
      </c>
      <c r="P41" s="255" t="s">
        <v>372</v>
      </c>
      <c r="Q41" s="248">
        <v>30.691610000000001</v>
      </c>
      <c r="R41" s="248">
        <v>0.82534830000000003</v>
      </c>
      <c r="S41" s="248">
        <v>0.39981559999999999</v>
      </c>
      <c r="T41" s="248">
        <v>2.2643719999999999E-2</v>
      </c>
      <c r="U41" s="248">
        <v>-4.409271E-2</v>
      </c>
      <c r="V41" s="248">
        <v>8.7533960000000001E-3</v>
      </c>
      <c r="W41" s="248">
        <v>2.0645759999999999E-4</v>
      </c>
      <c r="X41" s="248">
        <v>-5.536734E-4</v>
      </c>
      <c r="Y41" s="248">
        <v>6.3426279999999997E-4</v>
      </c>
      <c r="Z41" s="248">
        <v>6.9891509999999994E-5</v>
      </c>
    </row>
    <row r="42" spans="1:26" ht="15">
      <c r="A42" s="247">
        <f>C42+(D42*Sheet3!$AG$9)+(E42*Sheet3!$AG$10)+(F42*Sheet3!$AG$9*Sheet3!$AG$9)+(G42*Sheet3!$AG$9*Sheet3!$AG$10)+(H42*Sheet3!$AG$10*Sheet3!$AG$10)+(I42*Sheet3!$AG$9*Sheet3!$AG$9*Sheet3!$AG$9)+(J42*Sheet3!$AG$10*Sheet3!$AG$9*Sheet3!$AG$9)+(K42*Sheet3!$AG$9*Sheet3!$AG$10*Sheet3!$AG$10)+(L42*Sheet3!$AG$10*Sheet3!$AG$10*Sheet3!$AG$10)</f>
        <v>94.971408878567374</v>
      </c>
      <c r="B42" s="255" t="s">
        <v>373</v>
      </c>
      <c r="C42" s="248">
        <v>117.7846</v>
      </c>
      <c r="D42" s="248">
        <v>4.5328790000000003</v>
      </c>
      <c r="E42" s="248">
        <v>-0.70671620000000002</v>
      </c>
      <c r="F42" s="248">
        <v>7.0491890000000001E-2</v>
      </c>
      <c r="G42" s="248">
        <v>-2.3963410000000001E-2</v>
      </c>
      <c r="H42" s="248">
        <v>-7.0749699999999999E-3</v>
      </c>
      <c r="I42" s="248">
        <v>4.2677479999999999E-4</v>
      </c>
      <c r="J42" s="248">
        <v>-3.8598160000000002E-4</v>
      </c>
      <c r="K42" s="248">
        <v>-8.3679369999999995E-5</v>
      </c>
      <c r="L42" s="248">
        <v>2.053956E-5</v>
      </c>
      <c r="O42" s="247">
        <f>Q42+(R42*Sheet3!$AG$9)+(S42*Sheet3!$AG$10)+(T42*Sheet3!$AG$9*Sheet3!$AG$9)+(U42*Sheet3!$AG$9*Sheet3!$AG$10)+(V42*Sheet3!$AG$10*Sheet3!$AG$10)+(W42*Sheet3!$AG$9*Sheet3!$AG$9*Sheet3!$AG$9)+(X42*Sheet3!$AG$10*Sheet3!$AG$9*Sheet3!$AG$9)+(Y42*Sheet3!$AG$9*Sheet3!$AG$10*Sheet3!$AG$10)+(Z42*Sheet3!$AG$10*Sheet3!$AG$10*Sheet3!$AG$10)</f>
        <v>69.24499849639362</v>
      </c>
      <c r="P42" s="255" t="s">
        <v>373</v>
      </c>
      <c r="Q42" s="248">
        <v>33.598930000000003</v>
      </c>
      <c r="R42" s="248">
        <v>0.90353070000000002</v>
      </c>
      <c r="S42" s="248">
        <v>0.43768879999999999</v>
      </c>
      <c r="T42" s="248">
        <v>2.478868E-2</v>
      </c>
      <c r="U42" s="248">
        <v>-4.826946E-2</v>
      </c>
      <c r="V42" s="248">
        <v>9.5825760000000006E-3</v>
      </c>
      <c r="W42" s="248">
        <v>2.2601460000000001E-4</v>
      </c>
      <c r="X42" s="248">
        <v>-6.0612100000000005E-4</v>
      </c>
      <c r="Y42" s="248">
        <v>6.9434439999999998E-4</v>
      </c>
      <c r="Z42" s="248">
        <v>7.6512099999999995E-5</v>
      </c>
    </row>
    <row r="43" spans="1:26" ht="15">
      <c r="A43" s="247">
        <f>C43+(D43*Sheet3!$AG$9)+(E43*Sheet3!$AG$10)+(F43*Sheet3!$AG$9*Sheet3!$AG$9)+(G43*Sheet3!$AG$9*Sheet3!$AG$10)+(H43*Sheet3!$AG$10*Sheet3!$AG$10)+(I43*Sheet3!$AG$9*Sheet3!$AG$9*Sheet3!$AG$9)+(J43*Sheet3!$AG$10*Sheet3!$AG$9*Sheet3!$AG$9)+(K43*Sheet3!$AG$9*Sheet3!$AG$10*Sheet3!$AG$10)+(L43*Sheet3!$AG$10*Sheet3!$AG$10*Sheet3!$AG$10)</f>
        <v>108.67879578833931</v>
      </c>
      <c r="B43" s="255" t="s">
        <v>374</v>
      </c>
      <c r="C43" s="248">
        <v>129.47020000000001</v>
      </c>
      <c r="D43" s="248">
        <v>4.9616709999999999</v>
      </c>
      <c r="E43" s="248">
        <v>-0.6107669</v>
      </c>
      <c r="F43" s="248">
        <v>7.8350879999999998E-2</v>
      </c>
      <c r="G43" s="248">
        <v>-2.0130970000000002E-2</v>
      </c>
      <c r="H43" s="248">
        <v>-9.5267819999999993E-3</v>
      </c>
      <c r="I43" s="248">
        <v>4.9056570000000001E-4</v>
      </c>
      <c r="J43" s="248">
        <v>-3.818804E-4</v>
      </c>
      <c r="K43" s="248">
        <v>-1.3452679999999999E-4</v>
      </c>
      <c r="L43" s="248">
        <v>2.0471780000000001E-5</v>
      </c>
      <c r="O43" s="247">
        <f>Q43+(R43*Sheet3!$AG$9)+(S43*Sheet3!$AG$10)+(T43*Sheet3!$AG$9*Sheet3!$AG$9)+(U43*Sheet3!$AG$9*Sheet3!$AG$10)+(V43*Sheet3!$AG$10*Sheet3!$AG$10)+(W43*Sheet3!$AG$9*Sheet3!$AG$9*Sheet3!$AG$9)+(X43*Sheet3!$AG$10*Sheet3!$AG$9*Sheet3!$AG$9)+(Y43*Sheet3!$AG$9*Sheet3!$AG$10*Sheet3!$AG$10)+(Z43*Sheet3!$AG$10*Sheet3!$AG$10*Sheet3!$AG$10)</f>
        <v>76.47670778584714</v>
      </c>
      <c r="P43" s="255" t="s">
        <v>374</v>
      </c>
      <c r="Q43" s="248">
        <v>6.0775779999999999</v>
      </c>
      <c r="R43" s="248">
        <v>-0.30876179999999998</v>
      </c>
      <c r="S43" s="248">
        <v>4.5559310000000002</v>
      </c>
      <c r="T43" s="248">
        <v>-1.869902E-2</v>
      </c>
      <c r="U43" s="248">
        <v>1.900833E-2</v>
      </c>
      <c r="V43" s="248">
        <v>-0.12978239999999999</v>
      </c>
      <c r="W43" s="248">
        <v>-1.880912E-4</v>
      </c>
      <c r="X43" s="248">
        <v>5.3298919999999995E-4</v>
      </c>
      <c r="Y43" s="248">
        <v>-8.347951E-5</v>
      </c>
      <c r="Z43" s="248">
        <v>1.5125589999999999E-3</v>
      </c>
    </row>
    <row r="44" spans="1:26" ht="15">
      <c r="A44" s="247">
        <f>C44+(D44*Sheet3!$AG$9)+(E44*Sheet3!$AG$10)+(F44*Sheet3!$AG$9*Sheet3!$AG$9)+(G44*Sheet3!$AG$9*Sheet3!$AG$10)+(H44*Sheet3!$AG$10*Sheet3!$AG$10)+(I44*Sheet3!$AG$9*Sheet3!$AG$9*Sheet3!$AG$9)+(J44*Sheet3!$AG$10*Sheet3!$AG$9*Sheet3!$AG$9)+(K44*Sheet3!$AG$9*Sheet3!$AG$10*Sheet3!$AG$10)+(L44*Sheet3!$AG$10*Sheet3!$AG$10*Sheet3!$AG$10)</f>
        <v>126.27494932205497</v>
      </c>
      <c r="B44" s="255" t="s">
        <v>375</v>
      </c>
      <c r="C44" s="248">
        <v>159.76310000000001</v>
      </c>
      <c r="D44" s="248">
        <v>6.1807970000000001</v>
      </c>
      <c r="E44" s="248">
        <v>-1.208272</v>
      </c>
      <c r="F44" s="248">
        <v>9.4768110000000003E-2</v>
      </c>
      <c r="G44" s="248">
        <v>-3.9443989999999998E-2</v>
      </c>
      <c r="H44" s="248">
        <v>-3.9435889999999999E-3</v>
      </c>
      <c r="I44" s="248">
        <v>5.6289090000000001E-4</v>
      </c>
      <c r="J44" s="248">
        <v>-5.6405460000000002E-4</v>
      </c>
      <c r="K44" s="248">
        <v>-5.5751019999999997E-5</v>
      </c>
      <c r="L44" s="248">
        <v>1.523909E-5</v>
      </c>
      <c r="O44" s="247">
        <f>Q44+(R44*Sheet3!$AG$9)+(S44*Sheet3!$AG$10)+(T44*Sheet3!$AG$9*Sheet3!$AG$9)+(U44*Sheet3!$AG$9*Sheet3!$AG$10)+(V44*Sheet3!$AG$10*Sheet3!$AG$10)+(W44*Sheet3!$AG$9*Sheet3!$AG$9*Sheet3!$AG$9)+(X44*Sheet3!$AG$10*Sheet3!$AG$9*Sheet3!$AG$9)+(Y44*Sheet3!$AG$9*Sheet3!$AG$10*Sheet3!$AG$10)+(Z44*Sheet3!$AG$10*Sheet3!$AG$10*Sheet3!$AG$10)</f>
        <v>89.717587237224635</v>
      </c>
      <c r="P44" s="255" t="s">
        <v>375</v>
      </c>
      <c r="Q44" s="248">
        <v>37.21848</v>
      </c>
      <c r="R44" s="248">
        <v>0.47055140000000001</v>
      </c>
      <c r="S44" s="248">
        <v>0.99920299999999995</v>
      </c>
      <c r="T44" s="248">
        <v>3.7019330000000001E-3</v>
      </c>
      <c r="U44" s="248">
        <v>-1.256813E-2</v>
      </c>
      <c r="V44" s="248">
        <v>5.781937E-3</v>
      </c>
      <c r="W44" s="248">
        <v>-1.7505759999999999E-4</v>
      </c>
      <c r="X44" s="248">
        <v>-1.1463429999999999E-4</v>
      </c>
      <c r="Y44" s="248">
        <v>3.0634759999999999E-4</v>
      </c>
      <c r="Z44" s="248">
        <v>6.9148720000000006E-5</v>
      </c>
    </row>
    <row r="45" spans="1:26" ht="15">
      <c r="A45" s="247">
        <f>C45+(D45*Sheet3!$AG$9)+(E45*Sheet3!$AG$10)+(F45*Sheet3!$AG$9*Sheet3!$AG$9)+(G45*Sheet3!$AG$9*Sheet3!$AG$10)+(H45*Sheet3!$AG$10*Sheet3!$AG$10)+(I45*Sheet3!$AG$9*Sheet3!$AG$9*Sheet3!$AG$9)+(J45*Sheet3!$AG$10*Sheet3!$AG$9*Sheet3!$AG$9)+(K45*Sheet3!$AG$9*Sheet3!$AG$10*Sheet3!$AG$10)+(L45*Sheet3!$AG$10*Sheet3!$AG$10*Sheet3!$AG$10)</f>
        <v>142.97589986302728</v>
      </c>
      <c r="B45" s="255" t="s">
        <v>376</v>
      </c>
      <c r="C45" s="248">
        <v>180.8931</v>
      </c>
      <c r="D45" s="248">
        <v>6.9982569999999997</v>
      </c>
      <c r="E45" s="248">
        <v>-1.3680749999999999</v>
      </c>
      <c r="F45" s="248">
        <v>0.10730199999999999</v>
      </c>
      <c r="G45" s="248">
        <v>-4.4660770000000002E-2</v>
      </c>
      <c r="H45" s="248">
        <v>-4.4651600000000001E-3</v>
      </c>
      <c r="I45" s="248">
        <v>6.3733769999999999E-4</v>
      </c>
      <c r="J45" s="248">
        <v>-6.3865540000000004E-4</v>
      </c>
      <c r="K45" s="248">
        <v>-6.3124539999999998E-5</v>
      </c>
      <c r="L45" s="248">
        <v>1.7254580000000001E-5</v>
      </c>
      <c r="O45" s="247">
        <f>Q45+(R45*Sheet3!$AG$9)+(S45*Sheet3!$AG$10)+(T45*Sheet3!$AG$9*Sheet3!$AG$9)+(U45*Sheet3!$AG$9*Sheet3!$AG$10)+(V45*Sheet3!$AG$10*Sheet3!$AG$10)+(W45*Sheet3!$AG$9*Sheet3!$AG$9*Sheet3!$AG$9)+(X45*Sheet3!$AG$10*Sheet3!$AG$9*Sheet3!$AG$9)+(Y45*Sheet3!$AG$9*Sheet3!$AG$10*Sheet3!$AG$10)+(Z45*Sheet3!$AG$10*Sheet3!$AG$10*Sheet3!$AG$10)</f>
        <v>101.58347039127491</v>
      </c>
      <c r="P45" s="255" t="s">
        <v>376</v>
      </c>
      <c r="Q45" s="248">
        <v>42.140920000000001</v>
      </c>
      <c r="R45" s="248">
        <v>0.53278570000000003</v>
      </c>
      <c r="S45" s="248">
        <v>1.131356</v>
      </c>
      <c r="T45" s="248">
        <v>4.1915440000000002E-3</v>
      </c>
      <c r="U45" s="248">
        <v>-1.4230370000000001E-2</v>
      </c>
      <c r="V45" s="248">
        <v>6.5466450000000002E-3</v>
      </c>
      <c r="W45" s="248">
        <v>-1.9821039999999999E-4</v>
      </c>
      <c r="X45" s="248">
        <v>-1.297956E-4</v>
      </c>
      <c r="Y45" s="248">
        <v>3.4686450000000001E-4</v>
      </c>
      <c r="Z45" s="248">
        <v>7.8294190000000006E-5</v>
      </c>
    </row>
    <row r="46" spans="1:26" ht="15">
      <c r="A46" s="247">
        <f>C46+(D46*Sheet3!$AG$9)+(E46*Sheet3!$AG$10)+(F46*Sheet3!$AG$9*Sheet3!$AG$9)+(G46*Sheet3!$AG$9*Sheet3!$AG$10)+(H46*Sheet3!$AG$10*Sheet3!$AG$10)+(I46*Sheet3!$AG$9*Sheet3!$AG$9*Sheet3!$AG$9)+(J46*Sheet3!$AG$10*Sheet3!$AG$9*Sheet3!$AG$9)+(K46*Sheet3!$AG$9*Sheet3!$AG$10*Sheet3!$AG$10)+(L46*Sheet3!$AG$10*Sheet3!$AG$10*Sheet3!$AG$10)</f>
        <v>167.54063738399574</v>
      </c>
      <c r="B46" s="255" t="s">
        <v>377</v>
      </c>
      <c r="C46" s="248">
        <v>180.6277</v>
      </c>
      <c r="D46" s="248">
        <v>5.3804990000000004</v>
      </c>
      <c r="E46" s="248">
        <v>0.55571760000000003</v>
      </c>
      <c r="F46" s="248">
        <v>4.7979939999999999E-2</v>
      </c>
      <c r="G46" s="248">
        <v>7.8692460000000006E-2</v>
      </c>
      <c r="H46" s="248">
        <v>-5.3893490000000002E-2</v>
      </c>
      <c r="I46" s="248">
        <v>-5.7409759999999996E-4</v>
      </c>
      <c r="J46" s="248">
        <v>7.6094309999999996E-4</v>
      </c>
      <c r="K46" s="248">
        <v>-1.5218E-3</v>
      </c>
      <c r="L46" s="248">
        <v>3.778214E-4</v>
      </c>
      <c r="O46" s="247">
        <f>Q46+(R46*Sheet3!$AG$9)+(S46*Sheet3!$AG$10)+(T46*Sheet3!$AG$9*Sheet3!$AG$9)+(U46*Sheet3!$AG$9*Sheet3!$AG$10)+(V46*Sheet3!$AG$10*Sheet3!$AG$10)+(W46*Sheet3!$AG$9*Sheet3!$AG$9*Sheet3!$AG$9)+(X46*Sheet3!$AG$10*Sheet3!$AG$9*Sheet3!$AG$9)+(Y46*Sheet3!$AG$9*Sheet3!$AG$10*Sheet3!$AG$10)+(Z46*Sheet3!$AG$10*Sheet3!$AG$10*Sheet3!$AG$10)</f>
        <v>118.53700258097018</v>
      </c>
      <c r="P46" s="255" t="s">
        <v>377</v>
      </c>
      <c r="Q46" s="248">
        <v>70.739620000000002</v>
      </c>
      <c r="R46" s="248">
        <v>1.959792</v>
      </c>
      <c r="S46" s="248">
        <v>-0.14155390000000001</v>
      </c>
      <c r="T46" s="248">
        <v>4.7436100000000002E-2</v>
      </c>
      <c r="U46" s="248">
        <v>-8.2050049999999999E-2</v>
      </c>
      <c r="V46" s="248">
        <v>3.9255940000000003E-2</v>
      </c>
      <c r="W46" s="248">
        <v>5.9932029999999997E-4</v>
      </c>
      <c r="X46" s="248">
        <v>-1.1339900000000001E-3</v>
      </c>
      <c r="Y46" s="248">
        <v>1.106746E-3</v>
      </c>
      <c r="Z46" s="248">
        <v>-1.1434079999999999E-4</v>
      </c>
    </row>
    <row r="47" spans="1:26" ht="15">
      <c r="A47" s="247">
        <f>C47+(D47*Sheet3!$AG$9)+(E47*Sheet3!$AG$10)+(F47*Sheet3!$AG$9*Sheet3!$AG$9)+(G47*Sheet3!$AG$9*Sheet3!$AG$10)+(H47*Sheet3!$AG$10*Sheet3!$AG$10)+(I47*Sheet3!$AG$9*Sheet3!$AG$9*Sheet3!$AG$9)+(J47*Sheet3!$AG$10*Sheet3!$AG$9*Sheet3!$AG$9)+(K47*Sheet3!$AG$9*Sheet3!$AG$10*Sheet3!$AG$10)+(L47*Sheet3!$AG$10*Sheet3!$AG$10*Sheet3!$AG$10)</f>
        <v>180.17401707329307</v>
      </c>
      <c r="B47" s="255" t="s">
        <v>378</v>
      </c>
      <c r="C47" s="248">
        <v>227.9562</v>
      </c>
      <c r="D47" s="248">
        <v>8.8189989999999998</v>
      </c>
      <c r="E47" s="248">
        <v>-1.7240089999999999</v>
      </c>
      <c r="F47" s="248">
        <v>0.1352188</v>
      </c>
      <c r="G47" s="248">
        <v>-5.6280200000000002E-2</v>
      </c>
      <c r="H47" s="248">
        <v>-5.626865E-3</v>
      </c>
      <c r="I47" s="248">
        <v>8.031545E-4</v>
      </c>
      <c r="J47" s="248">
        <v>-8.0481509999999999E-4</v>
      </c>
      <c r="K47" s="248">
        <v>-7.9547709999999998E-5</v>
      </c>
      <c r="L47" s="248">
        <v>2.1743720000000001E-5</v>
      </c>
      <c r="O47" s="247">
        <f>Q47+(R47*Sheet3!$AG$9)+(S47*Sheet3!$AG$10)+(T47*Sheet3!$AG$9*Sheet3!$AG$9)+(U47*Sheet3!$AG$9*Sheet3!$AG$10)+(V47*Sheet3!$AG$10*Sheet3!$AG$10)+(W47*Sheet3!$AG$9*Sheet3!$AG$9*Sheet3!$AG$9)+(X47*Sheet3!$AG$10*Sheet3!$AG$9*Sheet3!$AG$9)+(Y47*Sheet3!$AG$9*Sheet3!$AG$10*Sheet3!$AG$10)+(Z47*Sheet3!$AG$10*Sheet3!$AG$10*Sheet3!$AG$10)</f>
        <v>131.11098685508574</v>
      </c>
      <c r="P47" s="255" t="s">
        <v>378</v>
      </c>
      <c r="Q47" s="248">
        <v>54.390129999999999</v>
      </c>
      <c r="R47" s="248">
        <v>0.68765180000000004</v>
      </c>
      <c r="S47" s="248">
        <v>1.46021</v>
      </c>
      <c r="T47" s="248">
        <v>5.4099100000000004E-3</v>
      </c>
      <c r="U47" s="248">
        <v>-1.8366750000000001E-2</v>
      </c>
      <c r="V47" s="248">
        <v>8.4495739999999996E-3</v>
      </c>
      <c r="W47" s="248">
        <v>-2.558247E-4</v>
      </c>
      <c r="X47" s="248">
        <v>-1.6752370000000001E-4</v>
      </c>
      <c r="Y47" s="248">
        <v>4.4768839999999999E-4</v>
      </c>
      <c r="Z47" s="248">
        <v>1.010521E-4</v>
      </c>
    </row>
    <row r="48" spans="1:26" ht="15">
      <c r="A48" s="247">
        <f>C48+(D48*Sheet3!$AG$9)+(E48*Sheet3!$AG$10)+(F48*Sheet3!$AG$9*Sheet3!$AG$9)+(G48*Sheet3!$AG$9*Sheet3!$AG$10)+(H48*Sheet3!$AG$10*Sheet3!$AG$10)+(I48*Sheet3!$AG$9*Sheet3!$AG$9*Sheet3!$AG$9)+(J48*Sheet3!$AG$10*Sheet3!$AG$9*Sheet3!$AG$9)+(K48*Sheet3!$AG$9*Sheet3!$AG$10*Sheet3!$AG$10)+(L48*Sheet3!$AG$10*Sheet3!$AG$10*Sheet3!$AG$10)</f>
        <v>191.70890494347788</v>
      </c>
      <c r="B48" s="255" t="s">
        <v>379</v>
      </c>
      <c r="C48" s="248">
        <v>195.88839999999999</v>
      </c>
      <c r="D48" s="248">
        <v>6.9125690000000004</v>
      </c>
      <c r="E48" s="248">
        <v>0.99092749999999996</v>
      </c>
      <c r="F48" s="248">
        <v>9.391671E-2</v>
      </c>
      <c r="G48" s="248">
        <v>3.6302719999999997E-2</v>
      </c>
      <c r="H48" s="248">
        <v>-6.0391180000000003E-2</v>
      </c>
      <c r="I48" s="248">
        <v>6.5300890000000004E-4</v>
      </c>
      <c r="J48" s="248">
        <v>3.9821250000000001E-5</v>
      </c>
      <c r="K48" s="248">
        <v>-1.037998E-3</v>
      </c>
      <c r="L48" s="248">
        <v>3.6360130000000001E-4</v>
      </c>
      <c r="O48" s="247">
        <f>Q48+(R48*Sheet3!$AG$9)+(S48*Sheet3!$AG$10)+(T48*Sheet3!$AG$9*Sheet3!$AG$9)+(U48*Sheet3!$AG$9*Sheet3!$AG$10)+(V48*Sheet3!$AG$10*Sheet3!$AG$10)+(W48*Sheet3!$AG$9*Sheet3!$AG$9*Sheet3!$AG$9)+(X48*Sheet3!$AG$10*Sheet3!$AG$9*Sheet3!$AG$9)+(Y48*Sheet3!$AG$9*Sheet3!$AG$10*Sheet3!$AG$10)+(Z48*Sheet3!$AG$10*Sheet3!$AG$10*Sheet3!$AG$10)</f>
        <v>141.24193980920356</v>
      </c>
      <c r="P48" s="255" t="s">
        <v>379</v>
      </c>
      <c r="Q48" s="248">
        <v>84.28931</v>
      </c>
      <c r="R48" s="248">
        <v>2.3351769999999998</v>
      </c>
      <c r="S48" s="248">
        <v>-0.1686676</v>
      </c>
      <c r="T48" s="248">
        <v>5.6522160000000002E-2</v>
      </c>
      <c r="U48" s="248">
        <v>-9.7766179999999994E-2</v>
      </c>
      <c r="V48" s="248">
        <v>4.677514E-2</v>
      </c>
      <c r="W48" s="248">
        <v>7.1411610000000003E-4</v>
      </c>
      <c r="X48" s="248">
        <v>-1.351199E-3</v>
      </c>
      <c r="Y48" s="248">
        <v>1.3187349999999999E-3</v>
      </c>
      <c r="Z48" s="248">
        <v>-1.3624199999999999E-4</v>
      </c>
    </row>
    <row r="49" spans="1:26" ht="15">
      <c r="A49" s="247">
        <f>C49+(D49*Sheet3!$AG$9)+(E49*Sheet3!$AG$10)+(F49*Sheet3!$AG$9*Sheet3!$AG$9)+(G49*Sheet3!$AG$9*Sheet3!$AG$10)+(H49*Sheet3!$AG$10*Sheet3!$AG$10)+(I49*Sheet3!$AG$9*Sheet3!$AG$9*Sheet3!$AG$9)+(J49*Sheet3!$AG$10*Sheet3!$AG$9*Sheet3!$AG$9)+(K49*Sheet3!$AG$9*Sheet3!$AG$10*Sheet3!$AG$10)+(L49*Sheet3!$AG$10*Sheet3!$AG$10*Sheet3!$AG$10)</f>
        <v>204.26588381494835</v>
      </c>
      <c r="B49" s="255" t="s">
        <v>380</v>
      </c>
      <c r="C49" s="248">
        <v>241.58709999999999</v>
      </c>
      <c r="D49" s="248">
        <v>7.9798390000000001</v>
      </c>
      <c r="E49" s="248">
        <v>-1.1140559999999999</v>
      </c>
      <c r="F49" s="248">
        <v>9.8500110000000002E-2</v>
      </c>
      <c r="G49" s="248">
        <v>5.0958330000000001E-3</v>
      </c>
      <c r="H49" s="248">
        <v>-1.7886780000000001E-2</v>
      </c>
      <c r="I49" s="248">
        <v>4.571345E-4</v>
      </c>
      <c r="J49" s="248">
        <v>-4.5080370000000001E-5</v>
      </c>
      <c r="K49" s="248">
        <v>-7.0382460000000002E-4</v>
      </c>
      <c r="L49" s="248">
        <v>7.5345780000000005E-5</v>
      </c>
      <c r="O49" s="247">
        <f>Q49+(R49*Sheet3!$AG$9)+(S49*Sheet3!$AG$10)+(T49*Sheet3!$AG$9*Sheet3!$AG$9)+(U49*Sheet3!$AG$9*Sheet3!$AG$10)+(V49*Sheet3!$AG$10*Sheet3!$AG$10)+(W49*Sheet3!$AG$9*Sheet3!$AG$9*Sheet3!$AG$9)+(X49*Sheet3!$AG$10*Sheet3!$AG$9*Sheet3!$AG$9)+(Y49*Sheet3!$AG$9*Sheet3!$AG$10*Sheet3!$AG$10)+(Z49*Sheet3!$AG$10*Sheet3!$AG$10*Sheet3!$AG$10)</f>
        <v>149.38118922843501</v>
      </c>
      <c r="P49" s="255" t="s">
        <v>380</v>
      </c>
      <c r="Q49" s="248">
        <v>89.146590000000003</v>
      </c>
      <c r="R49" s="248">
        <v>2.4697439999999999</v>
      </c>
      <c r="S49" s="248">
        <v>-0.1783873</v>
      </c>
      <c r="T49" s="248">
        <v>5.9779319999999997E-2</v>
      </c>
      <c r="U49" s="248">
        <v>-0.10340009999999999</v>
      </c>
      <c r="V49" s="248">
        <v>4.947062E-2</v>
      </c>
      <c r="W49" s="248">
        <v>7.5526789999999999E-4</v>
      </c>
      <c r="X49" s="248">
        <v>-1.4290629999999999E-3</v>
      </c>
      <c r="Y49" s="248">
        <v>1.3947289999999999E-3</v>
      </c>
      <c r="Z49" s="248">
        <v>-1.4409310000000001E-4</v>
      </c>
    </row>
    <row r="50" spans="1:26" ht="15">
      <c r="A50" s="247">
        <f>C50+(D50*Sheet3!$AG$9)+(E50*Sheet3!$AG$10)+(F50*Sheet3!$AG$9*Sheet3!$AG$9)+(G50*Sheet3!$AG$9*Sheet3!$AG$10)+(H50*Sheet3!$AG$10*Sheet3!$AG$10)+(I50*Sheet3!$AG$9*Sheet3!$AG$9*Sheet3!$AG$9)+(J50*Sheet3!$AG$10*Sheet3!$AG$9*Sheet3!$AG$9)+(K50*Sheet3!$AG$9*Sheet3!$AG$10*Sheet3!$AG$10)+(L50*Sheet3!$AG$10*Sheet3!$AG$10*Sheet3!$AG$10)</f>
        <v>38.409328365835741</v>
      </c>
      <c r="B50" s="255" t="s">
        <v>381</v>
      </c>
      <c r="C50" s="248">
        <v>50.561549999999997</v>
      </c>
      <c r="D50" s="248">
        <v>1.9999089999999999</v>
      </c>
      <c r="E50" s="248">
        <v>-0.4318399</v>
      </c>
      <c r="F50" s="248">
        <v>3.0508090000000002E-2</v>
      </c>
      <c r="G50" s="248">
        <v>-1.346251E-2</v>
      </c>
      <c r="H50" s="248">
        <v>-1.204828E-3</v>
      </c>
      <c r="I50" s="248">
        <v>1.780691E-4</v>
      </c>
      <c r="J50" s="248">
        <v>-1.86102E-4</v>
      </c>
      <c r="K50" s="248">
        <v>-1.398267E-5</v>
      </c>
      <c r="L50" s="248">
        <v>9.0019549999999998E-6</v>
      </c>
      <c r="O50" s="247">
        <f>Q50+(R50*Sheet3!$AG$9)+(S50*Sheet3!$AG$10)+(T50*Sheet3!$AG$9*Sheet3!$AG$9)+(U50*Sheet3!$AG$9*Sheet3!$AG$10)+(V50*Sheet3!$AG$10*Sheet3!$AG$10)+(W50*Sheet3!$AG$9*Sheet3!$AG$9*Sheet3!$AG$9)+(X50*Sheet3!$AG$10*Sheet3!$AG$9*Sheet3!$AG$9)+(Y50*Sheet3!$AG$9*Sheet3!$AG$10*Sheet3!$AG$10)+(Z50*Sheet3!$AG$10*Sheet3!$AG$10*Sheet3!$AG$10)</f>
        <v>28.630324474143251</v>
      </c>
      <c r="P50" s="255" t="s">
        <v>381</v>
      </c>
      <c r="Q50" s="248">
        <v>28.537030000000001</v>
      </c>
      <c r="R50" s="248">
        <v>0.85807109999999998</v>
      </c>
      <c r="S50" s="248">
        <v>-1.0955649999999999</v>
      </c>
      <c r="T50" s="248">
        <v>2.0698999999999999E-2</v>
      </c>
      <c r="U50" s="248">
        <v>-3.9184719999999999E-2</v>
      </c>
      <c r="V50" s="248">
        <v>3.9307969999999998E-2</v>
      </c>
      <c r="W50" s="248">
        <v>2.4945069999999999E-4</v>
      </c>
      <c r="X50" s="248">
        <v>-4.9822440000000005E-4</v>
      </c>
      <c r="Y50" s="248">
        <v>4.8832819999999996E-4</v>
      </c>
      <c r="Z50" s="248">
        <v>-2.8494669999999997E-4</v>
      </c>
    </row>
    <row r="51" spans="1:26" ht="15">
      <c r="M51" s="240"/>
      <c r="X51" s="240"/>
      <c r="Y51" s="242"/>
    </row>
    <row r="52" spans="1:26" ht="15">
      <c r="B52" s="255" t="s">
        <v>322</v>
      </c>
      <c r="C52" s="256" t="s">
        <v>323</v>
      </c>
      <c r="D52" s="256" t="s">
        <v>324</v>
      </c>
      <c r="E52" s="256" t="s">
        <v>325</v>
      </c>
      <c r="F52" s="256" t="s">
        <v>326</v>
      </c>
      <c r="G52" s="256" t="s">
        <v>327</v>
      </c>
      <c r="H52" s="256" t="s">
        <v>328</v>
      </c>
      <c r="I52" s="256" t="s">
        <v>329</v>
      </c>
      <c r="J52" s="256" t="s">
        <v>330</v>
      </c>
      <c r="K52" s="256" t="s">
        <v>331</v>
      </c>
      <c r="L52" s="256" t="s">
        <v>332</v>
      </c>
      <c r="P52" s="255" t="s">
        <v>322</v>
      </c>
      <c r="Q52" s="256" t="s">
        <v>323</v>
      </c>
      <c r="R52" s="256" t="s">
        <v>324</v>
      </c>
      <c r="S52" s="256" t="s">
        <v>325</v>
      </c>
      <c r="T52" s="256" t="s">
        <v>326</v>
      </c>
      <c r="U52" s="256" t="s">
        <v>327</v>
      </c>
      <c r="V52" s="256" t="s">
        <v>328</v>
      </c>
      <c r="W52" s="256" t="s">
        <v>329</v>
      </c>
      <c r="X52" s="256" t="s">
        <v>330</v>
      </c>
      <c r="Y52" s="256" t="s">
        <v>331</v>
      </c>
      <c r="Z52" s="256" t="s">
        <v>332</v>
      </c>
    </row>
    <row r="53" spans="1:26" ht="15">
      <c r="A53" s="247">
        <f>C53+(D53*Sheet3!$AG$9)+(E53*Sheet3!$AG$10)+(F53*Sheet3!$AG$9*Sheet3!$AG$9)+(G53*Sheet3!$AG$9*Sheet3!$AG$10)+(H53*Sheet3!$AG$10*Sheet3!$AG$10)+(I53*Sheet3!$AG$9*Sheet3!$AG$9*Sheet3!$AG$9)+(J53*Sheet3!$AG$10*Sheet3!$AG$9*Sheet3!$AG$9)+(K53*Sheet3!$AG$9*Sheet3!$AG$10*Sheet3!$AG$10)+(L53*Sheet3!$AG$10*Sheet3!$AG$10*Sheet3!$AG$10)</f>
        <v>26.714419835976432</v>
      </c>
      <c r="B53" s="255" t="s">
        <v>382</v>
      </c>
      <c r="C53" s="248">
        <v>35.16431</v>
      </c>
      <c r="D53" s="248">
        <v>1.3902289999999999</v>
      </c>
      <c r="E53" s="248">
        <v>-0.30032690000000001</v>
      </c>
      <c r="F53" s="248">
        <v>2.1215370000000001E-2</v>
      </c>
      <c r="G53" s="248">
        <v>-9.3232679999999991E-3</v>
      </c>
      <c r="H53" s="248">
        <v>-8.3550919999999997E-4</v>
      </c>
      <c r="I53" s="248">
        <v>1.2382070000000001E-4</v>
      </c>
      <c r="J53" s="248">
        <v>-1.2944850000000001E-4</v>
      </c>
      <c r="K53" s="248">
        <v>-1.0263159999999999E-5</v>
      </c>
      <c r="L53" s="248">
        <v>6.2188630000000003E-6</v>
      </c>
      <c r="O53" s="247">
        <f>Q53+(R53*Sheet3!$AG$9)+(S53*Sheet3!$AG$10)+(T53*Sheet3!$AG$9*Sheet3!$AG$9)+(U53*Sheet3!$AG$9*Sheet3!$AG$10)+(V53*Sheet3!$AG$10*Sheet3!$AG$10)+(W53*Sheet3!$AG$9*Sheet3!$AG$9*Sheet3!$AG$9)+(X53*Sheet3!$AG$10*Sheet3!$AG$9*Sheet3!$AG$9)+(Y53*Sheet3!$AG$9*Sheet3!$AG$10*Sheet3!$AG$10)+(Z53*Sheet3!$AG$10*Sheet3!$AG$10*Sheet3!$AG$10)</f>
        <v>19.614237705437326</v>
      </c>
      <c r="P53" s="255" t="s">
        <v>382</v>
      </c>
      <c r="Q53" s="248">
        <v>19.550319999999999</v>
      </c>
      <c r="R53" s="248">
        <v>0.58785229999999999</v>
      </c>
      <c r="S53" s="248">
        <v>-0.75055590000000005</v>
      </c>
      <c r="T53" s="248">
        <v>1.418059E-2</v>
      </c>
      <c r="U53" s="248">
        <v>-2.6844900000000001E-2</v>
      </c>
      <c r="V53" s="248">
        <v>2.6929330000000001E-2</v>
      </c>
      <c r="W53" s="248">
        <v>1.7089509999999999E-4</v>
      </c>
      <c r="X53" s="248">
        <v>-3.4132649999999999E-4</v>
      </c>
      <c r="Y53" s="248">
        <v>3.3454669999999999E-4</v>
      </c>
      <c r="Z53" s="248">
        <v>-1.9521290000000001E-4</v>
      </c>
    </row>
    <row r="54" spans="1:26" ht="15">
      <c r="A54" s="247">
        <f>C54+(D54*Sheet3!$AG$9)+(E54*Sheet3!$AG$10)+(F54*Sheet3!$AG$9*Sheet3!$AG$9)+(G54*Sheet3!$AG$9*Sheet3!$AG$10)+(H54*Sheet3!$AG$10*Sheet3!$AG$10)+(I54*Sheet3!$AG$9*Sheet3!$AG$9*Sheet3!$AG$9)+(J54*Sheet3!$AG$10*Sheet3!$AG$9*Sheet3!$AG$9)+(K54*Sheet3!$AG$9*Sheet3!$AG$10*Sheet3!$AG$10)+(L54*Sheet3!$AG$10*Sheet3!$AG$10*Sheet3!$AG$10)</f>
        <v>30.663507343715192</v>
      </c>
      <c r="B54" s="255" t="s">
        <v>383</v>
      </c>
      <c r="C54" s="248">
        <v>40.36251</v>
      </c>
      <c r="D54" s="248">
        <v>1.5957410000000001</v>
      </c>
      <c r="E54" s="248">
        <v>-0.344723</v>
      </c>
      <c r="F54" s="248">
        <v>2.4351560000000001E-2</v>
      </c>
      <c r="G54" s="248">
        <v>-1.0701489999999999E-2</v>
      </c>
      <c r="H54" s="248">
        <v>-9.5901929999999997E-4</v>
      </c>
      <c r="I54" s="248">
        <v>1.421246E-4</v>
      </c>
      <c r="J54" s="248">
        <v>-1.4858429999999999E-4</v>
      </c>
      <c r="K54" s="248">
        <v>-1.1780319999999999E-5</v>
      </c>
      <c r="L54" s="248">
        <v>7.1381749999999996E-6</v>
      </c>
      <c r="O54" s="247">
        <f>Q54+(R54*Sheet3!$AG$9)+(S54*Sheet3!$AG$10)+(T54*Sheet3!$AG$9*Sheet3!$AG$9)+(U54*Sheet3!$AG$9*Sheet3!$AG$10)+(V54*Sheet3!$AG$10*Sheet3!$AG$10)+(W54*Sheet3!$AG$9*Sheet3!$AG$9*Sheet3!$AG$9)+(X54*Sheet3!$AG$10*Sheet3!$AG$9*Sheet3!$AG$9)+(Y54*Sheet3!$AG$9*Sheet3!$AG$10*Sheet3!$AG$10)+(Z54*Sheet3!$AG$10*Sheet3!$AG$10*Sheet3!$AG$10)</f>
        <v>22.5137310449362</v>
      </c>
      <c r="P54" s="255" t="s">
        <v>383</v>
      </c>
      <c r="Q54" s="248">
        <v>22.440359999999998</v>
      </c>
      <c r="R54" s="248">
        <v>0.67475229999999997</v>
      </c>
      <c r="S54" s="248">
        <v>-0.86150760000000004</v>
      </c>
      <c r="T54" s="248">
        <v>1.6276849999999999E-2</v>
      </c>
      <c r="U54" s="248">
        <v>-3.081327E-2</v>
      </c>
      <c r="V54" s="248">
        <v>3.0910190000000001E-2</v>
      </c>
      <c r="W54" s="248">
        <v>1.9615790000000001E-4</v>
      </c>
      <c r="X54" s="248">
        <v>-3.9178349999999999E-4</v>
      </c>
      <c r="Y54" s="248">
        <v>3.8400149999999998E-4</v>
      </c>
      <c r="Z54" s="248">
        <v>-2.240705E-4</v>
      </c>
    </row>
    <row r="55" spans="1:26" ht="15">
      <c r="A55" s="247">
        <f>C55+(D55*Sheet3!$AG$9)+(E55*Sheet3!$AG$10)+(F55*Sheet3!$AG$9*Sheet3!$AG$9)+(G55*Sheet3!$AG$9*Sheet3!$AG$10)+(H55*Sheet3!$AG$10*Sheet3!$AG$10)+(I55*Sheet3!$AG$9*Sheet3!$AG$9*Sheet3!$AG$9)+(J55*Sheet3!$AG$10*Sheet3!$AG$9*Sheet3!$AG$9)+(K55*Sheet3!$AG$9*Sheet3!$AG$10*Sheet3!$AG$10)+(L55*Sheet3!$AG$10*Sheet3!$AG$10*Sheet3!$AG$10)</f>
        <v>36.139333354005032</v>
      </c>
      <c r="B55" s="255" t="s">
        <v>384</v>
      </c>
      <c r="C55" s="248">
        <v>47.570360000000001</v>
      </c>
      <c r="D55" s="248">
        <v>1.8807050000000001</v>
      </c>
      <c r="E55" s="248">
        <v>-0.4062828</v>
      </c>
      <c r="F55" s="248">
        <v>2.8700199999999999E-2</v>
      </c>
      <c r="G55" s="248">
        <v>-1.261254E-2</v>
      </c>
      <c r="H55" s="248">
        <v>-1.1302790000000001E-3</v>
      </c>
      <c r="I55" s="248">
        <v>1.675049E-4</v>
      </c>
      <c r="J55" s="248">
        <v>-1.751182E-4</v>
      </c>
      <c r="K55" s="248">
        <v>-1.3884019999999999E-5</v>
      </c>
      <c r="L55" s="248">
        <v>8.4128929999999995E-6</v>
      </c>
      <c r="O55" s="247">
        <f>Q55+(R55*Sheet3!$AG$9)+(S55*Sheet3!$AG$10)+(T55*Sheet3!$AG$9*Sheet3!$AG$9)+(U55*Sheet3!$AG$9*Sheet3!$AG$10)+(V55*Sheet3!$AG$10*Sheet3!$AG$10)+(W55*Sheet3!$AG$9*Sheet3!$AG$9*Sheet3!$AG$9)+(X55*Sheet3!$AG$10*Sheet3!$AG$9*Sheet3!$AG$9)+(Y55*Sheet3!$AG$9*Sheet3!$AG$10*Sheet3!$AG$10)+(Z55*Sheet3!$AG$10*Sheet3!$AG$10*Sheet3!$AG$10)</f>
        <v>26.283724683057379</v>
      </c>
      <c r="P55" s="255" t="s">
        <v>384</v>
      </c>
      <c r="Q55" s="248">
        <v>26.198060000000002</v>
      </c>
      <c r="R55" s="248">
        <v>0.78774120000000003</v>
      </c>
      <c r="S55" s="248">
        <v>-1.0057689999999999</v>
      </c>
      <c r="T55" s="248">
        <v>1.9002450000000001E-2</v>
      </c>
      <c r="U55" s="248">
        <v>-3.5973030000000003E-2</v>
      </c>
      <c r="V55" s="248">
        <v>3.6086180000000002E-2</v>
      </c>
      <c r="W55" s="248">
        <v>2.2900500000000001E-4</v>
      </c>
      <c r="X55" s="248">
        <v>-4.5738860000000002E-4</v>
      </c>
      <c r="Y55" s="248">
        <v>4.483035E-4</v>
      </c>
      <c r="Z55" s="248">
        <v>-2.615917E-4</v>
      </c>
    </row>
    <row r="56" spans="1:26" ht="15">
      <c r="A56" s="247">
        <f>C56+(D56*Sheet3!$AG$9)+(E56*Sheet3!$AG$10)+(F56*Sheet3!$AG$9*Sheet3!$AG$9)+(G56*Sheet3!$AG$9*Sheet3!$AG$10)+(H56*Sheet3!$AG$10*Sheet3!$AG$10)+(I56*Sheet3!$AG$9*Sheet3!$AG$9*Sheet3!$AG$9)+(J56*Sheet3!$AG$10*Sheet3!$AG$9*Sheet3!$AG$9)+(K56*Sheet3!$AG$9*Sheet3!$AG$10*Sheet3!$AG$10)+(L56*Sheet3!$AG$10*Sheet3!$AG$10*Sheet3!$AG$10)</f>
        <v>40.265955571118553</v>
      </c>
      <c r="B56" s="255" t="s">
        <v>385</v>
      </c>
      <c r="C56" s="248">
        <v>53.002249999999997</v>
      </c>
      <c r="D56" s="248">
        <v>2.095456</v>
      </c>
      <c r="E56" s="248">
        <v>-0.45267479999999999</v>
      </c>
      <c r="F56" s="248">
        <v>3.197738E-2</v>
      </c>
      <c r="G56" s="248">
        <v>-1.4052719999999999E-2</v>
      </c>
      <c r="H56" s="248">
        <v>-1.259341E-3</v>
      </c>
      <c r="I56" s="248">
        <v>1.866317E-4</v>
      </c>
      <c r="J56" s="248">
        <v>-1.951143E-4</v>
      </c>
      <c r="K56" s="248">
        <v>-1.5469390000000001E-5</v>
      </c>
      <c r="L56" s="248">
        <v>9.3735310000000008E-6</v>
      </c>
      <c r="O56" s="247">
        <f>Q56+(R56*Sheet3!$AG$9)+(S56*Sheet3!$AG$10)+(T56*Sheet3!$AG$9*Sheet3!$AG$9)+(U56*Sheet3!$AG$9*Sheet3!$AG$10)+(V56*Sheet3!$AG$10*Sheet3!$AG$10)+(W56*Sheet3!$AG$9*Sheet3!$AG$9*Sheet3!$AG$9)+(X56*Sheet3!$AG$10*Sheet3!$AG$9*Sheet3!$AG$9)+(Y56*Sheet3!$AG$9*Sheet3!$AG$10*Sheet3!$AG$10)+(Z56*Sheet3!$AG$10*Sheet3!$AG$10*Sheet3!$AG$10)</f>
        <v>29.887243495874561</v>
      </c>
      <c r="P56" s="255" t="s">
        <v>385</v>
      </c>
      <c r="Q56" s="248">
        <v>29.789840000000002</v>
      </c>
      <c r="R56" s="248">
        <v>0.89574129999999996</v>
      </c>
      <c r="S56" s="248">
        <v>-1.143661</v>
      </c>
      <c r="T56" s="248">
        <v>2.1607709999999999E-2</v>
      </c>
      <c r="U56" s="248">
        <v>-4.0904969999999999E-2</v>
      </c>
      <c r="V56" s="248">
        <v>4.1033630000000001E-2</v>
      </c>
      <c r="W56" s="248">
        <v>2.604018E-4</v>
      </c>
      <c r="X56" s="248">
        <v>-5.2009699999999996E-4</v>
      </c>
      <c r="Y56" s="248">
        <v>5.0976630000000003E-4</v>
      </c>
      <c r="Z56" s="248">
        <v>-2.9745619999999999E-4</v>
      </c>
    </row>
    <row r="57" spans="1:26" ht="15">
      <c r="A57" s="247">
        <f>C57+(D57*Sheet3!$AG$9)+(E57*Sheet3!$AG$10)+(F57*Sheet3!$AG$9*Sheet3!$AG$9)+(G57*Sheet3!$AG$9*Sheet3!$AG$10)+(H57*Sheet3!$AG$10*Sheet3!$AG$10)+(I57*Sheet3!$AG$9*Sheet3!$AG$9*Sheet3!$AG$9)+(J57*Sheet3!$AG$10*Sheet3!$AG$9*Sheet3!$AG$9)+(K57*Sheet3!$AG$9*Sheet3!$AG$10*Sheet3!$AG$10)+(L57*Sheet3!$AG$10*Sheet3!$AG$10*Sheet3!$AG$10)</f>
        <v>44.42669432462408</v>
      </c>
      <c r="B57" s="255" t="s">
        <v>386</v>
      </c>
      <c r="C57" s="248">
        <v>58.479050000000001</v>
      </c>
      <c r="D57" s="248">
        <v>2.3119830000000001</v>
      </c>
      <c r="E57" s="248">
        <v>-0.49945040000000002</v>
      </c>
      <c r="F57" s="248">
        <v>3.5281649999999998E-2</v>
      </c>
      <c r="G57" s="248">
        <v>-1.5504810000000001E-2</v>
      </c>
      <c r="H57" s="248">
        <v>-1.389471E-3</v>
      </c>
      <c r="I57" s="248">
        <v>2.0591660000000001E-4</v>
      </c>
      <c r="J57" s="248">
        <v>-2.1527579999999999E-4</v>
      </c>
      <c r="K57" s="248">
        <v>-1.7067870000000001E-5</v>
      </c>
      <c r="L57" s="248">
        <v>1.0342109999999999E-5</v>
      </c>
      <c r="O57" s="247">
        <f>Q57+(R57*Sheet3!$AG$9)+(S57*Sheet3!$AG$10)+(T57*Sheet3!$AG$9*Sheet3!$AG$9)+(U57*Sheet3!$AG$9*Sheet3!$AG$10)+(V57*Sheet3!$AG$10*Sheet3!$AG$10)+(W57*Sheet3!$AG$9*Sheet3!$AG$9*Sheet3!$AG$9)+(X57*Sheet3!$AG$10*Sheet3!$AG$9*Sheet3!$AG$9)+(Y57*Sheet3!$AG$9*Sheet3!$AG$10*Sheet3!$AG$10)+(Z57*Sheet3!$AG$10*Sheet3!$AG$10*Sheet3!$AG$10)</f>
        <v>32.634715721585252</v>
      </c>
      <c r="P57" s="255" t="s">
        <v>386</v>
      </c>
      <c r="Q57" s="248">
        <v>32.528359999999999</v>
      </c>
      <c r="R57" s="248">
        <v>0.97808519999999999</v>
      </c>
      <c r="S57" s="248">
        <v>-1.248796</v>
      </c>
      <c r="T57" s="248">
        <v>2.359406E-2</v>
      </c>
      <c r="U57" s="248">
        <v>-4.4665290000000003E-2</v>
      </c>
      <c r="V57" s="248">
        <v>4.4805780000000003E-2</v>
      </c>
      <c r="W57" s="248">
        <v>2.8434009999999998E-4</v>
      </c>
      <c r="X57" s="248">
        <v>-5.6790859999999999E-4</v>
      </c>
      <c r="Y57" s="248">
        <v>5.5662820000000005E-4</v>
      </c>
      <c r="Z57" s="248">
        <v>-3.248007E-4</v>
      </c>
    </row>
    <row r="58" spans="1:26" ht="15">
      <c r="A58" s="247">
        <f>C58+(D58*Sheet3!$AG$9)+(E58*Sheet3!$AG$10)+(F58*Sheet3!$AG$9*Sheet3!$AG$9)+(G58*Sheet3!$AG$9*Sheet3!$AG$10)+(H58*Sheet3!$AG$10*Sheet3!$AG$10)+(I58*Sheet3!$AG$9*Sheet3!$AG$9*Sheet3!$AG$9)+(J58*Sheet3!$AG$10*Sheet3!$AG$9*Sheet3!$AG$9)+(K58*Sheet3!$AG$9*Sheet3!$AG$10*Sheet3!$AG$10)+(L58*Sheet3!$AG$10*Sheet3!$AG$10*Sheet3!$AG$10)</f>
        <v>52.434123693397794</v>
      </c>
      <c r="B58" s="255" t="s">
        <v>387</v>
      </c>
      <c r="C58" s="248">
        <v>65.029390000000006</v>
      </c>
      <c r="D58" s="248">
        <v>2.5026229999999998</v>
      </c>
      <c r="E58" s="248">
        <v>-0.39018120000000001</v>
      </c>
      <c r="F58" s="248">
        <v>3.8918889999999998E-2</v>
      </c>
      <c r="G58" s="248">
        <v>-1.323031E-2</v>
      </c>
      <c r="H58" s="248">
        <v>-3.9061230000000001E-3</v>
      </c>
      <c r="I58" s="248">
        <v>2.356243E-4</v>
      </c>
      <c r="J58" s="248">
        <v>-2.1310219999999999E-4</v>
      </c>
      <c r="K58" s="248">
        <v>-4.6199750000000001E-5</v>
      </c>
      <c r="L58" s="248">
        <v>1.133998E-5</v>
      </c>
      <c r="O58" s="247">
        <f>Q58+(R58*Sheet3!$AG$9)+(S58*Sheet3!$AG$10)+(T58*Sheet3!$AG$9*Sheet3!$AG$9)+(U58*Sheet3!$AG$9*Sheet3!$AG$10)+(V58*Sheet3!$AG$10*Sheet3!$AG$10)+(W58*Sheet3!$AG$9*Sheet3!$AG$9*Sheet3!$AG$9)+(X58*Sheet3!$AG$10*Sheet3!$AG$9*Sheet3!$AG$9)+(Y58*Sheet3!$AG$9*Sheet3!$AG$10*Sheet3!$AG$10)+(Z58*Sheet3!$AG$10*Sheet3!$AG$10*Sheet3!$AG$10)</f>
        <v>37.493240403826796</v>
      </c>
      <c r="P58" s="255" t="s">
        <v>387</v>
      </c>
      <c r="Q58" s="248">
        <v>18.192399999999999</v>
      </c>
      <c r="R58" s="248">
        <v>0.48922369999999998</v>
      </c>
      <c r="S58" s="248">
        <v>0.23699000000000001</v>
      </c>
      <c r="T58" s="248">
        <v>1.342202E-2</v>
      </c>
      <c r="U58" s="248">
        <v>-2.6135869999999999E-2</v>
      </c>
      <c r="V58" s="248">
        <v>5.18856E-3</v>
      </c>
      <c r="W58" s="248">
        <v>1.2237740000000001E-4</v>
      </c>
      <c r="X58" s="248">
        <v>-3.2818890000000002E-4</v>
      </c>
      <c r="Y58" s="248">
        <v>3.759581E-4</v>
      </c>
      <c r="Z58" s="248">
        <v>4.1428070000000002E-5</v>
      </c>
    </row>
    <row r="59" spans="1:26" ht="15">
      <c r="A59" s="247">
        <f>C59+(D59*Sheet3!$AG$9)+(E59*Sheet3!$AG$10)+(F59*Sheet3!$AG$9*Sheet3!$AG$9)+(G59*Sheet3!$AG$9*Sheet3!$AG$10)+(H59*Sheet3!$AG$10*Sheet3!$AG$10)+(I59*Sheet3!$AG$9*Sheet3!$AG$9*Sheet3!$AG$9)+(J59*Sheet3!$AG$10*Sheet3!$AG$9*Sheet3!$AG$9)+(K59*Sheet3!$AG$9*Sheet3!$AG$10*Sheet3!$AG$10)+(L59*Sheet3!$AG$10*Sheet3!$AG$10*Sheet3!$AG$10)</f>
        <v>57.150597746955839</v>
      </c>
      <c r="B59" s="255" t="s">
        <v>388</v>
      </c>
      <c r="C59" s="248">
        <v>70.878810000000001</v>
      </c>
      <c r="D59" s="248">
        <v>2.727735</v>
      </c>
      <c r="E59" s="248">
        <v>-0.42527809999999999</v>
      </c>
      <c r="F59" s="248">
        <v>4.2419659999999998E-2</v>
      </c>
      <c r="G59" s="248">
        <v>-1.442038E-2</v>
      </c>
      <c r="H59" s="248">
        <v>-4.2574800000000001E-3</v>
      </c>
      <c r="I59" s="248">
        <v>2.5681880000000002E-4</v>
      </c>
      <c r="J59" s="248">
        <v>-2.322708E-4</v>
      </c>
      <c r="K59" s="248">
        <v>-5.0355439999999998E-5</v>
      </c>
      <c r="L59" s="248">
        <v>1.236002E-5</v>
      </c>
      <c r="O59" s="247">
        <f>Q59+(R59*Sheet3!$AG$9)+(S59*Sheet3!$AG$10)+(T59*Sheet3!$AG$9*Sheet3!$AG$9)+(U59*Sheet3!$AG$9*Sheet3!$AG$10)+(V59*Sheet3!$AG$10*Sheet3!$AG$10)+(W59*Sheet3!$AG$9*Sheet3!$AG$9*Sheet3!$AG$9)+(X59*Sheet3!$AG$10*Sheet3!$AG$9*Sheet3!$AG$9)+(Y59*Sheet3!$AG$9*Sheet3!$AG$10*Sheet3!$AG$10)+(Z59*Sheet3!$AG$10*Sheet3!$AG$10*Sheet3!$AG$10)</f>
        <v>41.044839604287567</v>
      </c>
      <c r="P59" s="255" t="s">
        <v>388</v>
      </c>
      <c r="Q59" s="248">
        <v>19.915700000000001</v>
      </c>
      <c r="R59" s="248">
        <v>0.53556619999999999</v>
      </c>
      <c r="S59" s="248">
        <v>0.25943919999999998</v>
      </c>
      <c r="T59" s="248">
        <v>1.469345E-2</v>
      </c>
      <c r="U59" s="248">
        <v>-2.8611640000000001E-2</v>
      </c>
      <c r="V59" s="248">
        <v>5.6800540000000004E-3</v>
      </c>
      <c r="W59" s="248">
        <v>1.3396980000000001E-4</v>
      </c>
      <c r="X59" s="248">
        <v>-3.592771E-4</v>
      </c>
      <c r="Y59" s="248">
        <v>4.1157139999999998E-4</v>
      </c>
      <c r="Z59" s="248">
        <v>4.5352409999999997E-5</v>
      </c>
    </row>
    <row r="60" spans="1:26" ht="15">
      <c r="A60" s="247">
        <f>C60+(D60*Sheet3!$AG$9)+(E60*Sheet3!$AG$10)+(F60*Sheet3!$AG$9*Sheet3!$AG$9)+(G60*Sheet3!$AG$9*Sheet3!$AG$10)+(H60*Sheet3!$AG$10*Sheet3!$AG$10)+(I60*Sheet3!$AG$9*Sheet3!$AG$9*Sheet3!$AG$9)+(J60*Sheet3!$AG$10*Sheet3!$AG$9*Sheet3!$AG$9)+(K60*Sheet3!$AG$9*Sheet3!$AG$10*Sheet3!$AG$10)+(L60*Sheet3!$AG$10*Sheet3!$AG$10*Sheet3!$AG$10)</f>
        <v>65.399251049271584</v>
      </c>
      <c r="B60" s="255" t="s">
        <v>389</v>
      </c>
      <c r="C60" s="248">
        <v>77.910820000000001</v>
      </c>
      <c r="D60" s="248">
        <v>2.9857670000000001</v>
      </c>
      <c r="E60" s="248">
        <v>-0.367539</v>
      </c>
      <c r="F60" s="248">
        <v>4.7148929999999999E-2</v>
      </c>
      <c r="G60" s="248">
        <v>-1.2114140000000001E-2</v>
      </c>
      <c r="H60" s="248">
        <v>-5.7328980000000002E-3</v>
      </c>
      <c r="I60" s="248">
        <v>2.9520600000000001E-4</v>
      </c>
      <c r="J60" s="248">
        <v>-2.2980280000000001E-4</v>
      </c>
      <c r="K60" s="248">
        <v>-8.0953720000000005E-5</v>
      </c>
      <c r="L60" s="248">
        <v>1.2319229999999999E-5</v>
      </c>
      <c r="O60" s="247">
        <f>Q60+(R60*Sheet3!$AG$9)+(S60*Sheet3!$AG$10)+(T60*Sheet3!$AG$9*Sheet3!$AG$9)+(U60*Sheet3!$AG$9*Sheet3!$AG$10)+(V60*Sheet3!$AG$10*Sheet3!$AG$10)+(W60*Sheet3!$AG$9*Sheet3!$AG$9*Sheet3!$AG$9)+(X60*Sheet3!$AG$10*Sheet3!$AG$9*Sheet3!$AG$9)+(Y60*Sheet3!$AG$9*Sheet3!$AG$10*Sheet3!$AG$10)+(Z60*Sheet3!$AG$10*Sheet3!$AG$10*Sheet3!$AG$10)</f>
        <v>45.331464654446023</v>
      </c>
      <c r="P60" s="255" t="s">
        <v>389</v>
      </c>
      <c r="Q60" s="248">
        <v>3.602474</v>
      </c>
      <c r="R60" s="248">
        <v>-0.18301799999999999</v>
      </c>
      <c r="S60" s="248">
        <v>2.70052</v>
      </c>
      <c r="T60" s="248">
        <v>-1.1083809999999999E-2</v>
      </c>
      <c r="U60" s="248">
        <v>1.126716E-2</v>
      </c>
      <c r="V60" s="248">
        <v>-7.6928259999999998E-2</v>
      </c>
      <c r="W60" s="248">
        <v>-1.114907E-4</v>
      </c>
      <c r="X60" s="248">
        <v>3.1592840000000002E-4</v>
      </c>
      <c r="Y60" s="248">
        <v>-4.9482330000000001E-5</v>
      </c>
      <c r="Z60" s="248">
        <v>8.9656649999999996E-4</v>
      </c>
    </row>
    <row r="61" spans="1:26" ht="15">
      <c r="A61" s="247">
        <f>C61+(D61*Sheet3!$AG$9)+(E61*Sheet3!$AG$10)+(F61*Sheet3!$AG$9*Sheet3!$AG$9)+(G61*Sheet3!$AG$9*Sheet3!$AG$10)+(H61*Sheet3!$AG$10*Sheet3!$AG$10)+(I61*Sheet3!$AG$9*Sheet3!$AG$9*Sheet3!$AG$9)+(J61*Sheet3!$AG$10*Sheet3!$AG$9*Sheet3!$AG$9)+(K61*Sheet3!$AG$9*Sheet3!$AG$10*Sheet3!$AG$10)+(L61*Sheet3!$AG$10*Sheet3!$AG$10*Sheet3!$AG$10)</f>
        <v>75.988038558266254</v>
      </c>
      <c r="B61" s="255" t="s">
        <v>390</v>
      </c>
      <c r="C61" s="248">
        <v>96.140079999999998</v>
      </c>
      <c r="D61" s="248">
        <v>3.7193960000000001</v>
      </c>
      <c r="E61" s="248">
        <v>-0.7270974</v>
      </c>
      <c r="F61" s="248">
        <v>5.7028269999999999E-2</v>
      </c>
      <c r="G61" s="248">
        <v>-2.3736070000000001E-2</v>
      </c>
      <c r="H61" s="248">
        <v>-2.3731199999999998E-3</v>
      </c>
      <c r="I61" s="248">
        <v>3.3872889999999998E-4</v>
      </c>
      <c r="J61" s="248">
        <v>-3.3942919999999999E-4</v>
      </c>
      <c r="K61" s="248">
        <v>-3.35491E-5</v>
      </c>
      <c r="L61" s="248">
        <v>9.1703730000000006E-6</v>
      </c>
      <c r="O61" s="247">
        <f>Q61+(R61*Sheet3!$AG$9)+(S61*Sheet3!$AG$10)+(T61*Sheet3!$AG$9*Sheet3!$AG$9)+(U61*Sheet3!$AG$9*Sheet3!$AG$10)+(V61*Sheet3!$AG$10*Sheet3!$AG$10)+(W61*Sheet3!$AG$9*Sheet3!$AG$9*Sheet3!$AG$9)+(X61*Sheet3!$AG$10*Sheet3!$AG$9*Sheet3!$AG$9)+(Y61*Sheet3!$AG$9*Sheet3!$AG$10*Sheet3!$AG$10)+(Z61*Sheet3!$AG$10*Sheet3!$AG$10*Sheet3!$AG$10)</f>
        <v>53.179942365022484</v>
      </c>
      <c r="P61" s="255" t="s">
        <v>390</v>
      </c>
      <c r="Q61" s="248">
        <v>22.06119</v>
      </c>
      <c r="R61" s="248">
        <v>0.27891850000000001</v>
      </c>
      <c r="S61" s="248">
        <v>0.59227580000000002</v>
      </c>
      <c r="T61" s="248">
        <v>2.1943140000000002E-3</v>
      </c>
      <c r="U61" s="248">
        <v>-7.449738E-3</v>
      </c>
      <c r="V61" s="248">
        <v>3.427233E-3</v>
      </c>
      <c r="W61" s="248">
        <v>-1.037651E-4</v>
      </c>
      <c r="X61" s="248">
        <v>-6.7949270000000001E-5</v>
      </c>
      <c r="Y61" s="248">
        <v>1.8158700000000001E-4</v>
      </c>
      <c r="Z61" s="248">
        <v>4.0987779999999999E-5</v>
      </c>
    </row>
    <row r="62" spans="1:26" ht="15">
      <c r="A62" s="247">
        <f>C62+(D62*Sheet3!$AG$9)+(E62*Sheet3!$AG$10)+(F62*Sheet3!$AG$9*Sheet3!$AG$9)+(G62*Sheet3!$AG$9*Sheet3!$AG$10)+(H62*Sheet3!$AG$10*Sheet3!$AG$10)+(I62*Sheet3!$AG$9*Sheet3!$AG$9*Sheet3!$AG$9)+(J62*Sheet3!$AG$10*Sheet3!$AG$9*Sheet3!$AG$9)+(K62*Sheet3!$AG$9*Sheet3!$AG$10*Sheet3!$AG$10)+(L62*Sheet3!$AG$10*Sheet3!$AG$10*Sheet3!$AG$10)</f>
        <v>86.038088005792545</v>
      </c>
      <c r="B62" s="255" t="s">
        <v>391</v>
      </c>
      <c r="C62" s="248">
        <v>108.8554</v>
      </c>
      <c r="D62" s="248">
        <v>4.2113160000000001</v>
      </c>
      <c r="E62" s="248">
        <v>-0.82326189999999999</v>
      </c>
      <c r="F62" s="248">
        <v>6.4570719999999998E-2</v>
      </c>
      <c r="G62" s="248">
        <v>-2.6875360000000001E-2</v>
      </c>
      <c r="H62" s="248">
        <v>-2.6869839999999999E-3</v>
      </c>
      <c r="I62" s="248">
        <v>3.8352850000000001E-4</v>
      </c>
      <c r="J62" s="248">
        <v>-3.843214E-4</v>
      </c>
      <c r="K62" s="248">
        <v>-3.7986230000000001E-5</v>
      </c>
      <c r="L62" s="248">
        <v>1.038323E-5</v>
      </c>
      <c r="O62" s="247">
        <f>Q62+(R62*Sheet3!$AG$9)+(S62*Sheet3!$AG$10)+(T62*Sheet3!$AG$9*Sheet3!$AG$9)+(U62*Sheet3!$AG$9*Sheet3!$AG$10)+(V62*Sheet3!$AG$10*Sheet3!$AG$10)+(W62*Sheet3!$AG$9*Sheet3!$AG$9*Sheet3!$AG$9)+(X62*Sheet3!$AG$10*Sheet3!$AG$9*Sheet3!$AG$9)+(Y62*Sheet3!$AG$9*Sheet3!$AG$10*Sheet3!$AG$10)+(Z62*Sheet3!$AG$10*Sheet3!$AG$10*Sheet3!$AG$10)</f>
        <v>60.213405478021606</v>
      </c>
      <c r="P62" s="255" t="s">
        <v>391</v>
      </c>
      <c r="Q62" s="248">
        <v>24.978950000000001</v>
      </c>
      <c r="R62" s="248">
        <v>0.31580770000000002</v>
      </c>
      <c r="S62" s="248">
        <v>0.67060900000000001</v>
      </c>
      <c r="T62" s="248">
        <v>2.48453E-3</v>
      </c>
      <c r="U62" s="248">
        <v>-8.435026E-3</v>
      </c>
      <c r="V62" s="248">
        <v>3.880512E-3</v>
      </c>
      <c r="W62" s="248">
        <v>-1.1748890000000001E-4</v>
      </c>
      <c r="X62" s="248">
        <v>-7.6936110000000004E-5</v>
      </c>
      <c r="Y62" s="248">
        <v>2.056033E-4</v>
      </c>
      <c r="Z62" s="248">
        <v>4.6408739999999998E-5</v>
      </c>
    </row>
    <row r="63" spans="1:26" ht="15">
      <c r="A63" s="247">
        <f>C63+(D63*Sheet3!$AG$9)+(E63*Sheet3!$AG$10)+(F63*Sheet3!$AG$9*Sheet3!$AG$9)+(G63*Sheet3!$AG$9*Sheet3!$AG$10)+(H63*Sheet3!$AG$10*Sheet3!$AG$10)+(I63*Sheet3!$AG$9*Sheet3!$AG$9*Sheet3!$AG$9)+(J63*Sheet3!$AG$10*Sheet3!$AG$9*Sheet3!$AG$9)+(K63*Sheet3!$AG$9*Sheet3!$AG$10*Sheet3!$AG$10)+(L63*Sheet3!$AG$10*Sheet3!$AG$10*Sheet3!$AG$10)</f>
        <v>100.82034154106884</v>
      </c>
      <c r="B63" s="255" t="s">
        <v>392</v>
      </c>
      <c r="C63" s="248">
        <v>108.6957</v>
      </c>
      <c r="D63" s="248">
        <v>3.2378040000000001</v>
      </c>
      <c r="E63" s="248">
        <v>0.33441219999999999</v>
      </c>
      <c r="F63" s="248">
        <v>2.8872720000000001E-2</v>
      </c>
      <c r="G63" s="248">
        <v>4.7354489999999999E-2</v>
      </c>
      <c r="H63" s="248">
        <v>-3.2431300000000003E-2</v>
      </c>
      <c r="I63" s="248">
        <v>-3.4547270000000001E-4</v>
      </c>
      <c r="J63" s="248">
        <v>4.5791009999999999E-4</v>
      </c>
      <c r="K63" s="248">
        <v>-9.157681E-4</v>
      </c>
      <c r="L63" s="248">
        <v>2.2736030000000001E-4</v>
      </c>
      <c r="O63" s="247">
        <f>Q63+(R63*Sheet3!$AG$9)+(S63*Sheet3!$AG$10)+(T63*Sheet3!$AG$9*Sheet3!$AG$9)+(U63*Sheet3!$AG$9*Sheet3!$AG$10)+(V63*Sheet3!$AG$10*Sheet3!$AG$10)+(W63*Sheet3!$AG$9*Sheet3!$AG$9*Sheet3!$AG$9)+(X63*Sheet3!$AG$10*Sheet3!$AG$9*Sheet3!$AG$9)+(Y63*Sheet3!$AG$9*Sheet3!$AG$10*Sheet3!$AG$10)+(Z63*Sheet3!$AG$10*Sheet3!$AG$10*Sheet3!$AG$10)</f>
        <v>70.262593552807573</v>
      </c>
      <c r="P63" s="255" t="s">
        <v>392</v>
      </c>
      <c r="Q63" s="248">
        <v>41.930779999999999</v>
      </c>
      <c r="R63" s="248">
        <v>1.1616629999999999</v>
      </c>
      <c r="S63" s="248">
        <v>-8.3905830000000001E-2</v>
      </c>
      <c r="T63" s="248">
        <v>2.8117659999999999E-2</v>
      </c>
      <c r="U63" s="248">
        <v>-4.8635020000000001E-2</v>
      </c>
      <c r="V63" s="248">
        <v>2.326889E-2</v>
      </c>
      <c r="W63" s="248">
        <v>3.5524599999999998E-4</v>
      </c>
      <c r="X63" s="248">
        <v>-6.7217079999999998E-4</v>
      </c>
      <c r="Y63" s="248">
        <v>6.5602149999999997E-4</v>
      </c>
      <c r="Z63" s="248">
        <v>-6.7775300000000001E-5</v>
      </c>
    </row>
    <row r="64" spans="1:26" ht="15">
      <c r="A64" s="247">
        <f>C64+(D64*Sheet3!$AG$9)+(E64*Sheet3!$AG$10)+(F64*Sheet3!$AG$9*Sheet3!$AG$9)+(G64*Sheet3!$AG$9*Sheet3!$AG$10)+(H64*Sheet3!$AG$10*Sheet3!$AG$10)+(I64*Sheet3!$AG$9*Sheet3!$AG$9*Sheet3!$AG$9)+(J64*Sheet3!$AG$10*Sheet3!$AG$9*Sheet3!$AG$9)+(K64*Sheet3!$AG$9*Sheet3!$AG$10*Sheet3!$AG$10)+(L64*Sheet3!$AG$10*Sheet3!$AG$10*Sheet3!$AG$10)</f>
        <v>108.42267678054199</v>
      </c>
      <c r="B64" s="255" t="s">
        <v>393</v>
      </c>
      <c r="C64" s="248">
        <v>137.1764</v>
      </c>
      <c r="D64" s="248">
        <v>5.306978</v>
      </c>
      <c r="E64" s="248">
        <v>-1.0374509999999999</v>
      </c>
      <c r="F64" s="248">
        <v>8.1370150000000002E-2</v>
      </c>
      <c r="G64" s="248">
        <v>-3.3867540000000002E-2</v>
      </c>
      <c r="H64" s="248">
        <v>-3.3860589999999999E-3</v>
      </c>
      <c r="I64" s="248">
        <v>4.833115E-4</v>
      </c>
      <c r="J64" s="248">
        <v>-4.8431070000000002E-4</v>
      </c>
      <c r="K64" s="248">
        <v>-4.7869140000000002E-5</v>
      </c>
      <c r="L64" s="248">
        <v>1.3084639999999999E-5</v>
      </c>
      <c r="O64" s="247">
        <f>Q64+(R64*Sheet3!$AG$9)+(S64*Sheet3!$AG$10)+(T64*Sheet3!$AG$9*Sheet3!$AG$9)+(U64*Sheet3!$AG$9*Sheet3!$AG$10)+(V64*Sheet3!$AG$10*Sheet3!$AG$10)+(W64*Sheet3!$AG$9*Sheet3!$AG$9*Sheet3!$AG$9)+(X64*Sheet3!$AG$10*Sheet3!$AG$9*Sheet3!$AG$9)+(Y64*Sheet3!$AG$9*Sheet3!$AG$10*Sheet3!$AG$10)+(Z64*Sheet3!$AG$10*Sheet3!$AG$10*Sheet3!$AG$10)</f>
        <v>77.715795599342528</v>
      </c>
      <c r="P64" s="255" t="s">
        <v>393</v>
      </c>
      <c r="Q64" s="248">
        <v>32.239649999999997</v>
      </c>
      <c r="R64" s="248">
        <v>0.40760429999999997</v>
      </c>
      <c r="S64" s="248">
        <v>0.86553670000000005</v>
      </c>
      <c r="T64" s="248">
        <v>3.2067139999999998E-3</v>
      </c>
      <c r="U64" s="248">
        <v>-1.088686E-2</v>
      </c>
      <c r="V64" s="248">
        <v>5.0084700000000001E-3</v>
      </c>
      <c r="W64" s="248">
        <v>-1.516396E-4</v>
      </c>
      <c r="X64" s="248">
        <v>-9.9299339999999996E-5</v>
      </c>
      <c r="Y64" s="248">
        <v>2.6536650000000001E-4</v>
      </c>
      <c r="Z64" s="248">
        <v>5.9898480000000001E-5</v>
      </c>
    </row>
    <row r="65" spans="1:26" ht="15">
      <c r="A65" s="247">
        <f>C65+(D65*Sheet3!$AG$9)+(E65*Sheet3!$AG$10)+(F65*Sheet3!$AG$9*Sheet3!$AG$9)+(G65*Sheet3!$AG$9*Sheet3!$AG$10)+(H65*Sheet3!$AG$10*Sheet3!$AG$10)+(I65*Sheet3!$AG$9*Sheet3!$AG$9*Sheet3!$AG$9)+(J65*Sheet3!$AG$10*Sheet3!$AG$9*Sheet3!$AG$9)+(K65*Sheet3!$AG$9*Sheet3!$AG$10*Sheet3!$AG$10)+(L65*Sheet3!$AG$10*Sheet3!$AG$10*Sheet3!$AG$10)</f>
        <v>115.36401884993154</v>
      </c>
      <c r="B65" s="255" t="s">
        <v>394</v>
      </c>
      <c r="C65" s="248">
        <v>117.87909999999999</v>
      </c>
      <c r="D65" s="248">
        <v>4.1597520000000001</v>
      </c>
      <c r="E65" s="248">
        <v>0.59630700000000003</v>
      </c>
      <c r="F65" s="248">
        <v>5.6515929999999999E-2</v>
      </c>
      <c r="G65" s="248">
        <v>2.1845759999999999E-2</v>
      </c>
      <c r="H65" s="248">
        <v>-3.6341390000000001E-2</v>
      </c>
      <c r="I65" s="248">
        <v>3.9295889999999998E-4</v>
      </c>
      <c r="J65" s="248">
        <v>2.396309E-5</v>
      </c>
      <c r="K65" s="248">
        <v>-6.2463239999999999E-4</v>
      </c>
      <c r="L65" s="248">
        <v>2.1880310000000001E-4</v>
      </c>
      <c r="O65" s="247">
        <f>Q65+(R65*Sheet3!$AG$9)+(S65*Sheet3!$AG$10)+(T65*Sheet3!$AG$9*Sheet3!$AG$9)+(U65*Sheet3!$AG$9*Sheet3!$AG$10)+(V65*Sheet3!$AG$10*Sheet3!$AG$10)+(W65*Sheet3!$AG$9*Sheet3!$AG$9*Sheet3!$AG$9)+(X65*Sheet3!$AG$10*Sheet3!$AG$9*Sheet3!$AG$9)+(Y65*Sheet3!$AG$9*Sheet3!$AG$10*Sheet3!$AG$10)+(Z65*Sheet3!$AG$10*Sheet3!$AG$10*Sheet3!$AG$10)</f>
        <v>83.720910497577478</v>
      </c>
      <c r="P65" s="255" t="s">
        <v>394</v>
      </c>
      <c r="Q65" s="248">
        <v>49.962339999999998</v>
      </c>
      <c r="R65" s="248">
        <v>1.384172</v>
      </c>
      <c r="S65" s="248">
        <v>-9.9977419999999997E-2</v>
      </c>
      <c r="T65" s="248">
        <v>3.3503409999999997E-2</v>
      </c>
      <c r="U65" s="248">
        <v>-5.7950719999999997E-2</v>
      </c>
      <c r="V65" s="248">
        <v>2.7725880000000001E-2</v>
      </c>
      <c r="W65" s="248">
        <v>4.2329100000000001E-4</v>
      </c>
      <c r="X65" s="248">
        <v>-8.0092049999999995E-4</v>
      </c>
      <c r="Y65" s="248">
        <v>7.8167790000000003E-4</v>
      </c>
      <c r="Z65" s="248">
        <v>-8.07572E-5</v>
      </c>
    </row>
    <row r="66" spans="1:26" ht="15">
      <c r="A66" s="247">
        <f>C66+(D66*Sheet3!$AG$9)+(E66*Sheet3!$AG$10)+(F66*Sheet3!$AG$9*Sheet3!$AG$9)+(G66*Sheet3!$AG$9*Sheet3!$AG$10)+(H66*Sheet3!$AG$10*Sheet3!$AG$10)+(I66*Sheet3!$AG$9*Sheet3!$AG$9*Sheet3!$AG$9)+(J66*Sheet3!$AG$10*Sheet3!$AG$9*Sheet3!$AG$9)+(K66*Sheet3!$AG$9*Sheet3!$AG$10*Sheet3!$AG$10)+(L66*Sheet3!$AG$10*Sheet3!$AG$10*Sheet3!$AG$10)</f>
        <v>122.92034163638584</v>
      </c>
      <c r="B66" s="255" t="s">
        <v>395</v>
      </c>
      <c r="C66" s="248">
        <v>145.37899999999999</v>
      </c>
      <c r="D66" s="248">
        <v>4.8019999999999996</v>
      </c>
      <c r="E66" s="248">
        <v>-0.67040180000000005</v>
      </c>
      <c r="F66" s="248">
        <v>5.9274069999999998E-2</v>
      </c>
      <c r="G66" s="248">
        <v>3.066502E-3</v>
      </c>
      <c r="H66" s="248">
        <v>-1.076366E-2</v>
      </c>
      <c r="I66" s="248">
        <v>2.7508820000000001E-4</v>
      </c>
      <c r="J66" s="248">
        <v>-2.7127859999999999E-5</v>
      </c>
      <c r="K66" s="248">
        <v>-4.2353809999999998E-4</v>
      </c>
      <c r="L66" s="248">
        <v>4.5340560000000001E-5</v>
      </c>
      <c r="O66" s="247">
        <f>Q66+(R66*Sheet3!$AG$9)+(S66*Sheet3!$AG$10)+(T66*Sheet3!$AG$9*Sheet3!$AG$9)+(U66*Sheet3!$AG$9*Sheet3!$AG$10)+(V66*Sheet3!$AG$10*Sheet3!$AG$10)+(W66*Sheet3!$AG$9*Sheet3!$AG$9*Sheet3!$AG$9)+(X66*Sheet3!$AG$10*Sheet3!$AG$9*Sheet3!$AG$9)+(Y66*Sheet3!$AG$9*Sheet3!$AG$10*Sheet3!$AG$10)+(Z66*Sheet3!$AG$10*Sheet3!$AG$10*Sheet3!$AG$10)</f>
        <v>88.545434286987302</v>
      </c>
      <c r="P66" s="255" t="s">
        <v>395</v>
      </c>
      <c r="Q66" s="248">
        <v>52.841479999999997</v>
      </c>
      <c r="R66" s="248">
        <v>1.463937</v>
      </c>
      <c r="S66" s="248">
        <v>-0.1057387</v>
      </c>
      <c r="T66" s="248">
        <v>3.543408E-2</v>
      </c>
      <c r="U66" s="248">
        <v>-6.1290209999999998E-2</v>
      </c>
      <c r="V66" s="248">
        <v>2.9323620000000002E-2</v>
      </c>
      <c r="W66" s="248">
        <v>4.4768370000000001E-4</v>
      </c>
      <c r="X66" s="248">
        <v>-8.4707459999999995E-4</v>
      </c>
      <c r="Y66" s="248">
        <v>8.2672310000000005E-4</v>
      </c>
      <c r="Z66" s="248">
        <v>-8.5410939999999995E-5</v>
      </c>
    </row>
    <row r="67" spans="1:26" ht="15">
      <c r="A67" s="247">
        <f>C67+(D67*Sheet3!$AG$9)+(E67*Sheet3!$AG$10)+(F67*Sheet3!$AG$9*Sheet3!$AG$9)+(G67*Sheet3!$AG$9*Sheet3!$AG$10)+(H67*Sheet3!$AG$10*Sheet3!$AG$10)+(I67*Sheet3!$AG$9*Sheet3!$AG$9*Sheet3!$AG$9)+(J67*Sheet3!$AG$10*Sheet3!$AG$9*Sheet3!$AG$9)+(K67*Sheet3!$AG$9*Sheet3!$AG$10*Sheet3!$AG$10)+(L67*Sheet3!$AG$10*Sheet3!$AG$10*Sheet3!$AG$10)</f>
        <v>23.113448957324014</v>
      </c>
      <c r="B67" s="255" t="s">
        <v>396</v>
      </c>
      <c r="C67" s="248">
        <v>30.42625</v>
      </c>
      <c r="D67" s="248">
        <v>1.203478</v>
      </c>
      <c r="E67" s="248">
        <v>-0.25986680000000001</v>
      </c>
      <c r="F67" s="248">
        <v>1.835875E-2</v>
      </c>
      <c r="G67" s="248">
        <v>-8.1012889999999994E-3</v>
      </c>
      <c r="H67" s="248">
        <v>-7.2502479999999995E-4</v>
      </c>
      <c r="I67" s="248">
        <v>1.07156E-4</v>
      </c>
      <c r="J67" s="248">
        <v>-1.1199E-4</v>
      </c>
      <c r="K67" s="248">
        <v>-8.4143039999999993E-6</v>
      </c>
      <c r="L67" s="248">
        <v>5.4170750000000001E-6</v>
      </c>
      <c r="O67" s="247">
        <f>Q67+(R67*Sheet3!$AG$9)+(S67*Sheet3!$AG$10)+(T67*Sheet3!$AG$9*Sheet3!$AG$9)+(U67*Sheet3!$AG$9*Sheet3!$AG$10)+(V67*Sheet3!$AG$10*Sheet3!$AG$10)+(W67*Sheet3!$AG$9*Sheet3!$AG$9*Sheet3!$AG$9)+(X67*Sheet3!$AG$10*Sheet3!$AG$9*Sheet3!$AG$9)+(Y67*Sheet3!$AG$9*Sheet3!$AG$10*Sheet3!$AG$10)+(Z67*Sheet3!$AG$10*Sheet3!$AG$10*Sheet3!$AG$10)</f>
        <v>16.970582330306211</v>
      </c>
      <c r="P67" s="255" t="s">
        <v>396</v>
      </c>
      <c r="Q67" s="248">
        <v>16.91527</v>
      </c>
      <c r="R67" s="248">
        <v>0.50862010000000002</v>
      </c>
      <c r="S67" s="248">
        <v>-0.64939400000000003</v>
      </c>
      <c r="T67" s="248">
        <v>1.226929E-2</v>
      </c>
      <c r="U67" s="248">
        <v>-2.3226670000000001E-2</v>
      </c>
      <c r="V67" s="248">
        <v>2.3299730000000001E-2</v>
      </c>
      <c r="W67" s="248">
        <v>1.478614E-4</v>
      </c>
      <c r="X67" s="248">
        <v>-2.9532160000000002E-4</v>
      </c>
      <c r="Y67" s="248">
        <v>2.8945570000000001E-4</v>
      </c>
      <c r="Z67" s="248">
        <v>-1.6890159999999999E-4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980"/>
  <sheetViews>
    <sheetView topLeftCell="B1" workbookViewId="0">
      <selection activeCell="K30" sqref="K30"/>
    </sheetView>
  </sheetViews>
  <sheetFormatPr defaultRowHeight="12.75"/>
  <sheetData>
    <row r="1" spans="1:30" ht="15" thickBot="1">
      <c r="A1" s="260"/>
      <c r="B1" s="260"/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  <c r="U1" s="260"/>
      <c r="V1" s="260"/>
      <c r="W1" s="260"/>
      <c r="X1" s="260"/>
      <c r="Y1" s="260"/>
      <c r="Z1" s="260"/>
      <c r="AA1" s="260"/>
      <c r="AB1" s="260"/>
      <c r="AC1" s="260"/>
      <c r="AD1" s="260"/>
    </row>
    <row r="2" spans="1:30" ht="15" thickBot="1">
      <c r="A2" s="261"/>
      <c r="B2" s="261"/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  <c r="X2" s="261"/>
      <c r="Y2" s="261"/>
      <c r="Z2" s="261"/>
      <c r="AA2" s="261"/>
      <c r="AB2" s="261"/>
      <c r="AC2" s="261"/>
      <c r="AD2" s="260"/>
    </row>
    <row r="3" spans="1:30" ht="61.5" thickTop="1" thickBot="1">
      <c r="A3" s="262" t="s">
        <v>397</v>
      </c>
      <c r="B3" s="263" t="s">
        <v>398</v>
      </c>
      <c r="C3" s="264" t="s">
        <v>158</v>
      </c>
      <c r="D3" s="264" t="s">
        <v>399</v>
      </c>
      <c r="E3" s="264" t="s">
        <v>400</v>
      </c>
      <c r="F3" s="263" t="s">
        <v>401</v>
      </c>
      <c r="G3" s="264" t="s">
        <v>158</v>
      </c>
      <c r="H3" s="264" t="s">
        <v>399</v>
      </c>
      <c r="I3" s="264" t="s">
        <v>402</v>
      </c>
      <c r="J3" s="263" t="s">
        <v>401</v>
      </c>
      <c r="K3" s="264" t="s">
        <v>158</v>
      </c>
      <c r="L3" s="264" t="s">
        <v>399</v>
      </c>
      <c r="M3" s="264" t="s">
        <v>403</v>
      </c>
      <c r="N3" s="263" t="s">
        <v>401</v>
      </c>
      <c r="O3" s="264" t="s">
        <v>207</v>
      </c>
      <c r="P3" s="264" t="s">
        <v>399</v>
      </c>
      <c r="Q3" s="264" t="s">
        <v>400</v>
      </c>
      <c r="R3" s="264" t="s">
        <v>401</v>
      </c>
      <c r="S3" s="263" t="s">
        <v>404</v>
      </c>
      <c r="T3" s="264" t="s">
        <v>207</v>
      </c>
      <c r="U3" s="264" t="s">
        <v>399</v>
      </c>
      <c r="V3" s="264" t="s">
        <v>401</v>
      </c>
      <c r="W3" s="264" t="s">
        <v>405</v>
      </c>
      <c r="X3" s="263" t="s">
        <v>404</v>
      </c>
      <c r="Y3" s="264" t="s">
        <v>207</v>
      </c>
      <c r="Z3" s="264" t="s">
        <v>399</v>
      </c>
      <c r="AA3" s="264" t="s">
        <v>406</v>
      </c>
      <c r="AB3" s="265" t="s">
        <v>401</v>
      </c>
      <c r="AC3" s="263" t="s">
        <v>407</v>
      </c>
      <c r="AD3" s="260"/>
    </row>
    <row r="4" spans="1:30" ht="16.5" thickTop="1" thickBot="1">
      <c r="A4" s="574" t="s">
        <v>408</v>
      </c>
      <c r="B4" s="266">
        <v>100</v>
      </c>
      <c r="C4" s="267" t="s">
        <v>409</v>
      </c>
      <c r="D4" s="267">
        <v>2</v>
      </c>
      <c r="E4" s="267">
        <v>122</v>
      </c>
      <c r="F4" s="268" t="s">
        <v>125</v>
      </c>
      <c r="G4" s="267" t="s">
        <v>410</v>
      </c>
      <c r="H4" s="267">
        <v>4</v>
      </c>
      <c r="I4" s="267">
        <v>190</v>
      </c>
      <c r="J4" s="268" t="s">
        <v>124</v>
      </c>
      <c r="K4" s="267" t="s">
        <v>410</v>
      </c>
      <c r="L4" s="267">
        <v>4</v>
      </c>
      <c r="M4" s="267">
        <v>170</v>
      </c>
      <c r="N4" s="268" t="s">
        <v>411</v>
      </c>
      <c r="O4" s="267" t="s">
        <v>412</v>
      </c>
      <c r="P4" s="267">
        <v>2</v>
      </c>
      <c r="Q4" s="267">
        <v>137</v>
      </c>
      <c r="R4" s="267" t="s">
        <v>411</v>
      </c>
      <c r="S4" s="268">
        <v>19</v>
      </c>
      <c r="T4" s="267" t="s">
        <v>413</v>
      </c>
      <c r="U4" s="267">
        <v>4</v>
      </c>
      <c r="V4" s="267" t="s">
        <v>411</v>
      </c>
      <c r="W4" s="267">
        <v>192</v>
      </c>
      <c r="X4" s="268">
        <v>25</v>
      </c>
      <c r="Y4" s="267" t="s">
        <v>413</v>
      </c>
      <c r="Z4" s="267">
        <v>4</v>
      </c>
      <c r="AA4" s="267">
        <v>192</v>
      </c>
      <c r="AB4" s="267" t="s">
        <v>411</v>
      </c>
      <c r="AC4" s="268">
        <v>25</v>
      </c>
      <c r="AD4" s="260"/>
    </row>
    <row r="5" spans="1:30" ht="15.75" thickBot="1">
      <c r="A5" s="575"/>
      <c r="B5" s="266">
        <v>130</v>
      </c>
      <c r="C5" s="267" t="s">
        <v>409</v>
      </c>
      <c r="D5" s="267">
        <v>2</v>
      </c>
      <c r="E5" s="267">
        <v>156</v>
      </c>
      <c r="F5" s="268" t="s">
        <v>124</v>
      </c>
      <c r="G5" s="160" t="s">
        <v>414</v>
      </c>
      <c r="H5" s="267">
        <v>3</v>
      </c>
      <c r="I5" s="267">
        <v>200</v>
      </c>
      <c r="J5" s="266" t="s">
        <v>124</v>
      </c>
      <c r="K5" s="267" t="s">
        <v>414</v>
      </c>
      <c r="L5" s="267">
        <v>3</v>
      </c>
      <c r="M5" s="267">
        <v>160</v>
      </c>
      <c r="N5" s="268" t="s">
        <v>25</v>
      </c>
      <c r="O5" s="267" t="s">
        <v>412</v>
      </c>
      <c r="P5" s="267">
        <v>2</v>
      </c>
      <c r="Q5" s="267">
        <v>171</v>
      </c>
      <c r="R5" s="267" t="s">
        <v>124</v>
      </c>
      <c r="S5" s="268">
        <v>19</v>
      </c>
      <c r="T5" s="267" t="s">
        <v>415</v>
      </c>
      <c r="U5" s="267">
        <v>3</v>
      </c>
      <c r="V5" s="267" t="s">
        <v>411</v>
      </c>
      <c r="W5" s="267">
        <v>212</v>
      </c>
      <c r="X5" s="268">
        <v>25</v>
      </c>
      <c r="Y5" s="267" t="s">
        <v>415</v>
      </c>
      <c r="Z5" s="267">
        <v>3</v>
      </c>
      <c r="AA5" s="267">
        <v>192</v>
      </c>
      <c r="AB5" s="267" t="s">
        <v>124</v>
      </c>
      <c r="AC5" s="268">
        <v>25</v>
      </c>
      <c r="AD5" s="260"/>
    </row>
    <row r="6" spans="1:30" ht="15.75" thickBot="1">
      <c r="A6" s="575"/>
      <c r="B6" s="266">
        <v>140</v>
      </c>
      <c r="C6" s="267" t="s">
        <v>410</v>
      </c>
      <c r="D6" s="267">
        <v>2</v>
      </c>
      <c r="E6" s="267">
        <v>170</v>
      </c>
      <c r="F6" s="268" t="s">
        <v>411</v>
      </c>
      <c r="G6" s="160" t="s">
        <v>416</v>
      </c>
      <c r="H6" s="267">
        <v>3</v>
      </c>
      <c r="I6" s="267">
        <v>216</v>
      </c>
      <c r="J6" s="266" t="s">
        <v>125</v>
      </c>
      <c r="K6" s="267" t="s">
        <v>414</v>
      </c>
      <c r="L6" s="267">
        <v>3</v>
      </c>
      <c r="M6" s="267">
        <v>170</v>
      </c>
      <c r="N6" s="268" t="s">
        <v>125</v>
      </c>
      <c r="O6" s="267" t="s">
        <v>413</v>
      </c>
      <c r="P6" s="267">
        <v>2</v>
      </c>
      <c r="Q6" s="267">
        <v>192</v>
      </c>
      <c r="R6" s="267" t="s">
        <v>411</v>
      </c>
      <c r="S6" s="268">
        <v>25</v>
      </c>
      <c r="T6" s="267" t="s">
        <v>417</v>
      </c>
      <c r="U6" s="267">
        <v>2</v>
      </c>
      <c r="V6" s="267" t="s">
        <v>124</v>
      </c>
      <c r="W6" s="267">
        <v>248</v>
      </c>
      <c r="X6" s="266">
        <v>25</v>
      </c>
      <c r="Y6" s="267" t="s">
        <v>417</v>
      </c>
      <c r="Z6" s="267">
        <v>3</v>
      </c>
      <c r="AA6" s="267">
        <v>212</v>
      </c>
      <c r="AB6" s="267" t="s">
        <v>411</v>
      </c>
      <c r="AC6" s="266">
        <v>25</v>
      </c>
      <c r="AD6" s="260"/>
    </row>
    <row r="7" spans="1:30" ht="15.75" thickBot="1">
      <c r="A7" s="575"/>
      <c r="B7" s="266">
        <v>155</v>
      </c>
      <c r="C7" s="267" t="s">
        <v>410</v>
      </c>
      <c r="D7" s="267">
        <v>2</v>
      </c>
      <c r="E7" s="267">
        <v>190</v>
      </c>
      <c r="F7" s="268" t="s">
        <v>124</v>
      </c>
      <c r="G7" s="160" t="s">
        <v>416</v>
      </c>
      <c r="H7" s="267">
        <v>3</v>
      </c>
      <c r="I7" s="267">
        <v>230</v>
      </c>
      <c r="J7" s="266" t="s">
        <v>411</v>
      </c>
      <c r="K7" s="267" t="s">
        <v>414</v>
      </c>
      <c r="L7" s="267">
        <v>3</v>
      </c>
      <c r="M7" s="267">
        <v>190</v>
      </c>
      <c r="N7" s="268" t="s">
        <v>411</v>
      </c>
      <c r="O7" s="267" t="s">
        <v>413</v>
      </c>
      <c r="P7" s="267">
        <v>2</v>
      </c>
      <c r="Q7" s="267">
        <v>212</v>
      </c>
      <c r="R7" s="267" t="s">
        <v>124</v>
      </c>
      <c r="S7" s="268">
        <v>25</v>
      </c>
      <c r="T7" s="160" t="s">
        <v>311</v>
      </c>
      <c r="U7" s="267">
        <v>2</v>
      </c>
      <c r="V7" s="267" t="s">
        <v>125</v>
      </c>
      <c r="W7" s="267">
        <v>260</v>
      </c>
      <c r="X7" s="266">
        <v>25</v>
      </c>
      <c r="Y7" s="267" t="s">
        <v>417</v>
      </c>
      <c r="Z7" s="267">
        <v>3</v>
      </c>
      <c r="AA7" s="267">
        <v>248</v>
      </c>
      <c r="AB7" s="267" t="s">
        <v>124</v>
      </c>
      <c r="AC7" s="266">
        <v>25</v>
      </c>
      <c r="AD7" s="260"/>
    </row>
    <row r="8" spans="1:30" ht="15.75" thickBot="1">
      <c r="A8" s="575"/>
      <c r="B8" s="266">
        <v>130</v>
      </c>
      <c r="C8" s="267" t="s">
        <v>418</v>
      </c>
      <c r="D8" s="267">
        <v>2</v>
      </c>
      <c r="E8" s="267">
        <v>102</v>
      </c>
      <c r="F8" s="268" t="s">
        <v>25</v>
      </c>
      <c r="G8" s="160" t="s">
        <v>414</v>
      </c>
      <c r="H8" s="267">
        <v>3</v>
      </c>
      <c r="I8" s="267">
        <v>200</v>
      </c>
      <c r="J8" s="266" t="s">
        <v>124</v>
      </c>
      <c r="K8" s="267" t="s">
        <v>414</v>
      </c>
      <c r="L8" s="267">
        <v>3</v>
      </c>
      <c r="M8" s="267">
        <v>160</v>
      </c>
      <c r="N8" s="268" t="s">
        <v>25</v>
      </c>
      <c r="O8" s="267" t="s">
        <v>415</v>
      </c>
      <c r="P8" s="267">
        <v>2</v>
      </c>
      <c r="Q8" s="267">
        <v>137</v>
      </c>
      <c r="R8" s="267" t="s">
        <v>25</v>
      </c>
      <c r="S8" s="268">
        <v>19</v>
      </c>
      <c r="T8" s="267" t="s">
        <v>417</v>
      </c>
      <c r="U8" s="267">
        <v>2</v>
      </c>
      <c r="V8" s="267" t="s">
        <v>411</v>
      </c>
      <c r="W8" s="267">
        <v>212</v>
      </c>
      <c r="X8" s="268">
        <v>25</v>
      </c>
      <c r="Y8" s="267" t="s">
        <v>415</v>
      </c>
      <c r="Z8" s="267">
        <v>3</v>
      </c>
      <c r="AA8" s="267">
        <v>192</v>
      </c>
      <c r="AB8" s="267" t="s">
        <v>124</v>
      </c>
      <c r="AC8" s="268">
        <v>25</v>
      </c>
      <c r="AD8" s="260"/>
    </row>
    <row r="9" spans="1:30" ht="15.75" thickBot="1">
      <c r="A9" s="575"/>
      <c r="B9" s="266">
        <v>160</v>
      </c>
      <c r="C9" s="267" t="s">
        <v>418</v>
      </c>
      <c r="D9" s="267">
        <v>2</v>
      </c>
      <c r="E9" s="267">
        <v>122</v>
      </c>
      <c r="F9" s="268" t="s">
        <v>125</v>
      </c>
      <c r="G9" s="160" t="s">
        <v>416</v>
      </c>
      <c r="H9" s="267">
        <v>3</v>
      </c>
      <c r="I9" s="267">
        <v>240</v>
      </c>
      <c r="J9" s="266" t="s">
        <v>124</v>
      </c>
      <c r="K9" s="267" t="s">
        <v>414</v>
      </c>
      <c r="L9" s="267">
        <v>3</v>
      </c>
      <c r="M9" s="267">
        <v>200</v>
      </c>
      <c r="N9" s="268" t="s">
        <v>124</v>
      </c>
      <c r="O9" s="267" t="s">
        <v>415</v>
      </c>
      <c r="P9" s="267">
        <v>2</v>
      </c>
      <c r="Q9" s="267">
        <v>150</v>
      </c>
      <c r="R9" s="267" t="s">
        <v>125</v>
      </c>
      <c r="S9" s="268">
        <v>19</v>
      </c>
      <c r="T9" s="160" t="s">
        <v>311</v>
      </c>
      <c r="U9" s="267">
        <v>2</v>
      </c>
      <c r="V9" s="267" t="s">
        <v>125</v>
      </c>
      <c r="W9" s="267">
        <v>260</v>
      </c>
      <c r="X9" s="266">
        <v>30</v>
      </c>
      <c r="Y9" s="267" t="s">
        <v>417</v>
      </c>
      <c r="Z9" s="267">
        <v>3</v>
      </c>
      <c r="AA9" s="267">
        <v>248</v>
      </c>
      <c r="AB9" s="267" t="s">
        <v>124</v>
      </c>
      <c r="AC9" s="266">
        <v>25</v>
      </c>
      <c r="AD9" s="260"/>
    </row>
    <row r="10" spans="1:30" ht="15.75" thickBot="1">
      <c r="A10" s="575"/>
      <c r="B10" s="266">
        <v>175</v>
      </c>
      <c r="C10" s="267" t="s">
        <v>418</v>
      </c>
      <c r="D10" s="267">
        <v>2</v>
      </c>
      <c r="E10" s="267">
        <v>138</v>
      </c>
      <c r="F10" s="268" t="s">
        <v>411</v>
      </c>
      <c r="G10" s="160" t="s">
        <v>419</v>
      </c>
      <c r="H10" s="267">
        <v>3</v>
      </c>
      <c r="I10" s="267">
        <v>262</v>
      </c>
      <c r="J10" s="266" t="s">
        <v>420</v>
      </c>
      <c r="K10" s="160" t="s">
        <v>416</v>
      </c>
      <c r="L10" s="267">
        <v>3</v>
      </c>
      <c r="M10" s="267">
        <v>216</v>
      </c>
      <c r="N10" s="266" t="s">
        <v>125</v>
      </c>
      <c r="O10" s="267" t="s">
        <v>415</v>
      </c>
      <c r="P10" s="267">
        <v>2</v>
      </c>
      <c r="Q10" s="267">
        <v>171</v>
      </c>
      <c r="R10" s="267" t="s">
        <v>411</v>
      </c>
      <c r="S10" s="268">
        <v>19</v>
      </c>
      <c r="T10" s="160" t="s">
        <v>311</v>
      </c>
      <c r="U10" s="267">
        <v>3</v>
      </c>
      <c r="V10" s="267" t="s">
        <v>125</v>
      </c>
      <c r="W10" s="267">
        <v>260</v>
      </c>
      <c r="X10" s="266">
        <v>30</v>
      </c>
      <c r="Y10" s="160" t="s">
        <v>311</v>
      </c>
      <c r="Z10" s="267">
        <v>3</v>
      </c>
      <c r="AA10" s="267">
        <v>260</v>
      </c>
      <c r="AB10" s="267" t="s">
        <v>125</v>
      </c>
      <c r="AC10" s="266">
        <v>30</v>
      </c>
      <c r="AD10" s="260"/>
    </row>
    <row r="11" spans="1:30" ht="15.75" thickBot="1">
      <c r="A11" s="575"/>
      <c r="B11" s="266">
        <v>200</v>
      </c>
      <c r="C11" s="267" t="s">
        <v>418</v>
      </c>
      <c r="D11" s="267">
        <v>2</v>
      </c>
      <c r="E11" s="267">
        <v>156</v>
      </c>
      <c r="F11" s="268" t="s">
        <v>124</v>
      </c>
      <c r="G11" s="160" t="s">
        <v>419</v>
      </c>
      <c r="H11" s="267">
        <v>3</v>
      </c>
      <c r="I11" s="267">
        <v>300</v>
      </c>
      <c r="J11" s="266" t="s">
        <v>25</v>
      </c>
      <c r="K11" s="160" t="s">
        <v>416</v>
      </c>
      <c r="L11" s="267">
        <v>3</v>
      </c>
      <c r="M11" s="267">
        <v>240</v>
      </c>
      <c r="N11" s="266" t="s">
        <v>124</v>
      </c>
      <c r="O11" s="267" t="s">
        <v>415</v>
      </c>
      <c r="P11" s="267">
        <v>2</v>
      </c>
      <c r="Q11" s="267">
        <v>192</v>
      </c>
      <c r="R11" s="267" t="s">
        <v>124</v>
      </c>
      <c r="S11" s="268">
        <v>25</v>
      </c>
      <c r="T11" s="160" t="s">
        <v>311</v>
      </c>
      <c r="U11" s="267">
        <v>3</v>
      </c>
      <c r="V11" s="267" t="s">
        <v>124</v>
      </c>
      <c r="W11" s="267">
        <v>300</v>
      </c>
      <c r="X11" s="266">
        <v>30</v>
      </c>
      <c r="Y11" s="160" t="s">
        <v>311</v>
      </c>
      <c r="Z11" s="267">
        <v>3</v>
      </c>
      <c r="AA11" s="267">
        <v>300</v>
      </c>
      <c r="AB11" s="267" t="s">
        <v>124</v>
      </c>
      <c r="AC11" s="266">
        <v>43</v>
      </c>
      <c r="AD11" s="260"/>
    </row>
    <row r="12" spans="1:30" ht="15.75" thickBot="1">
      <c r="A12" s="575"/>
      <c r="B12" s="266">
        <v>210</v>
      </c>
      <c r="C12" s="267" t="s">
        <v>414</v>
      </c>
      <c r="D12" s="267">
        <v>2</v>
      </c>
      <c r="E12" s="267">
        <v>160</v>
      </c>
      <c r="F12" s="268" t="s">
        <v>25</v>
      </c>
      <c r="G12" s="160" t="s">
        <v>419</v>
      </c>
      <c r="H12" s="267">
        <v>3</v>
      </c>
      <c r="I12" s="267">
        <v>330</v>
      </c>
      <c r="J12" s="266" t="s">
        <v>125</v>
      </c>
      <c r="K12" s="160" t="s">
        <v>419</v>
      </c>
      <c r="L12" s="267">
        <v>3</v>
      </c>
      <c r="M12" s="267">
        <v>262</v>
      </c>
      <c r="N12" s="266" t="s">
        <v>420</v>
      </c>
      <c r="O12" s="267" t="s">
        <v>417</v>
      </c>
      <c r="P12" s="267">
        <v>2</v>
      </c>
      <c r="Q12" s="267">
        <v>192</v>
      </c>
      <c r="R12" s="267" t="s">
        <v>125</v>
      </c>
      <c r="S12" s="268">
        <v>25</v>
      </c>
      <c r="T12" s="160" t="s">
        <v>311</v>
      </c>
      <c r="U12" s="267">
        <v>3</v>
      </c>
      <c r="V12" s="267" t="s">
        <v>124</v>
      </c>
      <c r="W12" s="267">
        <v>300</v>
      </c>
      <c r="X12" s="266">
        <v>30</v>
      </c>
      <c r="Y12" s="160" t="s">
        <v>311</v>
      </c>
      <c r="Z12" s="267">
        <v>3</v>
      </c>
      <c r="AA12" s="267">
        <v>300</v>
      </c>
      <c r="AB12" s="267" t="s">
        <v>124</v>
      </c>
      <c r="AC12" s="266">
        <v>43</v>
      </c>
      <c r="AD12" s="260"/>
    </row>
    <row r="13" spans="1:30" ht="15.75" thickBot="1">
      <c r="A13" s="575"/>
      <c r="B13" s="266">
        <v>215</v>
      </c>
      <c r="C13" s="160" t="s">
        <v>414</v>
      </c>
      <c r="D13" s="267">
        <v>2</v>
      </c>
      <c r="E13" s="267">
        <v>170</v>
      </c>
      <c r="F13" s="266" t="s">
        <v>125</v>
      </c>
      <c r="G13" s="160" t="s">
        <v>419</v>
      </c>
      <c r="H13" s="267">
        <v>3</v>
      </c>
      <c r="I13" s="267">
        <v>330</v>
      </c>
      <c r="J13" s="266" t="s">
        <v>125</v>
      </c>
      <c r="K13" s="160" t="s">
        <v>419</v>
      </c>
      <c r="L13" s="267">
        <v>3</v>
      </c>
      <c r="M13" s="267">
        <v>262</v>
      </c>
      <c r="N13" s="266" t="s">
        <v>420</v>
      </c>
      <c r="O13" s="267" t="s">
        <v>417</v>
      </c>
      <c r="P13" s="267">
        <v>2</v>
      </c>
      <c r="Q13" s="267">
        <v>212</v>
      </c>
      <c r="R13" s="267" t="s">
        <v>411</v>
      </c>
      <c r="S13" s="266">
        <v>25</v>
      </c>
      <c r="T13" s="160" t="s">
        <v>421</v>
      </c>
      <c r="U13" s="267">
        <v>3</v>
      </c>
      <c r="V13" s="267" t="s">
        <v>25</v>
      </c>
      <c r="W13" s="267">
        <v>335</v>
      </c>
      <c r="X13" s="266">
        <v>43</v>
      </c>
      <c r="Y13" s="160" t="s">
        <v>421</v>
      </c>
      <c r="Z13" s="267">
        <v>3</v>
      </c>
      <c r="AA13" s="267">
        <v>335</v>
      </c>
      <c r="AB13" s="267" t="s">
        <v>25</v>
      </c>
      <c r="AC13" s="266">
        <v>43</v>
      </c>
      <c r="AD13" s="260"/>
    </row>
    <row r="14" spans="1:30" ht="15.75" thickBot="1">
      <c r="A14" s="575"/>
      <c r="B14" s="266">
        <v>250</v>
      </c>
      <c r="C14" s="160" t="s">
        <v>414</v>
      </c>
      <c r="D14" s="267">
        <v>2</v>
      </c>
      <c r="E14" s="267">
        <v>190</v>
      </c>
      <c r="F14" s="266" t="s">
        <v>411</v>
      </c>
      <c r="G14" s="160" t="s">
        <v>419</v>
      </c>
      <c r="H14" s="267">
        <v>3</v>
      </c>
      <c r="I14" s="267">
        <v>390</v>
      </c>
      <c r="J14" s="266" t="s">
        <v>124</v>
      </c>
      <c r="K14" s="160" t="s">
        <v>419</v>
      </c>
      <c r="L14" s="267">
        <v>3</v>
      </c>
      <c r="M14" s="267">
        <v>330</v>
      </c>
      <c r="N14" s="266" t="s">
        <v>125</v>
      </c>
      <c r="O14" s="267" t="s">
        <v>417</v>
      </c>
      <c r="P14" s="267">
        <v>2</v>
      </c>
      <c r="Q14" s="267">
        <v>248</v>
      </c>
      <c r="R14" s="267" t="s">
        <v>124</v>
      </c>
      <c r="S14" s="266">
        <v>25</v>
      </c>
      <c r="T14" s="160" t="s">
        <v>421</v>
      </c>
      <c r="U14" s="267">
        <v>3</v>
      </c>
      <c r="V14" s="267" t="s">
        <v>125</v>
      </c>
      <c r="W14" s="267">
        <v>377</v>
      </c>
      <c r="X14" s="266">
        <v>43</v>
      </c>
      <c r="Y14" s="160" t="s">
        <v>421</v>
      </c>
      <c r="Z14" s="267">
        <v>3</v>
      </c>
      <c r="AA14" s="267">
        <v>377</v>
      </c>
      <c r="AB14" s="267" t="s">
        <v>125</v>
      </c>
      <c r="AC14" s="266">
        <v>43</v>
      </c>
      <c r="AD14" s="260"/>
    </row>
    <row r="15" spans="1:30" ht="15.75" thickBot="1">
      <c r="A15" s="575"/>
      <c r="B15" s="266">
        <v>260</v>
      </c>
      <c r="C15" s="160" t="s">
        <v>414</v>
      </c>
      <c r="D15" s="267">
        <v>2</v>
      </c>
      <c r="E15" s="267">
        <v>200</v>
      </c>
      <c r="F15" s="266" t="s">
        <v>124</v>
      </c>
      <c r="G15" s="160" t="s">
        <v>419</v>
      </c>
      <c r="H15" s="267">
        <v>3</v>
      </c>
      <c r="I15" s="267">
        <v>390</v>
      </c>
      <c r="J15" s="266" t="s">
        <v>124</v>
      </c>
      <c r="K15" s="160" t="s">
        <v>419</v>
      </c>
      <c r="L15" s="267">
        <v>3</v>
      </c>
      <c r="M15" s="267">
        <v>350</v>
      </c>
      <c r="N15" s="266" t="s">
        <v>411</v>
      </c>
      <c r="O15" s="160" t="s">
        <v>311</v>
      </c>
      <c r="P15" s="267">
        <v>2</v>
      </c>
      <c r="Q15" s="267">
        <v>260</v>
      </c>
      <c r="R15" s="267" t="s">
        <v>125</v>
      </c>
      <c r="S15" s="266">
        <v>30</v>
      </c>
      <c r="T15" s="160" t="s">
        <v>421</v>
      </c>
      <c r="U15" s="267">
        <v>3</v>
      </c>
      <c r="V15" s="267" t="s">
        <v>124</v>
      </c>
      <c r="W15" s="267">
        <v>426</v>
      </c>
      <c r="X15" s="266">
        <v>43</v>
      </c>
      <c r="Y15" s="160" t="s">
        <v>421</v>
      </c>
      <c r="Z15" s="267">
        <v>3</v>
      </c>
      <c r="AA15" s="267">
        <v>377</v>
      </c>
      <c r="AB15" s="267" t="s">
        <v>125</v>
      </c>
      <c r="AC15" s="266">
        <v>43</v>
      </c>
      <c r="AD15" s="260"/>
    </row>
    <row r="16" spans="1:30" ht="15.75" thickBot="1">
      <c r="A16" s="575"/>
      <c r="B16" s="266">
        <v>280</v>
      </c>
      <c r="C16" s="160" t="s">
        <v>416</v>
      </c>
      <c r="D16" s="267">
        <v>2</v>
      </c>
      <c r="E16" s="267">
        <v>216</v>
      </c>
      <c r="F16" s="266" t="s">
        <v>125</v>
      </c>
      <c r="G16" s="160" t="s">
        <v>422</v>
      </c>
      <c r="H16" s="267">
        <v>3</v>
      </c>
      <c r="I16" s="267">
        <v>430</v>
      </c>
      <c r="J16" s="266" t="s">
        <v>125</v>
      </c>
      <c r="K16" s="160" t="s">
        <v>419</v>
      </c>
      <c r="L16" s="267">
        <v>3</v>
      </c>
      <c r="M16" s="267">
        <v>350</v>
      </c>
      <c r="N16" s="266" t="s">
        <v>411</v>
      </c>
      <c r="O16" s="160" t="s">
        <v>311</v>
      </c>
      <c r="P16" s="267">
        <v>2</v>
      </c>
      <c r="Q16" s="267">
        <v>270</v>
      </c>
      <c r="R16" s="267" t="s">
        <v>411</v>
      </c>
      <c r="S16" s="266">
        <v>30</v>
      </c>
      <c r="T16" s="160" t="s">
        <v>301</v>
      </c>
      <c r="U16" s="267">
        <v>3</v>
      </c>
      <c r="V16" s="267" t="s">
        <v>423</v>
      </c>
      <c r="W16" s="267">
        <v>442</v>
      </c>
      <c r="X16" s="266">
        <v>58</v>
      </c>
      <c r="Y16" s="160" t="s">
        <v>421</v>
      </c>
      <c r="Z16" s="267">
        <v>3</v>
      </c>
      <c r="AA16" s="267">
        <v>408</v>
      </c>
      <c r="AB16" s="267" t="s">
        <v>411</v>
      </c>
      <c r="AC16" s="266">
        <v>43</v>
      </c>
      <c r="AD16" s="260"/>
    </row>
    <row r="17" spans="1:30" ht="15.75" thickBot="1">
      <c r="A17" s="575"/>
      <c r="B17" s="266">
        <v>300</v>
      </c>
      <c r="C17" s="160" t="s">
        <v>416</v>
      </c>
      <c r="D17" s="267">
        <v>2</v>
      </c>
      <c r="E17" s="267">
        <v>230</v>
      </c>
      <c r="F17" s="266" t="s">
        <v>411</v>
      </c>
      <c r="G17" s="160" t="s">
        <v>422</v>
      </c>
      <c r="H17" s="267">
        <v>3</v>
      </c>
      <c r="I17" s="267">
        <v>430</v>
      </c>
      <c r="J17" s="266" t="s">
        <v>125</v>
      </c>
      <c r="K17" s="160" t="s">
        <v>422</v>
      </c>
      <c r="L17" s="267">
        <v>3</v>
      </c>
      <c r="M17" s="267">
        <v>390</v>
      </c>
      <c r="N17" s="266" t="s">
        <v>124</v>
      </c>
      <c r="O17" s="160" t="s">
        <v>311</v>
      </c>
      <c r="P17" s="267">
        <v>2</v>
      </c>
      <c r="Q17" s="267">
        <v>300</v>
      </c>
      <c r="R17" s="267" t="s">
        <v>124</v>
      </c>
      <c r="S17" s="266">
        <v>30</v>
      </c>
      <c r="T17" s="160" t="s">
        <v>301</v>
      </c>
      <c r="U17" s="267">
        <v>3</v>
      </c>
      <c r="V17" s="267" t="s">
        <v>420</v>
      </c>
      <c r="W17" s="267">
        <v>476</v>
      </c>
      <c r="X17" s="266">
        <v>58</v>
      </c>
      <c r="Y17" s="160" t="s">
        <v>421</v>
      </c>
      <c r="Z17" s="267">
        <v>3</v>
      </c>
      <c r="AA17" s="267">
        <v>426</v>
      </c>
      <c r="AB17" s="267" t="s">
        <v>124</v>
      </c>
      <c r="AC17" s="266">
        <v>43</v>
      </c>
      <c r="AD17" s="260"/>
    </row>
    <row r="18" spans="1:30" ht="15.75" thickBot="1">
      <c r="A18" s="575"/>
      <c r="B18" s="266">
        <v>310</v>
      </c>
      <c r="C18" s="160" t="s">
        <v>416</v>
      </c>
      <c r="D18" s="267">
        <v>2</v>
      </c>
      <c r="E18" s="267">
        <v>240</v>
      </c>
      <c r="F18" s="266" t="s">
        <v>124</v>
      </c>
      <c r="G18" s="160" t="s">
        <v>422</v>
      </c>
      <c r="H18" s="267">
        <v>3</v>
      </c>
      <c r="I18" s="267">
        <v>468</v>
      </c>
      <c r="J18" s="266" t="s">
        <v>411</v>
      </c>
      <c r="K18" s="160" t="s">
        <v>422</v>
      </c>
      <c r="L18" s="267">
        <v>3</v>
      </c>
      <c r="M18" s="267">
        <v>390</v>
      </c>
      <c r="N18" s="266" t="s">
        <v>124</v>
      </c>
      <c r="O18" s="160" t="s">
        <v>421</v>
      </c>
      <c r="P18" s="267">
        <v>2</v>
      </c>
      <c r="Q18" s="267">
        <v>335</v>
      </c>
      <c r="R18" s="267" t="s">
        <v>25</v>
      </c>
      <c r="S18" s="266">
        <v>43</v>
      </c>
      <c r="T18" s="160" t="s">
        <v>301</v>
      </c>
      <c r="U18" s="267">
        <v>3</v>
      </c>
      <c r="V18" s="267" t="s">
        <v>420</v>
      </c>
      <c r="W18" s="267">
        <v>476</v>
      </c>
      <c r="X18" s="266">
        <v>58</v>
      </c>
      <c r="Y18" s="160" t="s">
        <v>421</v>
      </c>
      <c r="Z18" s="267">
        <v>3</v>
      </c>
      <c r="AA18" s="267">
        <v>426</v>
      </c>
      <c r="AB18" s="267" t="s">
        <v>124</v>
      </c>
      <c r="AC18" s="266">
        <v>43</v>
      </c>
      <c r="AD18" s="260"/>
    </row>
    <row r="19" spans="1:30" ht="15.75" thickBot="1">
      <c r="A19" s="575"/>
      <c r="B19" s="266">
        <v>335</v>
      </c>
      <c r="C19" s="160" t="s">
        <v>419</v>
      </c>
      <c r="D19" s="267">
        <v>2</v>
      </c>
      <c r="E19" s="267">
        <v>262</v>
      </c>
      <c r="F19" s="266" t="s">
        <v>420</v>
      </c>
      <c r="G19" s="160" t="s">
        <v>422</v>
      </c>
      <c r="H19" s="267">
        <v>3</v>
      </c>
      <c r="I19" s="267">
        <v>468</v>
      </c>
      <c r="J19" s="266" t="s">
        <v>411</v>
      </c>
      <c r="K19" s="160" t="s">
        <v>422</v>
      </c>
      <c r="L19" s="267">
        <v>3</v>
      </c>
      <c r="M19" s="267">
        <v>430</v>
      </c>
      <c r="N19" s="266" t="s">
        <v>125</v>
      </c>
      <c r="O19" s="160" t="s">
        <v>421</v>
      </c>
      <c r="P19" s="267">
        <v>2</v>
      </c>
      <c r="Q19" s="267">
        <v>377</v>
      </c>
      <c r="R19" s="267" t="s">
        <v>125</v>
      </c>
      <c r="S19" s="266">
        <v>43</v>
      </c>
      <c r="T19" s="160" t="s">
        <v>301</v>
      </c>
      <c r="U19" s="267">
        <v>3</v>
      </c>
      <c r="V19" s="267" t="s">
        <v>420</v>
      </c>
      <c r="W19" s="267">
        <v>518</v>
      </c>
      <c r="X19" s="266">
        <v>58</v>
      </c>
      <c r="Y19" s="160" t="s">
        <v>301</v>
      </c>
      <c r="Z19" s="267">
        <v>3</v>
      </c>
      <c r="AA19" s="267">
        <v>476</v>
      </c>
      <c r="AB19" s="267" t="s">
        <v>420</v>
      </c>
      <c r="AC19" s="266">
        <v>58</v>
      </c>
      <c r="AD19" s="260"/>
    </row>
    <row r="20" spans="1:30" ht="15.75" thickBot="1">
      <c r="A20" s="575"/>
      <c r="B20" s="266">
        <v>380</v>
      </c>
      <c r="C20" s="160" t="s">
        <v>419</v>
      </c>
      <c r="D20" s="267">
        <v>2</v>
      </c>
      <c r="E20" s="267">
        <v>300</v>
      </c>
      <c r="F20" s="266" t="s">
        <v>25</v>
      </c>
      <c r="G20" s="160" t="s">
        <v>424</v>
      </c>
      <c r="H20" s="267">
        <v>3</v>
      </c>
      <c r="I20" s="267">
        <v>553</v>
      </c>
      <c r="J20" s="266" t="s">
        <v>125</v>
      </c>
      <c r="K20" s="160" t="s">
        <v>422</v>
      </c>
      <c r="L20" s="267">
        <v>3</v>
      </c>
      <c r="M20" s="267">
        <v>488</v>
      </c>
      <c r="N20" s="266" t="s">
        <v>124</v>
      </c>
      <c r="O20" s="160" t="s">
        <v>421</v>
      </c>
      <c r="P20" s="267">
        <v>2</v>
      </c>
      <c r="Q20" s="267">
        <v>408</v>
      </c>
      <c r="R20" s="267" t="s">
        <v>411</v>
      </c>
      <c r="S20" s="266">
        <v>43</v>
      </c>
      <c r="T20" s="160" t="s">
        <v>301</v>
      </c>
      <c r="U20" s="267">
        <v>3</v>
      </c>
      <c r="V20" s="267" t="s">
        <v>124</v>
      </c>
      <c r="W20" s="267">
        <v>592</v>
      </c>
      <c r="X20" s="266">
        <v>58</v>
      </c>
      <c r="Y20" s="160" t="s">
        <v>301</v>
      </c>
      <c r="Z20" s="160">
        <v>3</v>
      </c>
      <c r="AA20" s="267">
        <v>546</v>
      </c>
      <c r="AB20" s="267" t="s">
        <v>411</v>
      </c>
      <c r="AC20" s="266">
        <v>58</v>
      </c>
      <c r="AD20" s="260"/>
    </row>
    <row r="21" spans="1:30" ht="15.75" thickBot="1">
      <c r="A21" s="575"/>
      <c r="B21" s="266">
        <v>420</v>
      </c>
      <c r="C21" s="160" t="s">
        <v>419</v>
      </c>
      <c r="D21" s="267">
        <v>2</v>
      </c>
      <c r="E21" s="267">
        <v>330</v>
      </c>
      <c r="F21" s="266" t="s">
        <v>125</v>
      </c>
      <c r="G21" s="160" t="s">
        <v>424</v>
      </c>
      <c r="H21" s="267">
        <v>3</v>
      </c>
      <c r="I21" s="267">
        <v>628</v>
      </c>
      <c r="J21" s="266" t="s">
        <v>411</v>
      </c>
      <c r="K21" s="160" t="s">
        <v>424</v>
      </c>
      <c r="L21" s="267">
        <v>3</v>
      </c>
      <c r="M21" s="267">
        <v>553</v>
      </c>
      <c r="N21" s="266" t="s">
        <v>125</v>
      </c>
      <c r="O21" s="160" t="s">
        <v>421</v>
      </c>
      <c r="P21" s="267">
        <v>2</v>
      </c>
      <c r="Q21" s="267">
        <v>426</v>
      </c>
      <c r="R21" s="267" t="s">
        <v>124</v>
      </c>
      <c r="S21" s="266">
        <v>43</v>
      </c>
      <c r="T21" s="160" t="s">
        <v>308</v>
      </c>
      <c r="U21" s="267">
        <v>2</v>
      </c>
      <c r="V21" s="267" t="s">
        <v>125</v>
      </c>
      <c r="W21" s="267">
        <v>670</v>
      </c>
      <c r="X21" s="266">
        <v>91</v>
      </c>
      <c r="Y21" s="160" t="s">
        <v>301</v>
      </c>
      <c r="Z21" s="160">
        <v>3</v>
      </c>
      <c r="AA21" s="267">
        <v>592</v>
      </c>
      <c r="AB21" s="267" t="s">
        <v>124</v>
      </c>
      <c r="AC21" s="266">
        <v>58</v>
      </c>
      <c r="AD21" s="260"/>
    </row>
    <row r="22" spans="1:30" ht="15.75" thickBot="1">
      <c r="A22" s="575"/>
      <c r="B22" s="266">
        <v>450</v>
      </c>
      <c r="C22" s="160" t="s">
        <v>419</v>
      </c>
      <c r="D22" s="267">
        <v>2</v>
      </c>
      <c r="E22" s="267">
        <v>350</v>
      </c>
      <c r="F22" s="266" t="s">
        <v>411</v>
      </c>
      <c r="G22" s="160" t="s">
        <v>424</v>
      </c>
      <c r="H22" s="267">
        <v>3</v>
      </c>
      <c r="I22" s="267">
        <v>628</v>
      </c>
      <c r="J22" s="266" t="s">
        <v>411</v>
      </c>
      <c r="K22" s="160" t="s">
        <v>424</v>
      </c>
      <c r="L22" s="267">
        <v>3</v>
      </c>
      <c r="M22" s="267">
        <v>553</v>
      </c>
      <c r="N22" s="266" t="s">
        <v>125</v>
      </c>
      <c r="O22" s="160" t="s">
        <v>301</v>
      </c>
      <c r="P22" s="267">
        <v>2</v>
      </c>
      <c r="Q22" s="267">
        <v>442</v>
      </c>
      <c r="R22" s="267" t="s">
        <v>423</v>
      </c>
      <c r="S22" s="266">
        <v>58</v>
      </c>
      <c r="T22" s="267" t="s">
        <v>308</v>
      </c>
      <c r="U22" s="267">
        <v>3</v>
      </c>
      <c r="V22" s="267" t="s">
        <v>125</v>
      </c>
      <c r="W22" s="267">
        <v>670</v>
      </c>
      <c r="X22" s="268">
        <v>91</v>
      </c>
      <c r="Y22" s="267" t="s">
        <v>308</v>
      </c>
      <c r="Z22" s="267">
        <v>3</v>
      </c>
      <c r="AA22" s="267">
        <v>670</v>
      </c>
      <c r="AB22" s="267" t="s">
        <v>125</v>
      </c>
      <c r="AC22" s="268">
        <v>91</v>
      </c>
      <c r="AD22" s="260"/>
    </row>
    <row r="23" spans="1:30" ht="15.75" thickBot="1">
      <c r="A23" s="575"/>
      <c r="B23" s="266">
        <v>475</v>
      </c>
      <c r="C23" s="160" t="s">
        <v>419</v>
      </c>
      <c r="D23" s="267">
        <v>2</v>
      </c>
      <c r="E23" s="267">
        <v>390</v>
      </c>
      <c r="F23" s="266" t="s">
        <v>124</v>
      </c>
      <c r="G23" s="160" t="s">
        <v>424</v>
      </c>
      <c r="H23" s="267">
        <v>3</v>
      </c>
      <c r="I23" s="267">
        <v>708</v>
      </c>
      <c r="J23" s="266" t="s">
        <v>124</v>
      </c>
      <c r="K23" s="160" t="s">
        <v>424</v>
      </c>
      <c r="L23" s="267">
        <v>3</v>
      </c>
      <c r="M23" s="267">
        <v>628</v>
      </c>
      <c r="N23" s="266" t="s">
        <v>411</v>
      </c>
      <c r="O23" s="160" t="s">
        <v>301</v>
      </c>
      <c r="P23" s="267">
        <v>2</v>
      </c>
      <c r="Q23" s="267">
        <v>476</v>
      </c>
      <c r="R23" s="267" t="s">
        <v>420</v>
      </c>
      <c r="S23" s="266">
        <v>58</v>
      </c>
      <c r="T23" s="267" t="s">
        <v>308</v>
      </c>
      <c r="U23" s="267">
        <v>2</v>
      </c>
      <c r="V23" s="267" t="s">
        <v>411</v>
      </c>
      <c r="W23" s="267">
        <v>775</v>
      </c>
      <c r="X23" s="268">
        <v>91</v>
      </c>
      <c r="Y23" s="267" t="s">
        <v>308</v>
      </c>
      <c r="Z23" s="267">
        <v>2</v>
      </c>
      <c r="AA23" s="267">
        <v>775</v>
      </c>
      <c r="AB23" s="267" t="s">
        <v>411</v>
      </c>
      <c r="AC23" s="268">
        <v>91</v>
      </c>
      <c r="AD23" s="260"/>
    </row>
    <row r="24" spans="1:30" ht="15.75" thickBot="1">
      <c r="A24" s="575"/>
      <c r="B24" s="266">
        <v>500</v>
      </c>
      <c r="C24" s="160" t="s">
        <v>422</v>
      </c>
      <c r="D24" s="267">
        <v>2</v>
      </c>
      <c r="E24" s="267">
        <v>414</v>
      </c>
      <c r="F24" s="266" t="s">
        <v>25</v>
      </c>
      <c r="G24" s="160" t="s">
        <v>424</v>
      </c>
      <c r="H24" s="267">
        <v>3</v>
      </c>
      <c r="I24" s="267">
        <v>708</v>
      </c>
      <c r="J24" s="266" t="s">
        <v>124</v>
      </c>
      <c r="K24" s="160" t="s">
        <v>424</v>
      </c>
      <c r="L24" s="267">
        <v>3</v>
      </c>
      <c r="M24" s="267">
        <v>628</v>
      </c>
      <c r="N24" s="266" t="s">
        <v>411</v>
      </c>
      <c r="O24" s="160" t="s">
        <v>301</v>
      </c>
      <c r="P24" s="267">
        <v>2</v>
      </c>
      <c r="Q24" s="267">
        <v>490</v>
      </c>
      <c r="R24" s="267" t="s">
        <v>25</v>
      </c>
      <c r="S24" s="266">
        <v>58</v>
      </c>
      <c r="T24" s="267" t="s">
        <v>308</v>
      </c>
      <c r="U24" s="267">
        <v>3</v>
      </c>
      <c r="V24" s="267" t="s">
        <v>411</v>
      </c>
      <c r="W24" s="267">
        <v>775</v>
      </c>
      <c r="X24" s="266">
        <v>91</v>
      </c>
      <c r="Y24" s="267" t="s">
        <v>308</v>
      </c>
      <c r="Z24" s="267">
        <v>3</v>
      </c>
      <c r="AA24" s="267">
        <v>775</v>
      </c>
      <c r="AB24" s="267" t="s">
        <v>411</v>
      </c>
      <c r="AC24" s="266">
        <v>91</v>
      </c>
      <c r="AD24" s="260"/>
    </row>
    <row r="25" spans="1:30" ht="15.75" thickBot="1">
      <c r="A25" s="575"/>
      <c r="B25" s="266">
        <v>525</v>
      </c>
      <c r="C25" s="160" t="s">
        <v>422</v>
      </c>
      <c r="D25" s="267">
        <v>2</v>
      </c>
      <c r="E25" s="267">
        <v>430</v>
      </c>
      <c r="F25" s="266" t="s">
        <v>125</v>
      </c>
      <c r="G25" s="160" t="s">
        <v>425</v>
      </c>
      <c r="H25" s="267">
        <v>3</v>
      </c>
      <c r="I25" s="267">
        <v>781</v>
      </c>
      <c r="J25" s="266" t="s">
        <v>125</v>
      </c>
      <c r="K25" s="160" t="s">
        <v>424</v>
      </c>
      <c r="L25" s="267">
        <v>3</v>
      </c>
      <c r="M25" s="267">
        <v>628</v>
      </c>
      <c r="N25" s="266" t="s">
        <v>411</v>
      </c>
      <c r="O25" s="160" t="s">
        <v>301</v>
      </c>
      <c r="P25" s="267">
        <v>2</v>
      </c>
      <c r="Q25" s="267">
        <v>518</v>
      </c>
      <c r="R25" s="267" t="s">
        <v>420</v>
      </c>
      <c r="S25" s="266">
        <v>58</v>
      </c>
      <c r="T25" s="267" t="s">
        <v>308</v>
      </c>
      <c r="U25" s="267">
        <v>3</v>
      </c>
      <c r="V25" s="267" t="s">
        <v>411</v>
      </c>
      <c r="W25" s="267">
        <v>775</v>
      </c>
      <c r="X25" s="266">
        <v>91</v>
      </c>
      <c r="Y25" s="267" t="s">
        <v>308</v>
      </c>
      <c r="Z25" s="267">
        <v>3</v>
      </c>
      <c r="AA25" s="267">
        <v>775</v>
      </c>
      <c r="AB25" s="267" t="s">
        <v>411</v>
      </c>
      <c r="AC25" s="266">
        <v>91</v>
      </c>
      <c r="AD25" s="260"/>
    </row>
    <row r="26" spans="1:30" ht="15.75" thickBot="1">
      <c r="A26" s="575"/>
      <c r="B26" s="266">
        <v>570</v>
      </c>
      <c r="C26" s="160" t="s">
        <v>422</v>
      </c>
      <c r="D26" s="267">
        <v>2</v>
      </c>
      <c r="E26" s="267">
        <v>468</v>
      </c>
      <c r="F26" s="266" t="s">
        <v>411</v>
      </c>
      <c r="G26" s="160" t="s">
        <v>425</v>
      </c>
      <c r="H26" s="267">
        <v>3</v>
      </c>
      <c r="I26" s="267">
        <v>859</v>
      </c>
      <c r="J26" s="266" t="s">
        <v>411</v>
      </c>
      <c r="K26" s="160" t="s">
        <v>424</v>
      </c>
      <c r="L26" s="160">
        <v>3</v>
      </c>
      <c r="M26" s="267">
        <v>708</v>
      </c>
      <c r="N26" s="266" t="s">
        <v>124</v>
      </c>
      <c r="O26" s="160" t="s">
        <v>301</v>
      </c>
      <c r="P26" s="267">
        <v>2</v>
      </c>
      <c r="Q26" s="267">
        <v>546</v>
      </c>
      <c r="R26" s="267" t="s">
        <v>125</v>
      </c>
      <c r="S26" s="266">
        <v>58</v>
      </c>
      <c r="T26" s="267" t="s">
        <v>308</v>
      </c>
      <c r="U26" s="267">
        <v>2</v>
      </c>
      <c r="V26" s="267" t="s">
        <v>124</v>
      </c>
      <c r="W26" s="267">
        <v>911</v>
      </c>
      <c r="X26" s="266">
        <v>91</v>
      </c>
      <c r="Y26" s="267" t="s">
        <v>308</v>
      </c>
      <c r="Z26" s="267">
        <v>2</v>
      </c>
      <c r="AA26" s="267">
        <v>911</v>
      </c>
      <c r="AB26" s="267" t="s">
        <v>124</v>
      </c>
      <c r="AC26" s="266">
        <v>91</v>
      </c>
      <c r="AD26" s="260"/>
    </row>
    <row r="27" spans="1:30" ht="15.75" thickBot="1">
      <c r="A27" s="575"/>
      <c r="B27" s="266">
        <v>600</v>
      </c>
      <c r="C27" s="160" t="s">
        <v>422</v>
      </c>
      <c r="D27" s="267">
        <v>2</v>
      </c>
      <c r="E27" s="267">
        <v>488</v>
      </c>
      <c r="F27" s="266" t="s">
        <v>124</v>
      </c>
      <c r="G27" s="160" t="s">
        <v>425</v>
      </c>
      <c r="H27" s="267">
        <v>3</v>
      </c>
      <c r="I27" s="267">
        <v>945</v>
      </c>
      <c r="J27" s="266" t="s">
        <v>124</v>
      </c>
      <c r="K27" s="160" t="s">
        <v>425</v>
      </c>
      <c r="L27" s="160">
        <v>3</v>
      </c>
      <c r="M27" s="267">
        <v>781</v>
      </c>
      <c r="N27" s="266" t="s">
        <v>125</v>
      </c>
      <c r="O27" s="160" t="s">
        <v>301</v>
      </c>
      <c r="P27" s="267">
        <v>2</v>
      </c>
      <c r="Q27" s="267">
        <v>592</v>
      </c>
      <c r="R27" s="267" t="s">
        <v>124</v>
      </c>
      <c r="S27" s="266">
        <v>58</v>
      </c>
      <c r="T27" s="267" t="s">
        <v>308</v>
      </c>
      <c r="U27" s="267">
        <v>3</v>
      </c>
      <c r="V27" s="267" t="s">
        <v>124</v>
      </c>
      <c r="W27" s="267">
        <v>911</v>
      </c>
      <c r="X27" s="266">
        <v>91</v>
      </c>
      <c r="Y27" s="267" t="s">
        <v>308</v>
      </c>
      <c r="Z27" s="267">
        <v>3</v>
      </c>
      <c r="AA27" s="267">
        <v>911</v>
      </c>
      <c r="AB27" s="267" t="s">
        <v>124</v>
      </c>
      <c r="AC27" s="266">
        <v>91</v>
      </c>
      <c r="AD27" s="260"/>
    </row>
    <row r="28" spans="1:30" ht="15.75" thickBot="1">
      <c r="A28" s="575"/>
      <c r="B28" s="266">
        <v>680</v>
      </c>
      <c r="C28" s="160" t="s">
        <v>424</v>
      </c>
      <c r="D28" s="267">
        <v>2</v>
      </c>
      <c r="E28" s="267">
        <v>553</v>
      </c>
      <c r="F28" s="269" t="s">
        <v>125</v>
      </c>
      <c r="G28" s="591"/>
      <c r="H28" s="592"/>
      <c r="I28" s="592"/>
      <c r="J28" s="593"/>
      <c r="K28" s="160" t="s">
        <v>425</v>
      </c>
      <c r="L28" s="160">
        <v>3</v>
      </c>
      <c r="M28" s="267">
        <v>859</v>
      </c>
      <c r="N28" s="266" t="s">
        <v>411</v>
      </c>
      <c r="O28" s="267" t="s">
        <v>308</v>
      </c>
      <c r="P28" s="267">
        <v>2</v>
      </c>
      <c r="Q28" s="267">
        <v>670</v>
      </c>
      <c r="R28" s="267" t="s">
        <v>125</v>
      </c>
      <c r="S28" s="268">
        <v>91</v>
      </c>
      <c r="T28" s="267" t="s">
        <v>426</v>
      </c>
      <c r="U28" s="267">
        <v>3</v>
      </c>
      <c r="V28" s="267" t="s">
        <v>125</v>
      </c>
      <c r="W28" s="267">
        <v>1039</v>
      </c>
      <c r="X28" s="266">
        <v>134</v>
      </c>
      <c r="Y28" s="267" t="s">
        <v>426</v>
      </c>
      <c r="Z28" s="267">
        <v>3</v>
      </c>
      <c r="AA28" s="267">
        <v>1039</v>
      </c>
      <c r="AB28" s="267" t="s">
        <v>125</v>
      </c>
      <c r="AC28" s="266">
        <v>134</v>
      </c>
      <c r="AD28" s="260"/>
    </row>
    <row r="29" spans="1:30" ht="15.75" thickBot="1">
      <c r="A29" s="576"/>
      <c r="B29" s="263">
        <v>775</v>
      </c>
      <c r="C29" s="264" t="s">
        <v>424</v>
      </c>
      <c r="D29" s="270">
        <v>2</v>
      </c>
      <c r="E29" s="270">
        <v>628</v>
      </c>
      <c r="F29" s="263" t="s">
        <v>411</v>
      </c>
      <c r="G29" s="594"/>
      <c r="H29" s="595"/>
      <c r="I29" s="595"/>
      <c r="J29" s="596"/>
      <c r="K29" s="264" t="s">
        <v>425</v>
      </c>
      <c r="L29" s="264">
        <v>3</v>
      </c>
      <c r="M29" s="270">
        <v>945</v>
      </c>
      <c r="N29" s="263" t="s">
        <v>124</v>
      </c>
      <c r="O29" s="270" t="s">
        <v>308</v>
      </c>
      <c r="P29" s="270">
        <v>2</v>
      </c>
      <c r="Q29" s="270">
        <v>911</v>
      </c>
      <c r="R29" s="270" t="s">
        <v>124</v>
      </c>
      <c r="S29" s="271">
        <v>91</v>
      </c>
      <c r="T29" s="270" t="s">
        <v>426</v>
      </c>
      <c r="U29" s="270">
        <v>3</v>
      </c>
      <c r="V29" s="270" t="s">
        <v>411</v>
      </c>
      <c r="W29" s="270">
        <v>1180</v>
      </c>
      <c r="X29" s="263">
        <v>134</v>
      </c>
      <c r="Y29" s="270" t="s">
        <v>426</v>
      </c>
      <c r="Z29" s="270">
        <v>3</v>
      </c>
      <c r="AA29" s="270">
        <v>1180</v>
      </c>
      <c r="AB29" s="270" t="s">
        <v>411</v>
      </c>
      <c r="AC29" s="263">
        <v>134</v>
      </c>
      <c r="AD29" s="260"/>
    </row>
    <row r="30" spans="1:30" ht="15.75" thickTop="1" thickBot="1">
      <c r="A30" s="260"/>
      <c r="B30" s="260"/>
      <c r="C30" s="260"/>
      <c r="D30" s="260"/>
      <c r="E30" s="260"/>
      <c r="F30" s="260"/>
      <c r="G30" s="260"/>
      <c r="H30" s="260"/>
      <c r="I30" s="260"/>
      <c r="J30" s="260"/>
      <c r="K30" s="260"/>
      <c r="L30" s="260"/>
      <c r="M30" s="260"/>
      <c r="N30" s="260"/>
      <c r="O30" s="260"/>
      <c r="P30" s="260"/>
      <c r="Q30" s="260"/>
      <c r="R30" s="260"/>
      <c r="S30" s="260"/>
      <c r="T30" s="260"/>
      <c r="U30" s="260"/>
      <c r="V30" s="260"/>
      <c r="W30" s="260"/>
      <c r="X30" s="260"/>
      <c r="Y30" s="260"/>
      <c r="Z30" s="260"/>
      <c r="AA30" s="260"/>
      <c r="AB30" s="260"/>
      <c r="AC30" s="260"/>
      <c r="AD30" s="260"/>
    </row>
    <row r="31" spans="1:30" ht="15" thickBot="1">
      <c r="A31" s="260"/>
      <c r="B31" s="260"/>
      <c r="C31" s="260"/>
      <c r="D31" s="260"/>
      <c r="E31" s="260"/>
      <c r="F31" s="260"/>
      <c r="G31" s="260"/>
      <c r="H31" s="260"/>
      <c r="I31" s="260"/>
      <c r="J31" s="260"/>
      <c r="K31" s="260"/>
      <c r="L31" s="260"/>
      <c r="M31" s="260"/>
      <c r="N31" s="260"/>
      <c r="O31" s="260"/>
      <c r="P31" s="260"/>
      <c r="Q31" s="260"/>
      <c r="R31" s="260"/>
      <c r="S31" s="260"/>
      <c r="T31" s="260"/>
      <c r="U31" s="260"/>
      <c r="V31" s="260"/>
      <c r="W31" s="260"/>
      <c r="X31" s="260"/>
      <c r="Y31" s="260"/>
      <c r="Z31" s="260"/>
      <c r="AA31" s="260"/>
      <c r="AB31" s="260"/>
      <c r="AC31" s="260"/>
      <c r="AD31" s="260"/>
    </row>
    <row r="32" spans="1:30" ht="15" thickBot="1">
      <c r="A32" s="261"/>
      <c r="B32" s="261"/>
      <c r="C32" s="261"/>
      <c r="D32" s="261"/>
      <c r="E32" s="261"/>
      <c r="F32" s="261"/>
      <c r="G32" s="261"/>
      <c r="H32" s="261"/>
      <c r="I32" s="261"/>
      <c r="J32" s="261"/>
      <c r="K32" s="261"/>
      <c r="L32" s="261"/>
      <c r="M32" s="261"/>
      <c r="N32" s="261"/>
      <c r="O32" s="261"/>
      <c r="P32" s="261"/>
      <c r="Q32" s="261"/>
      <c r="R32" s="261"/>
      <c r="S32" s="261"/>
      <c r="T32" s="261"/>
      <c r="U32" s="261"/>
      <c r="V32" s="261"/>
      <c r="W32" s="261"/>
      <c r="X32" s="261"/>
      <c r="Y32" s="261"/>
      <c r="Z32" s="261"/>
      <c r="AA32" s="261"/>
      <c r="AB32" s="261"/>
      <c r="AC32" s="261"/>
      <c r="AD32" s="260"/>
    </row>
    <row r="33" spans="1:30" ht="61.5" thickTop="1" thickBot="1">
      <c r="A33" s="262" t="s">
        <v>397</v>
      </c>
      <c r="B33" s="263" t="s">
        <v>398</v>
      </c>
      <c r="C33" s="264" t="s">
        <v>158</v>
      </c>
      <c r="D33" s="264" t="s">
        <v>399</v>
      </c>
      <c r="E33" s="263" t="s">
        <v>400</v>
      </c>
      <c r="F33" s="263" t="s">
        <v>401</v>
      </c>
      <c r="G33" s="264" t="s">
        <v>158</v>
      </c>
      <c r="H33" s="264" t="s">
        <v>399</v>
      </c>
      <c r="I33" s="263" t="s">
        <v>402</v>
      </c>
      <c r="J33" s="263" t="s">
        <v>401</v>
      </c>
      <c r="K33" s="264" t="s">
        <v>158</v>
      </c>
      <c r="L33" s="264" t="s">
        <v>399</v>
      </c>
      <c r="M33" s="263" t="s">
        <v>403</v>
      </c>
      <c r="N33" s="266" t="s">
        <v>401</v>
      </c>
      <c r="O33" s="264" t="s">
        <v>207</v>
      </c>
      <c r="P33" s="264" t="s">
        <v>399</v>
      </c>
      <c r="Q33" s="264" t="s">
        <v>400</v>
      </c>
      <c r="R33" s="264" t="s">
        <v>401</v>
      </c>
      <c r="S33" s="263" t="s">
        <v>404</v>
      </c>
      <c r="T33" s="264" t="s">
        <v>207</v>
      </c>
      <c r="U33" s="264" t="s">
        <v>399</v>
      </c>
      <c r="V33" s="264" t="s">
        <v>405</v>
      </c>
      <c r="W33" s="264" t="s">
        <v>401</v>
      </c>
      <c r="X33" s="263" t="s">
        <v>404</v>
      </c>
      <c r="Y33" s="264" t="s">
        <v>207</v>
      </c>
      <c r="Z33" s="264" t="s">
        <v>399</v>
      </c>
      <c r="AA33" s="263" t="s">
        <v>406</v>
      </c>
      <c r="AB33" s="264" t="s">
        <v>401</v>
      </c>
      <c r="AC33" s="263" t="s">
        <v>407</v>
      </c>
      <c r="AD33" s="260"/>
    </row>
    <row r="34" spans="1:30" ht="16.5" thickTop="1" thickBot="1">
      <c r="A34" s="574" t="s">
        <v>427</v>
      </c>
      <c r="B34" s="266">
        <v>95</v>
      </c>
      <c r="C34" s="267" t="s">
        <v>428</v>
      </c>
      <c r="D34" s="267">
        <v>2</v>
      </c>
      <c r="E34" s="268">
        <v>76</v>
      </c>
      <c r="F34" s="268" t="s">
        <v>411</v>
      </c>
      <c r="G34" s="267" t="s">
        <v>410</v>
      </c>
      <c r="H34" s="267">
        <v>4</v>
      </c>
      <c r="I34" s="268">
        <v>190</v>
      </c>
      <c r="J34" s="268" t="s">
        <v>124</v>
      </c>
      <c r="K34" s="160" t="s">
        <v>409</v>
      </c>
      <c r="L34" s="267">
        <v>4</v>
      </c>
      <c r="M34" s="267">
        <v>156</v>
      </c>
      <c r="N34" s="157" t="s">
        <v>124</v>
      </c>
      <c r="O34" s="160" t="s">
        <v>429</v>
      </c>
      <c r="P34" s="160">
        <v>2</v>
      </c>
      <c r="Q34" s="160">
        <v>98</v>
      </c>
      <c r="R34" s="160" t="s">
        <v>411</v>
      </c>
      <c r="S34" s="268">
        <v>15</v>
      </c>
      <c r="T34" s="160" t="s">
        <v>413</v>
      </c>
      <c r="U34" s="160">
        <v>4</v>
      </c>
      <c r="V34" s="160">
        <v>212</v>
      </c>
      <c r="W34" s="160" t="s">
        <v>124</v>
      </c>
      <c r="X34" s="268">
        <v>25</v>
      </c>
      <c r="Y34" s="160" t="s">
        <v>412</v>
      </c>
      <c r="Z34" s="160">
        <v>4</v>
      </c>
      <c r="AA34" s="160">
        <v>171</v>
      </c>
      <c r="AB34" s="272" t="s">
        <v>124</v>
      </c>
      <c r="AC34" s="268">
        <v>19</v>
      </c>
      <c r="AD34" s="273">
        <v>82.61</v>
      </c>
    </row>
    <row r="35" spans="1:30" ht="15.75" thickBot="1">
      <c r="A35" s="575"/>
      <c r="B35" s="266">
        <v>110</v>
      </c>
      <c r="C35" s="267" t="s">
        <v>428</v>
      </c>
      <c r="D35" s="267">
        <v>2</v>
      </c>
      <c r="E35" s="268">
        <v>86</v>
      </c>
      <c r="F35" s="268" t="s">
        <v>124</v>
      </c>
      <c r="G35" s="267" t="s">
        <v>414</v>
      </c>
      <c r="H35" s="267">
        <v>3</v>
      </c>
      <c r="I35" s="268">
        <v>160</v>
      </c>
      <c r="J35" s="268" t="s">
        <v>25</v>
      </c>
      <c r="K35" s="160" t="s">
        <v>410</v>
      </c>
      <c r="L35" s="267">
        <v>4</v>
      </c>
      <c r="M35" s="267">
        <v>170</v>
      </c>
      <c r="N35" s="157" t="s">
        <v>411</v>
      </c>
      <c r="O35" s="160" t="s">
        <v>429</v>
      </c>
      <c r="P35" s="160">
        <v>2</v>
      </c>
      <c r="Q35" s="160">
        <v>128</v>
      </c>
      <c r="R35" s="160" t="s">
        <v>124</v>
      </c>
      <c r="S35" s="268">
        <v>15</v>
      </c>
      <c r="T35" s="160" t="s">
        <v>413</v>
      </c>
      <c r="U35" s="160">
        <v>4</v>
      </c>
      <c r="V35" s="160">
        <v>212</v>
      </c>
      <c r="W35" s="160" t="s">
        <v>124</v>
      </c>
      <c r="X35" s="268">
        <v>25</v>
      </c>
      <c r="Y35" s="160" t="s">
        <v>413</v>
      </c>
      <c r="Z35" s="160">
        <v>4</v>
      </c>
      <c r="AA35" s="160">
        <v>192</v>
      </c>
      <c r="AB35" s="272" t="s">
        <v>411</v>
      </c>
      <c r="AC35" s="268">
        <v>25</v>
      </c>
      <c r="AD35" s="273">
        <v>95.65</v>
      </c>
    </row>
    <row r="36" spans="1:30" ht="15.75" thickBot="1">
      <c r="A36" s="575"/>
      <c r="B36" s="266">
        <v>125</v>
      </c>
      <c r="C36" s="267" t="s">
        <v>430</v>
      </c>
      <c r="D36" s="267">
        <v>2</v>
      </c>
      <c r="E36" s="268">
        <v>102</v>
      </c>
      <c r="F36" s="268" t="s">
        <v>411</v>
      </c>
      <c r="G36" s="160" t="s">
        <v>414</v>
      </c>
      <c r="H36" s="267">
        <v>3</v>
      </c>
      <c r="I36" s="266">
        <v>190</v>
      </c>
      <c r="J36" s="268" t="s">
        <v>411</v>
      </c>
      <c r="K36" s="160" t="s">
        <v>410</v>
      </c>
      <c r="L36" s="160">
        <v>4</v>
      </c>
      <c r="M36" s="160">
        <v>190</v>
      </c>
      <c r="N36" s="157" t="s">
        <v>124</v>
      </c>
      <c r="O36" s="160" t="s">
        <v>412</v>
      </c>
      <c r="P36" s="160">
        <v>2</v>
      </c>
      <c r="Q36" s="160">
        <v>137</v>
      </c>
      <c r="R36" s="160" t="s">
        <v>411</v>
      </c>
      <c r="S36" s="268">
        <v>19</v>
      </c>
      <c r="T36" s="160" t="s">
        <v>431</v>
      </c>
      <c r="U36" s="160">
        <v>4</v>
      </c>
      <c r="V36" s="160">
        <v>260</v>
      </c>
      <c r="W36" s="160" t="s">
        <v>125</v>
      </c>
      <c r="X36" s="268">
        <v>30</v>
      </c>
      <c r="Y36" s="160" t="s">
        <v>413</v>
      </c>
      <c r="Z36" s="160">
        <v>4</v>
      </c>
      <c r="AA36" s="160">
        <v>248</v>
      </c>
      <c r="AB36" s="272" t="s">
        <v>124</v>
      </c>
      <c r="AC36" s="266">
        <v>25</v>
      </c>
      <c r="AD36" s="273">
        <v>108.7</v>
      </c>
    </row>
    <row r="37" spans="1:30" ht="15.75" thickBot="1">
      <c r="A37" s="575"/>
      <c r="B37" s="266">
        <v>145</v>
      </c>
      <c r="C37" s="267" t="s">
        <v>430</v>
      </c>
      <c r="D37" s="267">
        <v>2</v>
      </c>
      <c r="E37" s="268">
        <v>116</v>
      </c>
      <c r="F37" s="268" t="s">
        <v>124</v>
      </c>
      <c r="G37" s="160" t="s">
        <v>416</v>
      </c>
      <c r="H37" s="267">
        <v>3</v>
      </c>
      <c r="I37" s="266">
        <v>216</v>
      </c>
      <c r="J37" s="268" t="s">
        <v>125</v>
      </c>
      <c r="K37" s="267" t="s">
        <v>414</v>
      </c>
      <c r="L37" s="267">
        <v>3</v>
      </c>
      <c r="M37" s="267">
        <v>160</v>
      </c>
      <c r="N37" s="157" t="s">
        <v>25</v>
      </c>
      <c r="O37" s="160" t="s">
        <v>412</v>
      </c>
      <c r="P37" s="160">
        <v>2</v>
      </c>
      <c r="Q37" s="160">
        <v>171</v>
      </c>
      <c r="R37" s="160" t="s">
        <v>124</v>
      </c>
      <c r="S37" s="268">
        <v>19</v>
      </c>
      <c r="T37" s="160" t="s">
        <v>417</v>
      </c>
      <c r="U37" s="267">
        <v>3</v>
      </c>
      <c r="V37" s="267">
        <v>212</v>
      </c>
      <c r="W37" s="160" t="s">
        <v>411</v>
      </c>
      <c r="X37" s="268">
        <v>25</v>
      </c>
      <c r="Y37" s="160" t="s">
        <v>431</v>
      </c>
      <c r="Z37" s="267">
        <v>4</v>
      </c>
      <c r="AA37" s="267">
        <v>260</v>
      </c>
      <c r="AB37" s="272" t="s">
        <v>125</v>
      </c>
      <c r="AC37" s="266">
        <v>25</v>
      </c>
      <c r="AD37" s="273">
        <v>126.09</v>
      </c>
    </row>
    <row r="38" spans="1:30" ht="15.75" thickBot="1">
      <c r="A38" s="575"/>
      <c r="B38" s="266">
        <v>155</v>
      </c>
      <c r="C38" s="267" t="s">
        <v>409</v>
      </c>
      <c r="D38" s="267">
        <v>2</v>
      </c>
      <c r="E38" s="268">
        <v>122</v>
      </c>
      <c r="F38" s="268" t="s">
        <v>125</v>
      </c>
      <c r="G38" s="160" t="s">
        <v>416</v>
      </c>
      <c r="H38" s="267">
        <v>3</v>
      </c>
      <c r="I38" s="266">
        <v>240</v>
      </c>
      <c r="J38" s="268" t="s">
        <v>124</v>
      </c>
      <c r="K38" s="160" t="s">
        <v>414</v>
      </c>
      <c r="L38" s="267">
        <v>3</v>
      </c>
      <c r="M38" s="160">
        <v>190</v>
      </c>
      <c r="N38" s="157" t="s">
        <v>411</v>
      </c>
      <c r="O38" s="160" t="s">
        <v>412</v>
      </c>
      <c r="P38" s="160">
        <v>2</v>
      </c>
      <c r="Q38" s="160">
        <v>171</v>
      </c>
      <c r="R38" s="160" t="s">
        <v>124</v>
      </c>
      <c r="S38" s="268">
        <v>19</v>
      </c>
      <c r="T38" s="160" t="s">
        <v>417</v>
      </c>
      <c r="U38" s="267">
        <v>3</v>
      </c>
      <c r="V38" s="267">
        <v>212</v>
      </c>
      <c r="W38" s="160" t="s">
        <v>411</v>
      </c>
      <c r="X38" s="268">
        <v>25</v>
      </c>
      <c r="Y38" s="160" t="s">
        <v>417</v>
      </c>
      <c r="Z38" s="267">
        <v>3</v>
      </c>
      <c r="AA38" s="267">
        <v>212</v>
      </c>
      <c r="AB38" s="272" t="s">
        <v>411</v>
      </c>
      <c r="AC38" s="268">
        <v>25</v>
      </c>
      <c r="AD38" s="273">
        <v>134.78</v>
      </c>
    </row>
    <row r="39" spans="1:30" ht="15.75" thickBot="1">
      <c r="A39" s="575"/>
      <c r="B39" s="266">
        <v>175</v>
      </c>
      <c r="C39" s="267" t="s">
        <v>409</v>
      </c>
      <c r="D39" s="267">
        <v>2</v>
      </c>
      <c r="E39" s="268">
        <v>138</v>
      </c>
      <c r="F39" s="268" t="s">
        <v>411</v>
      </c>
      <c r="G39" s="160" t="s">
        <v>419</v>
      </c>
      <c r="H39" s="267">
        <v>3</v>
      </c>
      <c r="I39" s="266">
        <v>262</v>
      </c>
      <c r="J39" s="268" t="s">
        <v>420</v>
      </c>
      <c r="K39" s="160" t="s">
        <v>416</v>
      </c>
      <c r="L39" s="267">
        <v>3</v>
      </c>
      <c r="M39" s="160">
        <v>216</v>
      </c>
      <c r="N39" s="157" t="s">
        <v>125</v>
      </c>
      <c r="O39" s="160" t="s">
        <v>412</v>
      </c>
      <c r="P39" s="160">
        <v>2</v>
      </c>
      <c r="Q39" s="160">
        <v>171</v>
      </c>
      <c r="R39" s="160" t="s">
        <v>124</v>
      </c>
      <c r="S39" s="268">
        <v>19</v>
      </c>
      <c r="T39" s="160" t="s">
        <v>311</v>
      </c>
      <c r="U39" s="267">
        <v>3</v>
      </c>
      <c r="V39" s="267">
        <v>260</v>
      </c>
      <c r="W39" s="160" t="s">
        <v>125</v>
      </c>
      <c r="X39" s="268">
        <v>30</v>
      </c>
      <c r="Y39" s="160" t="s">
        <v>417</v>
      </c>
      <c r="Z39" s="267">
        <v>3</v>
      </c>
      <c r="AA39" s="267">
        <v>248</v>
      </c>
      <c r="AB39" s="272" t="s">
        <v>124</v>
      </c>
      <c r="AC39" s="266">
        <v>25</v>
      </c>
      <c r="AD39" s="273">
        <v>152.16999999999999</v>
      </c>
    </row>
    <row r="40" spans="1:30" ht="15.75" thickBot="1">
      <c r="A40" s="575"/>
      <c r="B40" s="266">
        <v>225</v>
      </c>
      <c r="C40" s="267" t="s">
        <v>432</v>
      </c>
      <c r="D40" s="267">
        <v>2</v>
      </c>
      <c r="E40" s="268">
        <v>178</v>
      </c>
      <c r="F40" s="268" t="s">
        <v>411</v>
      </c>
      <c r="G40" s="160" t="s">
        <v>419</v>
      </c>
      <c r="H40" s="267">
        <v>3</v>
      </c>
      <c r="I40" s="266">
        <v>350</v>
      </c>
      <c r="J40" s="268" t="s">
        <v>411</v>
      </c>
      <c r="K40" s="160" t="s">
        <v>416</v>
      </c>
      <c r="L40" s="267">
        <v>3</v>
      </c>
      <c r="M40" s="160">
        <v>240</v>
      </c>
      <c r="N40" s="157" t="s">
        <v>124</v>
      </c>
      <c r="O40" s="160" t="s">
        <v>413</v>
      </c>
      <c r="P40" s="160">
        <v>2</v>
      </c>
      <c r="Q40" s="160">
        <v>212</v>
      </c>
      <c r="R40" s="160" t="s">
        <v>124</v>
      </c>
      <c r="S40" s="268">
        <v>25</v>
      </c>
      <c r="T40" s="267" t="s">
        <v>421</v>
      </c>
      <c r="U40" s="267">
        <v>3</v>
      </c>
      <c r="V40" s="267">
        <v>335</v>
      </c>
      <c r="W40" s="160" t="s">
        <v>25</v>
      </c>
      <c r="X40" s="268">
        <v>43</v>
      </c>
      <c r="Y40" s="267" t="s">
        <v>311</v>
      </c>
      <c r="Z40" s="267">
        <v>3</v>
      </c>
      <c r="AA40" s="267">
        <v>300</v>
      </c>
      <c r="AB40" s="272" t="s">
        <v>124</v>
      </c>
      <c r="AC40" s="266">
        <v>43</v>
      </c>
      <c r="AD40" s="273">
        <v>195.65</v>
      </c>
    </row>
    <row r="41" spans="1:30" ht="15.75" thickBot="1">
      <c r="A41" s="575"/>
      <c r="B41" s="266">
        <v>280</v>
      </c>
      <c r="C41" s="267" t="s">
        <v>432</v>
      </c>
      <c r="D41" s="267">
        <v>2</v>
      </c>
      <c r="E41" s="268">
        <v>226</v>
      </c>
      <c r="F41" s="268" t="s">
        <v>124</v>
      </c>
      <c r="G41" s="160" t="s">
        <v>422</v>
      </c>
      <c r="H41" s="267">
        <v>3</v>
      </c>
      <c r="I41" s="266">
        <v>430</v>
      </c>
      <c r="J41" s="268" t="s">
        <v>125</v>
      </c>
      <c r="K41" s="160" t="s">
        <v>419</v>
      </c>
      <c r="L41" s="267">
        <v>3</v>
      </c>
      <c r="M41" s="160">
        <v>300</v>
      </c>
      <c r="N41" s="157" t="s">
        <v>25</v>
      </c>
      <c r="O41" s="160" t="s">
        <v>431</v>
      </c>
      <c r="P41" s="160">
        <v>2</v>
      </c>
      <c r="Q41" s="160">
        <v>260</v>
      </c>
      <c r="R41" s="160" t="s">
        <v>125</v>
      </c>
      <c r="S41" s="268">
        <v>30</v>
      </c>
      <c r="T41" s="160" t="s">
        <v>421</v>
      </c>
      <c r="U41" s="267">
        <v>3</v>
      </c>
      <c r="V41" s="267">
        <v>426</v>
      </c>
      <c r="W41" s="160" t="s">
        <v>124</v>
      </c>
      <c r="X41" s="268">
        <v>43</v>
      </c>
      <c r="Y41" s="160" t="s">
        <v>421</v>
      </c>
      <c r="Z41" s="267">
        <v>3</v>
      </c>
      <c r="AA41" s="267">
        <v>350</v>
      </c>
      <c r="AB41" s="272" t="s">
        <v>420</v>
      </c>
      <c r="AC41" s="266">
        <v>43</v>
      </c>
      <c r="AD41" s="273">
        <v>243.48</v>
      </c>
    </row>
    <row r="42" spans="1:30" ht="15.75" thickBot="1">
      <c r="A42" s="575"/>
      <c r="B42" s="266">
        <v>300</v>
      </c>
      <c r="C42" s="267" t="s">
        <v>418</v>
      </c>
      <c r="D42" s="267">
        <v>2</v>
      </c>
      <c r="E42" s="268">
        <v>138</v>
      </c>
      <c r="F42" s="268" t="s">
        <v>411</v>
      </c>
      <c r="G42" s="160" t="s">
        <v>422</v>
      </c>
      <c r="H42" s="267">
        <v>3</v>
      </c>
      <c r="I42" s="266">
        <v>414</v>
      </c>
      <c r="J42" s="268" t="s">
        <v>25</v>
      </c>
      <c r="K42" s="160" t="s">
        <v>419</v>
      </c>
      <c r="L42" s="267">
        <v>3</v>
      </c>
      <c r="M42" s="160">
        <v>350</v>
      </c>
      <c r="N42" s="157" t="s">
        <v>411</v>
      </c>
      <c r="O42" s="160" t="s">
        <v>417</v>
      </c>
      <c r="P42" s="267">
        <v>2</v>
      </c>
      <c r="Q42" s="267">
        <v>212</v>
      </c>
      <c r="R42" s="267" t="s">
        <v>411</v>
      </c>
      <c r="S42" s="268">
        <v>25</v>
      </c>
      <c r="T42" s="160" t="s">
        <v>421</v>
      </c>
      <c r="U42" s="267">
        <v>3</v>
      </c>
      <c r="V42" s="267">
        <v>426</v>
      </c>
      <c r="W42" s="267" t="s">
        <v>124</v>
      </c>
      <c r="X42" s="268">
        <v>43</v>
      </c>
      <c r="Y42" s="160" t="s">
        <v>421</v>
      </c>
      <c r="Z42" s="267">
        <v>3</v>
      </c>
      <c r="AA42" s="267">
        <v>408</v>
      </c>
      <c r="AB42" s="274" t="s">
        <v>411</v>
      </c>
      <c r="AC42" s="266">
        <v>43</v>
      </c>
      <c r="AD42" s="273">
        <v>260.87</v>
      </c>
    </row>
    <row r="43" spans="1:30" ht="15.75" thickBot="1">
      <c r="A43" s="575"/>
      <c r="B43" s="266">
        <v>350</v>
      </c>
      <c r="C43" s="160" t="s">
        <v>416</v>
      </c>
      <c r="D43" s="267">
        <v>2</v>
      </c>
      <c r="E43" s="266">
        <v>178</v>
      </c>
      <c r="F43" s="266" t="s">
        <v>420</v>
      </c>
      <c r="G43" s="160" t="s">
        <v>422</v>
      </c>
      <c r="H43" s="267">
        <v>3</v>
      </c>
      <c r="I43" s="266">
        <v>468</v>
      </c>
      <c r="J43" s="268" t="s">
        <v>411</v>
      </c>
      <c r="K43" s="160" t="s">
        <v>422</v>
      </c>
      <c r="L43" s="267">
        <v>3</v>
      </c>
      <c r="M43" s="160">
        <v>414</v>
      </c>
      <c r="N43" s="157" t="s">
        <v>25</v>
      </c>
      <c r="O43" s="160" t="s">
        <v>311</v>
      </c>
      <c r="P43" s="267">
        <v>2</v>
      </c>
      <c r="Q43" s="267">
        <v>260</v>
      </c>
      <c r="R43" s="267" t="s">
        <v>125</v>
      </c>
      <c r="S43" s="266">
        <v>30</v>
      </c>
      <c r="T43" s="160" t="s">
        <v>301</v>
      </c>
      <c r="U43" s="267">
        <v>3</v>
      </c>
      <c r="V43" s="267">
        <v>526</v>
      </c>
      <c r="W43" s="267" t="s">
        <v>25</v>
      </c>
      <c r="X43" s="266">
        <v>58</v>
      </c>
      <c r="Y43" s="160" t="s">
        <v>301</v>
      </c>
      <c r="Z43" s="267">
        <v>3</v>
      </c>
      <c r="AA43" s="267">
        <v>426</v>
      </c>
      <c r="AB43" s="274" t="s">
        <v>124</v>
      </c>
      <c r="AC43" s="266">
        <v>43</v>
      </c>
      <c r="AD43" s="273">
        <v>304.35000000000002</v>
      </c>
    </row>
    <row r="44" spans="1:30" ht="15.75" thickBot="1">
      <c r="A44" s="575"/>
      <c r="B44" s="266">
        <v>425</v>
      </c>
      <c r="C44" s="160" t="s">
        <v>416</v>
      </c>
      <c r="D44" s="267">
        <v>2</v>
      </c>
      <c r="E44" s="266">
        <v>200</v>
      </c>
      <c r="F44" s="266" t="s">
        <v>25</v>
      </c>
      <c r="G44" s="160" t="s">
        <v>424</v>
      </c>
      <c r="H44" s="267">
        <v>3</v>
      </c>
      <c r="I44" s="266">
        <v>553</v>
      </c>
      <c r="J44" s="268" t="s">
        <v>125</v>
      </c>
      <c r="K44" s="160" t="s">
        <v>424</v>
      </c>
      <c r="L44" s="267">
        <v>3</v>
      </c>
      <c r="M44" s="160">
        <v>468</v>
      </c>
      <c r="N44" s="157" t="s">
        <v>411</v>
      </c>
      <c r="O44" s="160" t="s">
        <v>311</v>
      </c>
      <c r="P44" s="267">
        <v>2</v>
      </c>
      <c r="Q44" s="267">
        <v>300</v>
      </c>
      <c r="R44" s="267" t="s">
        <v>124</v>
      </c>
      <c r="S44" s="266">
        <v>43</v>
      </c>
      <c r="T44" s="160" t="s">
        <v>301</v>
      </c>
      <c r="U44" s="267">
        <v>3</v>
      </c>
      <c r="V44" s="267">
        <v>592</v>
      </c>
      <c r="W44" s="267" t="s">
        <v>124</v>
      </c>
      <c r="X44" s="266">
        <v>58</v>
      </c>
      <c r="Y44" s="160" t="s">
        <v>301</v>
      </c>
      <c r="Z44" s="267">
        <v>3</v>
      </c>
      <c r="AA44" s="267">
        <v>526</v>
      </c>
      <c r="AB44" s="274" t="s">
        <v>25</v>
      </c>
      <c r="AC44" s="266">
        <v>58</v>
      </c>
      <c r="AD44" s="273">
        <v>369.57</v>
      </c>
    </row>
    <row r="45" spans="1:30" ht="15.75" thickBot="1">
      <c r="A45" s="575"/>
      <c r="B45" s="266">
        <v>475</v>
      </c>
      <c r="C45" s="160" t="s">
        <v>416</v>
      </c>
      <c r="D45" s="267">
        <v>2</v>
      </c>
      <c r="E45" s="266">
        <v>226</v>
      </c>
      <c r="F45" s="266" t="s">
        <v>125</v>
      </c>
      <c r="G45" s="160" t="s">
        <v>424</v>
      </c>
      <c r="H45" s="267">
        <v>3</v>
      </c>
      <c r="I45" s="266">
        <v>628</v>
      </c>
      <c r="J45" s="268" t="s">
        <v>411</v>
      </c>
      <c r="K45" s="160" t="s">
        <v>424</v>
      </c>
      <c r="L45" s="267">
        <v>3</v>
      </c>
      <c r="M45" s="160">
        <v>553</v>
      </c>
      <c r="N45" s="157" t="s">
        <v>125</v>
      </c>
      <c r="O45" s="160" t="s">
        <v>421</v>
      </c>
      <c r="P45" s="267">
        <v>2</v>
      </c>
      <c r="Q45" s="267">
        <v>377</v>
      </c>
      <c r="R45" s="267" t="s">
        <v>125</v>
      </c>
      <c r="S45" s="266">
        <v>43</v>
      </c>
      <c r="T45" s="267" t="s">
        <v>301</v>
      </c>
      <c r="U45" s="267">
        <v>3</v>
      </c>
      <c r="V45" s="267">
        <v>670</v>
      </c>
      <c r="W45" s="267" t="s">
        <v>125</v>
      </c>
      <c r="X45" s="266">
        <v>91</v>
      </c>
      <c r="Y45" s="267" t="s">
        <v>301</v>
      </c>
      <c r="Z45" s="267">
        <v>3</v>
      </c>
      <c r="AA45" s="267">
        <v>592</v>
      </c>
      <c r="AB45" s="274" t="s">
        <v>124</v>
      </c>
      <c r="AC45" s="266">
        <v>58</v>
      </c>
      <c r="AD45" s="273">
        <v>413.04</v>
      </c>
    </row>
    <row r="46" spans="1:30" ht="15.75" thickBot="1">
      <c r="A46" s="575"/>
      <c r="B46" s="266">
        <v>500</v>
      </c>
      <c r="C46" s="160" t="s">
        <v>419</v>
      </c>
      <c r="D46" s="267">
        <v>2</v>
      </c>
      <c r="E46" s="266">
        <v>262</v>
      </c>
      <c r="F46" s="266" t="s">
        <v>420</v>
      </c>
      <c r="G46" s="160" t="s">
        <v>424</v>
      </c>
      <c r="H46" s="267">
        <v>3</v>
      </c>
      <c r="I46" s="266">
        <v>708</v>
      </c>
      <c r="J46" s="268" t="s">
        <v>124</v>
      </c>
      <c r="K46" s="160" t="s">
        <v>424</v>
      </c>
      <c r="L46" s="267">
        <v>3</v>
      </c>
      <c r="M46" s="160">
        <v>553</v>
      </c>
      <c r="N46" s="157" t="s">
        <v>125</v>
      </c>
      <c r="O46" s="160" t="s">
        <v>421</v>
      </c>
      <c r="P46" s="267">
        <v>2</v>
      </c>
      <c r="Q46" s="267">
        <v>377</v>
      </c>
      <c r="R46" s="267" t="s">
        <v>125</v>
      </c>
      <c r="S46" s="266">
        <v>43</v>
      </c>
      <c r="T46" s="267" t="s">
        <v>308</v>
      </c>
      <c r="U46" s="267">
        <v>2</v>
      </c>
      <c r="V46" s="267">
        <v>775</v>
      </c>
      <c r="W46" s="267" t="s">
        <v>411</v>
      </c>
      <c r="X46" s="266">
        <v>91</v>
      </c>
      <c r="Y46" s="267" t="s">
        <v>301</v>
      </c>
      <c r="Z46" s="267">
        <v>2</v>
      </c>
      <c r="AA46" s="267">
        <v>670</v>
      </c>
      <c r="AB46" s="274" t="s">
        <v>125</v>
      </c>
      <c r="AC46" s="266">
        <v>91</v>
      </c>
      <c r="AD46" s="273">
        <v>434.78</v>
      </c>
    </row>
    <row r="47" spans="1:30" ht="15.75" thickBot="1">
      <c r="A47" s="575"/>
      <c r="B47" s="266">
        <v>550</v>
      </c>
      <c r="C47" s="160" t="s">
        <v>419</v>
      </c>
      <c r="D47" s="267">
        <v>2</v>
      </c>
      <c r="E47" s="266">
        <v>300</v>
      </c>
      <c r="F47" s="266" t="s">
        <v>25</v>
      </c>
      <c r="G47" s="160" t="s">
        <v>425</v>
      </c>
      <c r="H47" s="267">
        <v>3</v>
      </c>
      <c r="I47" s="266">
        <v>781</v>
      </c>
      <c r="J47" s="268" t="s">
        <v>125</v>
      </c>
      <c r="K47" s="160" t="s">
        <v>424</v>
      </c>
      <c r="L47" s="267">
        <v>3</v>
      </c>
      <c r="M47" s="160">
        <v>628</v>
      </c>
      <c r="N47" s="157" t="s">
        <v>411</v>
      </c>
      <c r="O47" s="160" t="s">
        <v>421</v>
      </c>
      <c r="P47" s="267">
        <v>2</v>
      </c>
      <c r="Q47" s="267">
        <v>426</v>
      </c>
      <c r="R47" s="267" t="s">
        <v>124</v>
      </c>
      <c r="S47" s="266">
        <v>43</v>
      </c>
      <c r="T47" s="267" t="s">
        <v>308</v>
      </c>
      <c r="U47" s="267">
        <v>3</v>
      </c>
      <c r="V47" s="267">
        <v>775</v>
      </c>
      <c r="W47" s="267" t="s">
        <v>411</v>
      </c>
      <c r="X47" s="266">
        <v>91</v>
      </c>
      <c r="Y47" s="267" t="s">
        <v>301</v>
      </c>
      <c r="Z47" s="267">
        <v>3</v>
      </c>
      <c r="AA47" s="267">
        <v>775</v>
      </c>
      <c r="AB47" s="274" t="s">
        <v>411</v>
      </c>
      <c r="AC47" s="266">
        <v>91</v>
      </c>
      <c r="AD47" s="273">
        <v>478.26</v>
      </c>
    </row>
    <row r="48" spans="1:30" ht="15.75" thickBot="1">
      <c r="A48" s="575"/>
      <c r="B48" s="266">
        <v>650</v>
      </c>
      <c r="C48" s="160" t="s">
        <v>419</v>
      </c>
      <c r="D48" s="267">
        <v>2</v>
      </c>
      <c r="E48" s="266">
        <v>330</v>
      </c>
      <c r="F48" s="266" t="s">
        <v>125</v>
      </c>
      <c r="G48" s="160" t="s">
        <v>425</v>
      </c>
      <c r="H48" s="267">
        <v>3</v>
      </c>
      <c r="I48" s="266">
        <v>859</v>
      </c>
      <c r="J48" s="268" t="s">
        <v>411</v>
      </c>
      <c r="K48" s="160" t="s">
        <v>425</v>
      </c>
      <c r="L48" s="267">
        <v>3</v>
      </c>
      <c r="M48" s="160">
        <v>781</v>
      </c>
      <c r="N48" s="157" t="s">
        <v>125</v>
      </c>
      <c r="O48" s="160" t="s">
        <v>301</v>
      </c>
      <c r="P48" s="267">
        <v>2</v>
      </c>
      <c r="Q48" s="267">
        <v>526</v>
      </c>
      <c r="R48" s="267" t="s">
        <v>25</v>
      </c>
      <c r="S48" s="266">
        <v>58</v>
      </c>
      <c r="T48" s="267" t="s">
        <v>308</v>
      </c>
      <c r="U48" s="267">
        <v>2</v>
      </c>
      <c r="V48" s="267">
        <v>911</v>
      </c>
      <c r="W48" s="267" t="s">
        <v>124</v>
      </c>
      <c r="X48" s="266">
        <v>91</v>
      </c>
      <c r="Y48" s="267" t="s">
        <v>308</v>
      </c>
      <c r="Z48" s="267">
        <v>2</v>
      </c>
      <c r="AA48" s="267">
        <v>775</v>
      </c>
      <c r="AB48" s="274" t="s">
        <v>411</v>
      </c>
      <c r="AC48" s="266">
        <v>91</v>
      </c>
      <c r="AD48" s="273">
        <v>565.22</v>
      </c>
    </row>
    <row r="49" spans="1:30" ht="15.75" thickBot="1">
      <c r="A49" s="575"/>
      <c r="B49" s="266">
        <v>700</v>
      </c>
      <c r="C49" s="160" t="s">
        <v>422</v>
      </c>
      <c r="D49" s="267">
        <v>2</v>
      </c>
      <c r="E49" s="266">
        <v>414</v>
      </c>
      <c r="F49" s="266" t="s">
        <v>25</v>
      </c>
      <c r="G49" s="160" t="s">
        <v>425</v>
      </c>
      <c r="H49" s="267">
        <v>3</v>
      </c>
      <c r="I49" s="266">
        <v>945</v>
      </c>
      <c r="J49" s="268" t="s">
        <v>124</v>
      </c>
      <c r="K49" s="160" t="s">
        <v>425</v>
      </c>
      <c r="L49" s="267">
        <v>3</v>
      </c>
      <c r="M49" s="160">
        <v>859</v>
      </c>
      <c r="N49" s="157" t="s">
        <v>411</v>
      </c>
      <c r="O49" s="160" t="s">
        <v>301</v>
      </c>
      <c r="P49" s="267">
        <v>2</v>
      </c>
      <c r="Q49" s="267">
        <v>584</v>
      </c>
      <c r="R49" s="267" t="s">
        <v>411</v>
      </c>
      <c r="S49" s="266">
        <v>58</v>
      </c>
      <c r="T49" s="267" t="s">
        <v>426</v>
      </c>
      <c r="U49" s="267">
        <v>3</v>
      </c>
      <c r="V49" s="267">
        <v>1039</v>
      </c>
      <c r="W49" s="267" t="s">
        <v>125</v>
      </c>
      <c r="X49" s="266">
        <v>134</v>
      </c>
      <c r="Y49" s="267" t="s">
        <v>308</v>
      </c>
      <c r="Z49" s="267">
        <v>3</v>
      </c>
      <c r="AA49" s="267">
        <v>911</v>
      </c>
      <c r="AB49" s="274" t="s">
        <v>124</v>
      </c>
      <c r="AC49" s="266">
        <v>91</v>
      </c>
      <c r="AD49" s="273">
        <v>608.70000000000005</v>
      </c>
    </row>
    <row r="50" spans="1:30" ht="15.75" thickBot="1">
      <c r="A50" s="576"/>
      <c r="B50" s="263">
        <v>800</v>
      </c>
      <c r="C50" s="264" t="s">
        <v>422</v>
      </c>
      <c r="D50" s="270">
        <v>2</v>
      </c>
      <c r="E50" s="263">
        <v>488</v>
      </c>
      <c r="F50" s="263" t="s">
        <v>124</v>
      </c>
      <c r="G50" s="597"/>
      <c r="H50" s="598"/>
      <c r="I50" s="598"/>
      <c r="J50" s="599"/>
      <c r="K50" s="264" t="s">
        <v>425</v>
      </c>
      <c r="L50" s="270">
        <v>3</v>
      </c>
      <c r="M50" s="264">
        <v>945</v>
      </c>
      <c r="N50" s="157" t="s">
        <v>124</v>
      </c>
      <c r="O50" s="264" t="s">
        <v>301</v>
      </c>
      <c r="P50" s="270">
        <v>2</v>
      </c>
      <c r="Q50" s="270">
        <v>584</v>
      </c>
      <c r="R50" s="270" t="s">
        <v>411</v>
      </c>
      <c r="S50" s="271">
        <v>58</v>
      </c>
      <c r="T50" s="270" t="s">
        <v>426</v>
      </c>
      <c r="U50" s="270">
        <v>3</v>
      </c>
      <c r="V50" s="270">
        <v>1180</v>
      </c>
      <c r="W50" s="270" t="s">
        <v>411</v>
      </c>
      <c r="X50" s="263">
        <v>134</v>
      </c>
      <c r="Y50" s="270" t="s">
        <v>426</v>
      </c>
      <c r="Z50" s="270">
        <v>3</v>
      </c>
      <c r="AA50" s="270">
        <v>1039</v>
      </c>
      <c r="AB50" s="270" t="s">
        <v>125</v>
      </c>
      <c r="AC50" s="263">
        <v>134</v>
      </c>
      <c r="AD50" s="273">
        <v>695.65</v>
      </c>
    </row>
    <row r="51" spans="1:30" ht="15.75" thickTop="1" thickBot="1">
      <c r="A51" s="275"/>
      <c r="B51" s="261"/>
      <c r="C51" s="261"/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261"/>
      <c r="U51" s="261"/>
      <c r="V51" s="261"/>
      <c r="W51" s="261"/>
      <c r="X51" s="261"/>
      <c r="Y51" s="261"/>
      <c r="Z51" s="261"/>
      <c r="AA51" s="261"/>
      <c r="AB51" s="261"/>
      <c r="AC51" s="261"/>
      <c r="AD51" s="260"/>
    </row>
    <row r="52" spans="1:30" ht="61.5" thickTop="1" thickBot="1">
      <c r="A52" s="262" t="s">
        <v>397</v>
      </c>
      <c r="B52" s="263" t="s">
        <v>398</v>
      </c>
      <c r="C52" s="264" t="s">
        <v>158</v>
      </c>
      <c r="D52" s="264" t="s">
        <v>399</v>
      </c>
      <c r="E52" s="263" t="s">
        <v>400</v>
      </c>
      <c r="F52" s="263" t="s">
        <v>401</v>
      </c>
      <c r="G52" s="264" t="s">
        <v>158</v>
      </c>
      <c r="H52" s="264" t="s">
        <v>399</v>
      </c>
      <c r="I52" s="263" t="s">
        <v>402</v>
      </c>
      <c r="J52" s="263" t="s">
        <v>401</v>
      </c>
      <c r="K52" s="264" t="s">
        <v>158</v>
      </c>
      <c r="L52" s="264" t="s">
        <v>399</v>
      </c>
      <c r="M52" s="263" t="s">
        <v>403</v>
      </c>
      <c r="N52" s="266" t="s">
        <v>401</v>
      </c>
      <c r="O52" s="264" t="s">
        <v>207</v>
      </c>
      <c r="P52" s="264" t="s">
        <v>399</v>
      </c>
      <c r="Q52" s="264" t="s">
        <v>400</v>
      </c>
      <c r="R52" s="264" t="s">
        <v>401</v>
      </c>
      <c r="S52" s="263" t="s">
        <v>404</v>
      </c>
      <c r="T52" s="264" t="s">
        <v>207</v>
      </c>
      <c r="U52" s="264" t="s">
        <v>399</v>
      </c>
      <c r="V52" s="264" t="s">
        <v>405</v>
      </c>
      <c r="W52" s="264" t="s">
        <v>401</v>
      </c>
      <c r="X52" s="263" t="s">
        <v>404</v>
      </c>
      <c r="Y52" s="264" t="s">
        <v>207</v>
      </c>
      <c r="Z52" s="264" t="s">
        <v>399</v>
      </c>
      <c r="AA52" s="263" t="s">
        <v>406</v>
      </c>
      <c r="AB52" s="264" t="s">
        <v>401</v>
      </c>
      <c r="AC52" s="263" t="s">
        <v>407</v>
      </c>
      <c r="AD52" s="260"/>
    </row>
    <row r="53" spans="1:30" ht="16.5" thickTop="1" thickBot="1">
      <c r="A53" s="574" t="s">
        <v>433</v>
      </c>
      <c r="B53" s="266">
        <v>83</v>
      </c>
      <c r="C53" s="267" t="s">
        <v>428</v>
      </c>
      <c r="D53" s="267">
        <v>2</v>
      </c>
      <c r="E53" s="268">
        <v>76</v>
      </c>
      <c r="F53" s="268" t="s">
        <v>411</v>
      </c>
      <c r="G53" s="267" t="s">
        <v>410</v>
      </c>
      <c r="H53" s="267">
        <v>4</v>
      </c>
      <c r="I53" s="268">
        <v>190</v>
      </c>
      <c r="J53" s="268" t="s">
        <v>124</v>
      </c>
      <c r="K53" s="160" t="s">
        <v>409</v>
      </c>
      <c r="L53" s="267">
        <v>4</v>
      </c>
      <c r="M53" s="267">
        <v>156</v>
      </c>
      <c r="N53" s="157" t="s">
        <v>124</v>
      </c>
      <c r="O53" s="160" t="s">
        <v>429</v>
      </c>
      <c r="P53" s="160">
        <v>2</v>
      </c>
      <c r="Q53" s="160">
        <v>98</v>
      </c>
      <c r="R53" s="160" t="s">
        <v>411</v>
      </c>
      <c r="S53" s="268">
        <v>15</v>
      </c>
      <c r="T53" s="160" t="s">
        <v>413</v>
      </c>
      <c r="U53" s="160">
        <v>4</v>
      </c>
      <c r="V53" s="160">
        <v>212</v>
      </c>
      <c r="W53" s="160" t="s">
        <v>124</v>
      </c>
      <c r="X53" s="268">
        <v>25</v>
      </c>
      <c r="Y53" s="160" t="s">
        <v>412</v>
      </c>
      <c r="Z53" s="160">
        <v>4</v>
      </c>
      <c r="AA53" s="160">
        <v>171</v>
      </c>
      <c r="AB53" s="272" t="s">
        <v>124</v>
      </c>
      <c r="AC53" s="268">
        <v>19</v>
      </c>
      <c r="AD53" s="260"/>
    </row>
    <row r="54" spans="1:30" ht="15.75" thickBot="1">
      <c r="A54" s="575"/>
      <c r="B54" s="266">
        <v>96</v>
      </c>
      <c r="C54" s="267" t="s">
        <v>428</v>
      </c>
      <c r="D54" s="267">
        <v>2</v>
      </c>
      <c r="E54" s="268">
        <v>86</v>
      </c>
      <c r="F54" s="268" t="s">
        <v>124</v>
      </c>
      <c r="G54" s="267" t="s">
        <v>414</v>
      </c>
      <c r="H54" s="267">
        <v>3</v>
      </c>
      <c r="I54" s="268">
        <v>160</v>
      </c>
      <c r="J54" s="268" t="s">
        <v>25</v>
      </c>
      <c r="K54" s="160" t="s">
        <v>410</v>
      </c>
      <c r="L54" s="267">
        <v>4</v>
      </c>
      <c r="M54" s="267">
        <v>170</v>
      </c>
      <c r="N54" s="157" t="s">
        <v>411</v>
      </c>
      <c r="O54" s="160" t="s">
        <v>429</v>
      </c>
      <c r="P54" s="160">
        <v>2</v>
      </c>
      <c r="Q54" s="160">
        <v>128</v>
      </c>
      <c r="R54" s="160" t="s">
        <v>124</v>
      </c>
      <c r="S54" s="268">
        <v>15</v>
      </c>
      <c r="T54" s="160" t="s">
        <v>413</v>
      </c>
      <c r="U54" s="160">
        <v>4</v>
      </c>
      <c r="V54" s="160">
        <v>212</v>
      </c>
      <c r="W54" s="160" t="s">
        <v>124</v>
      </c>
      <c r="X54" s="268">
        <v>25</v>
      </c>
      <c r="Y54" s="160" t="s">
        <v>413</v>
      </c>
      <c r="Z54" s="160">
        <v>4</v>
      </c>
      <c r="AA54" s="160">
        <v>192</v>
      </c>
      <c r="AB54" s="272" t="s">
        <v>411</v>
      </c>
      <c r="AC54" s="268">
        <v>25</v>
      </c>
      <c r="AD54" s="260"/>
    </row>
    <row r="55" spans="1:30" ht="15.75" thickBot="1">
      <c r="A55" s="575"/>
      <c r="B55" s="266">
        <v>109</v>
      </c>
      <c r="C55" s="267" t="s">
        <v>430</v>
      </c>
      <c r="D55" s="267">
        <v>2</v>
      </c>
      <c r="E55" s="268">
        <v>102</v>
      </c>
      <c r="F55" s="268" t="s">
        <v>411</v>
      </c>
      <c r="G55" s="160" t="s">
        <v>414</v>
      </c>
      <c r="H55" s="267">
        <v>3</v>
      </c>
      <c r="I55" s="266">
        <v>190</v>
      </c>
      <c r="J55" s="268" t="s">
        <v>411</v>
      </c>
      <c r="K55" s="160" t="s">
        <v>410</v>
      </c>
      <c r="L55" s="160">
        <v>4</v>
      </c>
      <c r="M55" s="160">
        <v>190</v>
      </c>
      <c r="N55" s="157" t="s">
        <v>124</v>
      </c>
      <c r="O55" s="160" t="s">
        <v>412</v>
      </c>
      <c r="P55" s="160">
        <v>2</v>
      </c>
      <c r="Q55" s="160">
        <v>137</v>
      </c>
      <c r="R55" s="160" t="s">
        <v>411</v>
      </c>
      <c r="S55" s="268">
        <v>19</v>
      </c>
      <c r="T55" s="160" t="s">
        <v>431</v>
      </c>
      <c r="U55" s="160">
        <v>4</v>
      </c>
      <c r="V55" s="160">
        <v>260</v>
      </c>
      <c r="W55" s="160" t="s">
        <v>125</v>
      </c>
      <c r="X55" s="268">
        <v>30</v>
      </c>
      <c r="Y55" s="160" t="s">
        <v>413</v>
      </c>
      <c r="Z55" s="160">
        <v>4</v>
      </c>
      <c r="AA55" s="160">
        <v>248</v>
      </c>
      <c r="AB55" s="272" t="s">
        <v>124</v>
      </c>
      <c r="AC55" s="266">
        <v>25</v>
      </c>
      <c r="AD55" s="260"/>
    </row>
    <row r="56" spans="1:30" ht="15.75" thickBot="1">
      <c r="A56" s="575"/>
      <c r="B56" s="266">
        <v>126</v>
      </c>
      <c r="C56" s="267" t="s">
        <v>430</v>
      </c>
      <c r="D56" s="267">
        <v>2</v>
      </c>
      <c r="E56" s="268">
        <v>116</v>
      </c>
      <c r="F56" s="268" t="s">
        <v>124</v>
      </c>
      <c r="G56" s="160" t="s">
        <v>416</v>
      </c>
      <c r="H56" s="267">
        <v>3</v>
      </c>
      <c r="I56" s="266">
        <v>216</v>
      </c>
      <c r="J56" s="268" t="s">
        <v>125</v>
      </c>
      <c r="K56" s="267" t="s">
        <v>414</v>
      </c>
      <c r="L56" s="267">
        <v>3</v>
      </c>
      <c r="M56" s="267">
        <v>160</v>
      </c>
      <c r="N56" s="157" t="s">
        <v>25</v>
      </c>
      <c r="O56" s="160" t="s">
        <v>412</v>
      </c>
      <c r="P56" s="160">
        <v>2</v>
      </c>
      <c r="Q56" s="160">
        <v>171</v>
      </c>
      <c r="R56" s="160" t="s">
        <v>124</v>
      </c>
      <c r="S56" s="268">
        <v>19</v>
      </c>
      <c r="T56" s="160" t="s">
        <v>417</v>
      </c>
      <c r="U56" s="267">
        <v>3</v>
      </c>
      <c r="V56" s="267">
        <v>212</v>
      </c>
      <c r="W56" s="160" t="s">
        <v>411</v>
      </c>
      <c r="X56" s="268">
        <v>25</v>
      </c>
      <c r="Y56" s="160" t="s">
        <v>431</v>
      </c>
      <c r="Z56" s="267">
        <v>4</v>
      </c>
      <c r="AA56" s="267">
        <v>260</v>
      </c>
      <c r="AB56" s="272" t="s">
        <v>125</v>
      </c>
      <c r="AC56" s="266">
        <v>25</v>
      </c>
      <c r="AD56" s="260"/>
    </row>
    <row r="57" spans="1:30" ht="15.75" thickBot="1">
      <c r="A57" s="575"/>
      <c r="B57" s="266">
        <v>135</v>
      </c>
      <c r="C57" s="267" t="s">
        <v>409</v>
      </c>
      <c r="D57" s="267">
        <v>2</v>
      </c>
      <c r="E57" s="268">
        <v>122</v>
      </c>
      <c r="F57" s="268" t="s">
        <v>125</v>
      </c>
      <c r="G57" s="160" t="s">
        <v>416</v>
      </c>
      <c r="H57" s="267">
        <v>3</v>
      </c>
      <c r="I57" s="266">
        <v>240</v>
      </c>
      <c r="J57" s="268" t="s">
        <v>124</v>
      </c>
      <c r="K57" s="160" t="s">
        <v>414</v>
      </c>
      <c r="L57" s="267">
        <v>3</v>
      </c>
      <c r="M57" s="160">
        <v>190</v>
      </c>
      <c r="N57" s="157" t="s">
        <v>411</v>
      </c>
      <c r="O57" s="160" t="s">
        <v>412</v>
      </c>
      <c r="P57" s="160">
        <v>2</v>
      </c>
      <c r="Q57" s="160">
        <v>171</v>
      </c>
      <c r="R57" s="160" t="s">
        <v>124</v>
      </c>
      <c r="S57" s="268">
        <v>19</v>
      </c>
      <c r="T57" s="160" t="s">
        <v>417</v>
      </c>
      <c r="U57" s="267">
        <v>3</v>
      </c>
      <c r="V57" s="267">
        <v>212</v>
      </c>
      <c r="W57" s="160" t="s">
        <v>411</v>
      </c>
      <c r="X57" s="268">
        <v>25</v>
      </c>
      <c r="Y57" s="160" t="s">
        <v>417</v>
      </c>
      <c r="Z57" s="267">
        <v>3</v>
      </c>
      <c r="AA57" s="267">
        <v>212</v>
      </c>
      <c r="AB57" s="272" t="s">
        <v>411</v>
      </c>
      <c r="AC57" s="268">
        <v>25</v>
      </c>
      <c r="AD57" s="260"/>
    </row>
    <row r="58" spans="1:30" ht="15.75" thickBot="1">
      <c r="A58" s="575"/>
      <c r="B58" s="266">
        <v>152</v>
      </c>
      <c r="C58" s="267" t="s">
        <v>409</v>
      </c>
      <c r="D58" s="267">
        <v>2</v>
      </c>
      <c r="E58" s="268">
        <v>138</v>
      </c>
      <c r="F58" s="268" t="s">
        <v>411</v>
      </c>
      <c r="G58" s="160" t="s">
        <v>419</v>
      </c>
      <c r="H58" s="267">
        <v>3</v>
      </c>
      <c r="I58" s="266">
        <v>262</v>
      </c>
      <c r="J58" s="268" t="s">
        <v>420</v>
      </c>
      <c r="K58" s="160" t="s">
        <v>416</v>
      </c>
      <c r="L58" s="267">
        <v>3</v>
      </c>
      <c r="M58" s="160">
        <v>216</v>
      </c>
      <c r="N58" s="157" t="s">
        <v>125</v>
      </c>
      <c r="O58" s="160" t="s">
        <v>412</v>
      </c>
      <c r="P58" s="160">
        <v>2</v>
      </c>
      <c r="Q58" s="160">
        <v>171</v>
      </c>
      <c r="R58" s="160" t="s">
        <v>124</v>
      </c>
      <c r="S58" s="268">
        <v>19</v>
      </c>
      <c r="T58" s="160" t="s">
        <v>311</v>
      </c>
      <c r="U58" s="267">
        <v>3</v>
      </c>
      <c r="V58" s="267">
        <v>260</v>
      </c>
      <c r="W58" s="160" t="s">
        <v>125</v>
      </c>
      <c r="X58" s="268">
        <v>30</v>
      </c>
      <c r="Y58" s="160" t="s">
        <v>417</v>
      </c>
      <c r="Z58" s="267">
        <v>3</v>
      </c>
      <c r="AA58" s="267">
        <v>248</v>
      </c>
      <c r="AB58" s="272" t="s">
        <v>124</v>
      </c>
      <c r="AC58" s="266">
        <v>25</v>
      </c>
      <c r="AD58" s="260"/>
    </row>
    <row r="59" spans="1:30" ht="15.75" thickBot="1">
      <c r="A59" s="575"/>
      <c r="B59" s="266">
        <v>196</v>
      </c>
      <c r="C59" s="267" t="s">
        <v>432</v>
      </c>
      <c r="D59" s="267">
        <v>2</v>
      </c>
      <c r="E59" s="268">
        <v>178</v>
      </c>
      <c r="F59" s="268" t="s">
        <v>411</v>
      </c>
      <c r="G59" s="160" t="s">
        <v>419</v>
      </c>
      <c r="H59" s="267">
        <v>3</v>
      </c>
      <c r="I59" s="266">
        <v>350</v>
      </c>
      <c r="J59" s="268" t="s">
        <v>411</v>
      </c>
      <c r="K59" s="160" t="s">
        <v>416</v>
      </c>
      <c r="L59" s="267">
        <v>3</v>
      </c>
      <c r="M59" s="160">
        <v>240</v>
      </c>
      <c r="N59" s="157" t="s">
        <v>124</v>
      </c>
      <c r="O59" s="160" t="s">
        <v>413</v>
      </c>
      <c r="P59" s="160">
        <v>2</v>
      </c>
      <c r="Q59" s="160">
        <v>212</v>
      </c>
      <c r="R59" s="160" t="s">
        <v>124</v>
      </c>
      <c r="S59" s="268">
        <v>25</v>
      </c>
      <c r="T59" s="267" t="s">
        <v>421</v>
      </c>
      <c r="U59" s="267">
        <v>3</v>
      </c>
      <c r="V59" s="267">
        <v>335</v>
      </c>
      <c r="W59" s="160" t="s">
        <v>25</v>
      </c>
      <c r="X59" s="268">
        <v>43</v>
      </c>
      <c r="Y59" s="267" t="s">
        <v>311</v>
      </c>
      <c r="Z59" s="267">
        <v>3</v>
      </c>
      <c r="AA59" s="267">
        <v>300</v>
      </c>
      <c r="AB59" s="272" t="s">
        <v>124</v>
      </c>
      <c r="AC59" s="266">
        <v>43</v>
      </c>
      <c r="AD59" s="260"/>
    </row>
    <row r="60" spans="1:30" ht="15.75" thickBot="1">
      <c r="A60" s="575"/>
      <c r="B60" s="266">
        <v>243</v>
      </c>
      <c r="C60" s="267" t="s">
        <v>432</v>
      </c>
      <c r="D60" s="267">
        <v>2</v>
      </c>
      <c r="E60" s="268">
        <v>226</v>
      </c>
      <c r="F60" s="268" t="s">
        <v>124</v>
      </c>
      <c r="G60" s="160" t="s">
        <v>422</v>
      </c>
      <c r="H60" s="267">
        <v>3</v>
      </c>
      <c r="I60" s="266">
        <v>430</v>
      </c>
      <c r="J60" s="268" t="s">
        <v>125</v>
      </c>
      <c r="K60" s="160" t="s">
        <v>419</v>
      </c>
      <c r="L60" s="267">
        <v>3</v>
      </c>
      <c r="M60" s="160">
        <v>300</v>
      </c>
      <c r="N60" s="157" t="s">
        <v>25</v>
      </c>
      <c r="O60" s="160" t="s">
        <v>431</v>
      </c>
      <c r="P60" s="160">
        <v>2</v>
      </c>
      <c r="Q60" s="160">
        <v>260</v>
      </c>
      <c r="R60" s="160" t="s">
        <v>125</v>
      </c>
      <c r="S60" s="268">
        <v>30</v>
      </c>
      <c r="T60" s="160" t="s">
        <v>421</v>
      </c>
      <c r="U60" s="267">
        <v>3</v>
      </c>
      <c r="V60" s="267">
        <v>426</v>
      </c>
      <c r="W60" s="160" t="s">
        <v>124</v>
      </c>
      <c r="X60" s="268">
        <v>43</v>
      </c>
      <c r="Y60" s="160" t="s">
        <v>421</v>
      </c>
      <c r="Z60" s="267">
        <v>3</v>
      </c>
      <c r="AA60" s="267">
        <v>350</v>
      </c>
      <c r="AB60" s="272" t="s">
        <v>420</v>
      </c>
      <c r="AC60" s="266">
        <v>43</v>
      </c>
      <c r="AD60" s="260"/>
    </row>
    <row r="61" spans="1:30" ht="15.75" thickBot="1">
      <c r="A61" s="575"/>
      <c r="B61" s="266">
        <v>261</v>
      </c>
      <c r="C61" s="267" t="s">
        <v>418</v>
      </c>
      <c r="D61" s="267">
        <v>2</v>
      </c>
      <c r="E61" s="268">
        <v>138</v>
      </c>
      <c r="F61" s="268" t="s">
        <v>411</v>
      </c>
      <c r="G61" s="160" t="s">
        <v>422</v>
      </c>
      <c r="H61" s="267">
        <v>3</v>
      </c>
      <c r="I61" s="266">
        <v>414</v>
      </c>
      <c r="J61" s="268" t="s">
        <v>25</v>
      </c>
      <c r="K61" s="160" t="s">
        <v>419</v>
      </c>
      <c r="L61" s="267">
        <v>3</v>
      </c>
      <c r="M61" s="160">
        <v>350</v>
      </c>
      <c r="N61" s="157" t="s">
        <v>411</v>
      </c>
      <c r="O61" s="160" t="s">
        <v>417</v>
      </c>
      <c r="P61" s="267">
        <v>2</v>
      </c>
      <c r="Q61" s="267">
        <v>212</v>
      </c>
      <c r="R61" s="267" t="s">
        <v>411</v>
      </c>
      <c r="S61" s="268">
        <v>25</v>
      </c>
      <c r="T61" s="160" t="s">
        <v>421</v>
      </c>
      <c r="U61" s="267">
        <v>3</v>
      </c>
      <c r="V61" s="267">
        <v>426</v>
      </c>
      <c r="W61" s="267" t="s">
        <v>124</v>
      </c>
      <c r="X61" s="268">
        <v>43</v>
      </c>
      <c r="Y61" s="160" t="s">
        <v>421</v>
      </c>
      <c r="Z61" s="267">
        <v>3</v>
      </c>
      <c r="AA61" s="267">
        <v>408</v>
      </c>
      <c r="AB61" s="274" t="s">
        <v>411</v>
      </c>
      <c r="AC61" s="266">
        <v>43</v>
      </c>
      <c r="AD61" s="260"/>
    </row>
    <row r="62" spans="1:30" ht="15.75" thickBot="1">
      <c r="A62" s="575"/>
      <c r="B62" s="266">
        <v>304</v>
      </c>
      <c r="C62" s="160" t="s">
        <v>416</v>
      </c>
      <c r="D62" s="267">
        <v>2</v>
      </c>
      <c r="E62" s="266">
        <v>178</v>
      </c>
      <c r="F62" s="266" t="s">
        <v>420</v>
      </c>
      <c r="G62" s="160" t="s">
        <v>422</v>
      </c>
      <c r="H62" s="267">
        <v>3</v>
      </c>
      <c r="I62" s="266">
        <v>468</v>
      </c>
      <c r="J62" s="268" t="s">
        <v>411</v>
      </c>
      <c r="K62" s="160" t="s">
        <v>422</v>
      </c>
      <c r="L62" s="267">
        <v>3</v>
      </c>
      <c r="M62" s="160">
        <v>414</v>
      </c>
      <c r="N62" s="157" t="s">
        <v>25</v>
      </c>
      <c r="O62" s="160" t="s">
        <v>311</v>
      </c>
      <c r="P62" s="267">
        <v>2</v>
      </c>
      <c r="Q62" s="267">
        <v>260</v>
      </c>
      <c r="R62" s="267" t="s">
        <v>125</v>
      </c>
      <c r="S62" s="266">
        <v>30</v>
      </c>
      <c r="T62" s="160" t="s">
        <v>301</v>
      </c>
      <c r="U62" s="267">
        <v>3</v>
      </c>
      <c r="V62" s="267">
        <v>526</v>
      </c>
      <c r="W62" s="267" t="s">
        <v>25</v>
      </c>
      <c r="X62" s="266">
        <v>58</v>
      </c>
      <c r="Y62" s="160" t="s">
        <v>301</v>
      </c>
      <c r="Z62" s="267">
        <v>3</v>
      </c>
      <c r="AA62" s="267">
        <v>426</v>
      </c>
      <c r="AB62" s="274" t="s">
        <v>124</v>
      </c>
      <c r="AC62" s="266">
        <v>43</v>
      </c>
      <c r="AD62" s="260"/>
    </row>
    <row r="63" spans="1:30" ht="15.75" thickBot="1">
      <c r="A63" s="575"/>
      <c r="B63" s="266">
        <v>370</v>
      </c>
      <c r="C63" s="160" t="s">
        <v>416</v>
      </c>
      <c r="D63" s="267">
        <v>2</v>
      </c>
      <c r="E63" s="266">
        <v>200</v>
      </c>
      <c r="F63" s="266" t="s">
        <v>25</v>
      </c>
      <c r="G63" s="160" t="s">
        <v>424</v>
      </c>
      <c r="H63" s="267">
        <v>3</v>
      </c>
      <c r="I63" s="266">
        <v>553</v>
      </c>
      <c r="J63" s="268" t="s">
        <v>125</v>
      </c>
      <c r="K63" s="160" t="s">
        <v>424</v>
      </c>
      <c r="L63" s="267">
        <v>3</v>
      </c>
      <c r="M63" s="160">
        <v>468</v>
      </c>
      <c r="N63" s="157" t="s">
        <v>411</v>
      </c>
      <c r="O63" s="160" t="s">
        <v>311</v>
      </c>
      <c r="P63" s="267">
        <v>2</v>
      </c>
      <c r="Q63" s="267">
        <v>300</v>
      </c>
      <c r="R63" s="267" t="s">
        <v>124</v>
      </c>
      <c r="S63" s="266">
        <v>43</v>
      </c>
      <c r="T63" s="160" t="s">
        <v>301</v>
      </c>
      <c r="U63" s="267">
        <v>3</v>
      </c>
      <c r="V63" s="267">
        <v>592</v>
      </c>
      <c r="W63" s="267" t="s">
        <v>124</v>
      </c>
      <c r="X63" s="266">
        <v>58</v>
      </c>
      <c r="Y63" s="160" t="s">
        <v>301</v>
      </c>
      <c r="Z63" s="267">
        <v>3</v>
      </c>
      <c r="AA63" s="267">
        <v>526</v>
      </c>
      <c r="AB63" s="274" t="s">
        <v>25</v>
      </c>
      <c r="AC63" s="266">
        <v>58</v>
      </c>
      <c r="AD63" s="260"/>
    </row>
    <row r="64" spans="1:30" ht="15.75" thickBot="1">
      <c r="A64" s="575"/>
      <c r="B64" s="266">
        <v>413</v>
      </c>
      <c r="C64" s="160" t="s">
        <v>416</v>
      </c>
      <c r="D64" s="267">
        <v>2</v>
      </c>
      <c r="E64" s="266">
        <v>226</v>
      </c>
      <c r="F64" s="266" t="s">
        <v>125</v>
      </c>
      <c r="G64" s="160" t="s">
        <v>424</v>
      </c>
      <c r="H64" s="267">
        <v>3</v>
      </c>
      <c r="I64" s="266">
        <v>628</v>
      </c>
      <c r="J64" s="268" t="s">
        <v>411</v>
      </c>
      <c r="K64" s="160" t="s">
        <v>424</v>
      </c>
      <c r="L64" s="267">
        <v>3</v>
      </c>
      <c r="M64" s="160">
        <v>553</v>
      </c>
      <c r="N64" s="157" t="s">
        <v>125</v>
      </c>
      <c r="O64" s="160" t="s">
        <v>421</v>
      </c>
      <c r="P64" s="267">
        <v>2</v>
      </c>
      <c r="Q64" s="267">
        <v>377</v>
      </c>
      <c r="R64" s="267" t="s">
        <v>125</v>
      </c>
      <c r="S64" s="266">
        <v>43</v>
      </c>
      <c r="T64" s="267" t="s">
        <v>301</v>
      </c>
      <c r="U64" s="267">
        <v>3</v>
      </c>
      <c r="V64" s="267">
        <v>670</v>
      </c>
      <c r="W64" s="267" t="s">
        <v>125</v>
      </c>
      <c r="X64" s="266">
        <v>91</v>
      </c>
      <c r="Y64" s="267" t="s">
        <v>301</v>
      </c>
      <c r="Z64" s="267">
        <v>3</v>
      </c>
      <c r="AA64" s="267">
        <v>592</v>
      </c>
      <c r="AB64" s="274" t="s">
        <v>124</v>
      </c>
      <c r="AC64" s="266">
        <v>58</v>
      </c>
      <c r="AD64" s="260"/>
    </row>
    <row r="65" spans="1:30" ht="15.75" thickBot="1">
      <c r="A65" s="575"/>
      <c r="B65" s="266">
        <v>435</v>
      </c>
      <c r="C65" s="160" t="s">
        <v>419</v>
      </c>
      <c r="D65" s="267">
        <v>2</v>
      </c>
      <c r="E65" s="266">
        <v>262</v>
      </c>
      <c r="F65" s="266" t="s">
        <v>420</v>
      </c>
      <c r="G65" s="160" t="s">
        <v>424</v>
      </c>
      <c r="H65" s="267">
        <v>3</v>
      </c>
      <c r="I65" s="266">
        <v>708</v>
      </c>
      <c r="J65" s="268" t="s">
        <v>124</v>
      </c>
      <c r="K65" s="160" t="s">
        <v>424</v>
      </c>
      <c r="L65" s="267">
        <v>3</v>
      </c>
      <c r="M65" s="160">
        <v>553</v>
      </c>
      <c r="N65" s="157" t="s">
        <v>125</v>
      </c>
      <c r="O65" s="160" t="s">
        <v>421</v>
      </c>
      <c r="P65" s="267">
        <v>2</v>
      </c>
      <c r="Q65" s="267">
        <v>377</v>
      </c>
      <c r="R65" s="267" t="s">
        <v>125</v>
      </c>
      <c r="S65" s="266">
        <v>43</v>
      </c>
      <c r="T65" s="267" t="s">
        <v>308</v>
      </c>
      <c r="U65" s="267">
        <v>2</v>
      </c>
      <c r="V65" s="267">
        <v>775</v>
      </c>
      <c r="W65" s="267" t="s">
        <v>411</v>
      </c>
      <c r="X65" s="266">
        <v>91</v>
      </c>
      <c r="Y65" s="267" t="s">
        <v>301</v>
      </c>
      <c r="Z65" s="267">
        <v>2</v>
      </c>
      <c r="AA65" s="267">
        <v>670</v>
      </c>
      <c r="AB65" s="274" t="s">
        <v>125</v>
      </c>
      <c r="AC65" s="266">
        <v>91</v>
      </c>
      <c r="AD65" s="260"/>
    </row>
    <row r="66" spans="1:30" ht="15.75" thickBot="1">
      <c r="A66" s="575"/>
      <c r="B66" s="266">
        <v>478</v>
      </c>
      <c r="C66" s="160" t="s">
        <v>419</v>
      </c>
      <c r="D66" s="267">
        <v>2</v>
      </c>
      <c r="E66" s="266">
        <v>300</v>
      </c>
      <c r="F66" s="266" t="s">
        <v>25</v>
      </c>
      <c r="G66" s="160" t="s">
        <v>425</v>
      </c>
      <c r="H66" s="267">
        <v>3</v>
      </c>
      <c r="I66" s="266">
        <v>781</v>
      </c>
      <c r="J66" s="268" t="s">
        <v>125</v>
      </c>
      <c r="K66" s="160" t="s">
        <v>424</v>
      </c>
      <c r="L66" s="267">
        <v>3</v>
      </c>
      <c r="M66" s="160">
        <v>628</v>
      </c>
      <c r="N66" s="157" t="s">
        <v>411</v>
      </c>
      <c r="O66" s="160" t="s">
        <v>421</v>
      </c>
      <c r="P66" s="267">
        <v>2</v>
      </c>
      <c r="Q66" s="267">
        <v>426</v>
      </c>
      <c r="R66" s="267" t="s">
        <v>124</v>
      </c>
      <c r="S66" s="266">
        <v>43</v>
      </c>
      <c r="T66" s="267" t="s">
        <v>308</v>
      </c>
      <c r="U66" s="267">
        <v>3</v>
      </c>
      <c r="V66" s="267">
        <v>775</v>
      </c>
      <c r="W66" s="267" t="s">
        <v>411</v>
      </c>
      <c r="X66" s="266">
        <v>91</v>
      </c>
      <c r="Y66" s="267" t="s">
        <v>301</v>
      </c>
      <c r="Z66" s="267">
        <v>3</v>
      </c>
      <c r="AA66" s="267">
        <v>775</v>
      </c>
      <c r="AB66" s="274" t="s">
        <v>411</v>
      </c>
      <c r="AC66" s="266">
        <v>91</v>
      </c>
      <c r="AD66" s="260"/>
    </row>
    <row r="67" spans="1:30" ht="15.75" thickBot="1">
      <c r="A67" s="575"/>
      <c r="B67" s="266">
        <v>565</v>
      </c>
      <c r="C67" s="160" t="s">
        <v>419</v>
      </c>
      <c r="D67" s="267">
        <v>2</v>
      </c>
      <c r="E67" s="266">
        <v>330</v>
      </c>
      <c r="F67" s="266" t="s">
        <v>125</v>
      </c>
      <c r="G67" s="160" t="s">
        <v>425</v>
      </c>
      <c r="H67" s="267">
        <v>3</v>
      </c>
      <c r="I67" s="266">
        <v>859</v>
      </c>
      <c r="J67" s="268" t="s">
        <v>411</v>
      </c>
      <c r="K67" s="160" t="s">
        <v>425</v>
      </c>
      <c r="L67" s="267">
        <v>3</v>
      </c>
      <c r="M67" s="160">
        <v>781</v>
      </c>
      <c r="N67" s="157" t="s">
        <v>125</v>
      </c>
      <c r="O67" s="160" t="s">
        <v>301</v>
      </c>
      <c r="P67" s="267">
        <v>2</v>
      </c>
      <c r="Q67" s="267">
        <v>526</v>
      </c>
      <c r="R67" s="267" t="s">
        <v>25</v>
      </c>
      <c r="S67" s="266">
        <v>58</v>
      </c>
      <c r="T67" s="267" t="s">
        <v>308</v>
      </c>
      <c r="U67" s="267">
        <v>2</v>
      </c>
      <c r="V67" s="267">
        <v>911</v>
      </c>
      <c r="W67" s="267" t="s">
        <v>124</v>
      </c>
      <c r="X67" s="266">
        <v>91</v>
      </c>
      <c r="Y67" s="267" t="s">
        <v>308</v>
      </c>
      <c r="Z67" s="267">
        <v>2</v>
      </c>
      <c r="AA67" s="267">
        <v>775</v>
      </c>
      <c r="AB67" s="274" t="s">
        <v>411</v>
      </c>
      <c r="AC67" s="266">
        <v>91</v>
      </c>
      <c r="AD67" s="260"/>
    </row>
    <row r="68" spans="1:30" ht="15.75" thickBot="1">
      <c r="A68" s="575"/>
      <c r="B68" s="266">
        <v>609</v>
      </c>
      <c r="C68" s="160" t="s">
        <v>422</v>
      </c>
      <c r="D68" s="267">
        <v>2</v>
      </c>
      <c r="E68" s="266">
        <v>414</v>
      </c>
      <c r="F68" s="266" t="s">
        <v>25</v>
      </c>
      <c r="G68" s="160" t="s">
        <v>425</v>
      </c>
      <c r="H68" s="267">
        <v>3</v>
      </c>
      <c r="I68" s="266">
        <v>945</v>
      </c>
      <c r="J68" s="268" t="s">
        <v>124</v>
      </c>
      <c r="K68" s="160" t="s">
        <v>425</v>
      </c>
      <c r="L68" s="267">
        <v>3</v>
      </c>
      <c r="M68" s="160">
        <v>859</v>
      </c>
      <c r="N68" s="157" t="s">
        <v>411</v>
      </c>
      <c r="O68" s="160" t="s">
        <v>301</v>
      </c>
      <c r="P68" s="267">
        <v>2</v>
      </c>
      <c r="Q68" s="267">
        <v>584</v>
      </c>
      <c r="R68" s="267" t="s">
        <v>411</v>
      </c>
      <c r="S68" s="266">
        <v>58</v>
      </c>
      <c r="T68" s="267" t="s">
        <v>426</v>
      </c>
      <c r="U68" s="267">
        <v>3</v>
      </c>
      <c r="V68" s="267">
        <v>1039</v>
      </c>
      <c r="W68" s="267" t="s">
        <v>125</v>
      </c>
      <c r="X68" s="266">
        <v>134</v>
      </c>
      <c r="Y68" s="267" t="s">
        <v>308</v>
      </c>
      <c r="Z68" s="267">
        <v>3</v>
      </c>
      <c r="AA68" s="267">
        <v>911</v>
      </c>
      <c r="AB68" s="274" t="s">
        <v>124</v>
      </c>
      <c r="AC68" s="266">
        <v>91</v>
      </c>
      <c r="AD68" s="260"/>
    </row>
    <row r="69" spans="1:30" ht="15.75" thickBot="1">
      <c r="A69" s="576"/>
      <c r="B69" s="263">
        <v>696</v>
      </c>
      <c r="C69" s="264" t="s">
        <v>422</v>
      </c>
      <c r="D69" s="270">
        <v>2</v>
      </c>
      <c r="E69" s="263">
        <v>488</v>
      </c>
      <c r="F69" s="263" t="s">
        <v>124</v>
      </c>
      <c r="G69" s="597"/>
      <c r="H69" s="598"/>
      <c r="I69" s="598"/>
      <c r="J69" s="599"/>
      <c r="K69" s="264" t="s">
        <v>425</v>
      </c>
      <c r="L69" s="270">
        <v>3</v>
      </c>
      <c r="M69" s="264">
        <v>945</v>
      </c>
      <c r="N69" s="157" t="s">
        <v>124</v>
      </c>
      <c r="O69" s="264" t="s">
        <v>301</v>
      </c>
      <c r="P69" s="270">
        <v>2</v>
      </c>
      <c r="Q69" s="270">
        <v>584</v>
      </c>
      <c r="R69" s="270" t="s">
        <v>411</v>
      </c>
      <c r="S69" s="271">
        <v>58</v>
      </c>
      <c r="T69" s="270" t="s">
        <v>426</v>
      </c>
      <c r="U69" s="270">
        <v>3</v>
      </c>
      <c r="V69" s="270">
        <v>1180</v>
      </c>
      <c r="W69" s="270" t="s">
        <v>411</v>
      </c>
      <c r="X69" s="263">
        <v>134</v>
      </c>
      <c r="Y69" s="270" t="s">
        <v>426</v>
      </c>
      <c r="Z69" s="270">
        <v>3</v>
      </c>
      <c r="AA69" s="270">
        <v>1039</v>
      </c>
      <c r="AB69" s="270" t="s">
        <v>125</v>
      </c>
      <c r="AC69" s="263">
        <v>134</v>
      </c>
      <c r="AD69" s="260"/>
    </row>
    <row r="70" spans="1:30" ht="15.75" thickTop="1" thickBot="1">
      <c r="A70" s="260"/>
      <c r="B70" s="260"/>
      <c r="C70" s="260"/>
      <c r="D70" s="260"/>
      <c r="E70" s="260"/>
      <c r="F70" s="260"/>
      <c r="G70" s="260"/>
      <c r="H70" s="260"/>
      <c r="I70" s="260"/>
      <c r="J70" s="260"/>
      <c r="K70" s="260"/>
      <c r="L70" s="260"/>
      <c r="M70" s="260"/>
      <c r="N70" s="260"/>
      <c r="O70" s="260"/>
      <c r="P70" s="260"/>
      <c r="Q70" s="260"/>
      <c r="R70" s="260"/>
      <c r="S70" s="260"/>
      <c r="T70" s="260"/>
      <c r="U70" s="260"/>
      <c r="V70" s="260"/>
      <c r="W70" s="260"/>
      <c r="X70" s="260"/>
      <c r="Y70" s="260"/>
      <c r="Z70" s="260"/>
      <c r="AA70" s="260"/>
      <c r="AB70" s="260"/>
      <c r="AC70" s="260"/>
      <c r="AD70" s="260"/>
    </row>
    <row r="71" spans="1:30" ht="15" thickBot="1">
      <c r="A71" s="260"/>
      <c r="B71" s="260"/>
      <c r="C71" s="260"/>
      <c r="D71" s="260"/>
      <c r="E71" s="260"/>
      <c r="F71" s="260"/>
      <c r="G71" s="260"/>
      <c r="H71" s="260"/>
      <c r="I71" s="260"/>
      <c r="J71" s="260"/>
      <c r="K71" s="260"/>
      <c r="L71" s="260"/>
      <c r="M71" s="260"/>
      <c r="N71" s="260"/>
      <c r="O71" s="260"/>
      <c r="P71" s="260"/>
      <c r="Q71" s="260"/>
      <c r="R71" s="260"/>
      <c r="S71" s="260"/>
      <c r="T71" s="260"/>
      <c r="U71" s="260"/>
      <c r="V71" s="260"/>
      <c r="W71" s="260"/>
      <c r="X71" s="260"/>
      <c r="Y71" s="260"/>
      <c r="Z71" s="260"/>
      <c r="AA71" s="260"/>
      <c r="AB71" s="260"/>
      <c r="AC71" s="260"/>
      <c r="AD71" s="260"/>
    </row>
    <row r="72" spans="1:30" ht="15" thickBot="1">
      <c r="A72" s="260"/>
      <c r="B72" s="260"/>
      <c r="C72" s="260"/>
      <c r="D72" s="260"/>
      <c r="E72" s="260"/>
      <c r="F72" s="260"/>
      <c r="G72" s="260"/>
      <c r="H72" s="260"/>
      <c r="I72" s="260"/>
      <c r="J72" s="260"/>
      <c r="K72" s="260"/>
      <c r="L72" s="260"/>
      <c r="M72" s="260"/>
      <c r="N72" s="260"/>
      <c r="O72" s="260"/>
      <c r="P72" s="260"/>
      <c r="Q72" s="260"/>
      <c r="R72" s="260"/>
      <c r="S72" s="260"/>
      <c r="T72" s="260"/>
      <c r="U72" s="260"/>
      <c r="V72" s="260"/>
      <c r="W72" s="260"/>
      <c r="X72" s="260"/>
      <c r="Y72" s="260"/>
      <c r="Z72" s="260"/>
      <c r="AA72" s="260"/>
      <c r="AB72" s="260"/>
      <c r="AC72" s="260"/>
      <c r="AD72" s="260"/>
    </row>
    <row r="73" spans="1:30" ht="15" thickBot="1">
      <c r="A73" s="260"/>
      <c r="B73" s="260"/>
      <c r="C73" s="260"/>
      <c r="D73" s="260"/>
      <c r="E73" s="260"/>
      <c r="F73" s="260"/>
      <c r="G73" s="260"/>
      <c r="H73" s="260"/>
      <c r="I73" s="260"/>
      <c r="J73" s="260"/>
      <c r="K73" s="260"/>
      <c r="L73" s="260"/>
      <c r="M73" s="260"/>
      <c r="N73" s="260"/>
      <c r="O73" s="260"/>
      <c r="P73" s="260"/>
      <c r="Q73" s="260"/>
      <c r="R73" s="260"/>
      <c r="S73" s="260"/>
      <c r="T73" s="260"/>
      <c r="U73" s="260"/>
      <c r="V73" s="260"/>
      <c r="W73" s="260"/>
      <c r="X73" s="260"/>
      <c r="Y73" s="260"/>
      <c r="Z73" s="260"/>
      <c r="AA73" s="260"/>
      <c r="AB73" s="260"/>
      <c r="AC73" s="260"/>
      <c r="AD73" s="260"/>
    </row>
    <row r="74" spans="1:30" ht="15" thickBot="1">
      <c r="A74" s="260"/>
      <c r="B74" s="260"/>
      <c r="C74" s="260"/>
      <c r="D74" s="260"/>
      <c r="E74" s="260"/>
      <c r="F74" s="260"/>
      <c r="G74" s="260"/>
      <c r="H74" s="260"/>
      <c r="I74" s="260"/>
      <c r="J74" s="260"/>
      <c r="K74" s="260"/>
      <c r="L74" s="260"/>
      <c r="M74" s="260"/>
      <c r="N74" s="260"/>
      <c r="O74" s="260"/>
      <c r="P74" s="260"/>
      <c r="Q74" s="260"/>
      <c r="R74" s="260"/>
      <c r="S74" s="260"/>
      <c r="T74" s="260"/>
      <c r="U74" s="260"/>
      <c r="V74" s="260"/>
      <c r="W74" s="260"/>
      <c r="X74" s="260"/>
      <c r="Y74" s="260"/>
      <c r="Z74" s="260"/>
      <c r="AA74" s="260"/>
      <c r="AB74" s="260"/>
      <c r="AC74" s="260"/>
      <c r="AD74" s="260"/>
    </row>
    <row r="75" spans="1:30" ht="15" thickBot="1">
      <c r="A75" s="260"/>
      <c r="B75" s="260"/>
      <c r="C75" s="260"/>
      <c r="D75" s="260"/>
      <c r="E75" s="260"/>
      <c r="F75" s="260"/>
      <c r="G75" s="260"/>
      <c r="H75" s="260"/>
      <c r="I75" s="260"/>
      <c r="J75" s="260"/>
      <c r="K75" s="260"/>
      <c r="L75" s="260"/>
      <c r="M75" s="260"/>
      <c r="N75" s="260"/>
      <c r="O75" s="260"/>
      <c r="P75" s="260"/>
      <c r="Q75" s="260"/>
      <c r="R75" s="260"/>
      <c r="S75" s="260"/>
      <c r="T75" s="260"/>
      <c r="U75" s="260"/>
      <c r="V75" s="260"/>
      <c r="W75" s="260"/>
      <c r="X75" s="260"/>
      <c r="Y75" s="260"/>
      <c r="Z75" s="260"/>
      <c r="AA75" s="260"/>
      <c r="AB75" s="260"/>
      <c r="AC75" s="260"/>
      <c r="AD75" s="260"/>
    </row>
    <row r="76" spans="1:30" ht="15" thickBot="1">
      <c r="A76" s="260"/>
      <c r="B76" s="260"/>
      <c r="C76" s="260"/>
      <c r="D76" s="260"/>
      <c r="E76" s="260"/>
      <c r="F76" s="260"/>
      <c r="G76" s="260"/>
      <c r="H76" s="260"/>
      <c r="I76" s="260"/>
      <c r="J76" s="260"/>
      <c r="K76" s="260"/>
      <c r="L76" s="260"/>
      <c r="M76" s="260"/>
      <c r="N76" s="260"/>
      <c r="O76" s="260"/>
      <c r="P76" s="260"/>
      <c r="Q76" s="260"/>
      <c r="R76" s="260"/>
      <c r="S76" s="260"/>
      <c r="T76" s="260"/>
      <c r="U76" s="260"/>
      <c r="V76" s="260"/>
      <c r="W76" s="260"/>
      <c r="X76" s="260"/>
      <c r="Y76" s="260"/>
      <c r="Z76" s="260"/>
      <c r="AA76" s="260"/>
      <c r="AB76" s="260"/>
      <c r="AC76" s="260"/>
      <c r="AD76" s="260"/>
    </row>
    <row r="77" spans="1:30" ht="15" thickBot="1">
      <c r="A77" s="260"/>
      <c r="B77" s="260"/>
      <c r="C77" s="260"/>
      <c r="D77" s="260"/>
      <c r="E77" s="260"/>
      <c r="F77" s="260"/>
      <c r="G77" s="260"/>
      <c r="H77" s="260"/>
      <c r="I77" s="260"/>
      <c r="J77" s="260"/>
      <c r="K77" s="260"/>
      <c r="L77" s="260"/>
      <c r="M77" s="260"/>
      <c r="N77" s="260"/>
      <c r="O77" s="260"/>
      <c r="P77" s="260"/>
      <c r="Q77" s="260"/>
      <c r="R77" s="260"/>
      <c r="S77" s="260"/>
      <c r="T77" s="260"/>
      <c r="U77" s="260"/>
      <c r="V77" s="260"/>
      <c r="W77" s="260"/>
      <c r="X77" s="260"/>
      <c r="Y77" s="260"/>
      <c r="Z77" s="260"/>
      <c r="AA77" s="260"/>
      <c r="AB77" s="260"/>
      <c r="AC77" s="260"/>
      <c r="AD77" s="260"/>
    </row>
    <row r="78" spans="1:30" ht="15" thickBot="1">
      <c r="A78" s="260"/>
      <c r="B78" s="260"/>
      <c r="C78" s="260"/>
      <c r="D78" s="260"/>
      <c r="E78" s="260"/>
      <c r="F78" s="260"/>
      <c r="G78" s="260"/>
      <c r="H78" s="260"/>
      <c r="I78" s="260"/>
      <c r="J78" s="260"/>
      <c r="K78" s="260"/>
      <c r="L78" s="260"/>
      <c r="M78" s="260"/>
      <c r="N78" s="260"/>
      <c r="O78" s="260"/>
      <c r="P78" s="260"/>
      <c r="Q78" s="260"/>
      <c r="R78" s="260"/>
      <c r="S78" s="260"/>
      <c r="T78" s="260"/>
      <c r="U78" s="260"/>
      <c r="V78" s="260"/>
      <c r="W78" s="260"/>
      <c r="X78" s="260"/>
      <c r="Y78" s="260"/>
      <c r="Z78" s="260"/>
      <c r="AA78" s="260"/>
      <c r="AB78" s="260"/>
      <c r="AC78" s="260"/>
      <c r="AD78" s="260"/>
    </row>
    <row r="79" spans="1:30" ht="15" thickBot="1">
      <c r="A79" s="260"/>
      <c r="B79" s="260"/>
      <c r="C79" s="260"/>
      <c r="D79" s="260"/>
      <c r="E79" s="260"/>
      <c r="F79" s="260"/>
      <c r="G79" s="260"/>
      <c r="H79" s="260"/>
      <c r="I79" s="260"/>
      <c r="J79" s="260"/>
      <c r="K79" s="260"/>
      <c r="L79" s="260"/>
      <c r="M79" s="260"/>
      <c r="N79" s="260"/>
      <c r="O79" s="260"/>
      <c r="P79" s="260"/>
      <c r="Q79" s="260"/>
      <c r="R79" s="260"/>
      <c r="S79" s="260"/>
      <c r="T79" s="260"/>
      <c r="U79" s="260"/>
      <c r="V79" s="260"/>
      <c r="W79" s="260"/>
      <c r="X79" s="260"/>
      <c r="Y79" s="260"/>
      <c r="Z79" s="260"/>
      <c r="AA79" s="260"/>
      <c r="AB79" s="260"/>
      <c r="AC79" s="260"/>
      <c r="AD79" s="260"/>
    </row>
    <row r="80" spans="1:30" ht="15" thickBot="1">
      <c r="A80" s="260"/>
      <c r="B80" s="260"/>
      <c r="C80" s="260"/>
      <c r="D80" s="260"/>
      <c r="E80" s="260"/>
      <c r="F80" s="260"/>
      <c r="G80" s="260"/>
      <c r="H80" s="260"/>
      <c r="I80" s="260"/>
      <c r="J80" s="260"/>
      <c r="K80" s="260"/>
      <c r="L80" s="260"/>
      <c r="M80" s="260"/>
      <c r="N80" s="260"/>
      <c r="O80" s="260"/>
      <c r="P80" s="260"/>
      <c r="Q80" s="260"/>
      <c r="R80" s="260"/>
      <c r="S80" s="260"/>
      <c r="T80" s="260"/>
      <c r="U80" s="260"/>
      <c r="V80" s="260"/>
      <c r="W80" s="260"/>
      <c r="X80" s="260"/>
      <c r="Y80" s="260"/>
      <c r="Z80" s="260"/>
      <c r="AA80" s="260"/>
      <c r="AB80" s="260"/>
      <c r="AC80" s="260"/>
      <c r="AD80" s="260"/>
    </row>
    <row r="81" spans="1:30" ht="15" thickBot="1">
      <c r="A81" s="260"/>
      <c r="B81" s="260"/>
      <c r="C81" s="260"/>
      <c r="D81" s="260"/>
      <c r="E81" s="260"/>
      <c r="F81" s="260"/>
      <c r="G81" s="260"/>
      <c r="H81" s="260"/>
      <c r="I81" s="260"/>
      <c r="J81" s="260"/>
      <c r="K81" s="260"/>
      <c r="L81" s="260"/>
      <c r="M81" s="260"/>
      <c r="N81" s="260"/>
      <c r="O81" s="260"/>
      <c r="P81" s="260"/>
      <c r="Q81" s="260"/>
      <c r="R81" s="260"/>
      <c r="S81" s="260"/>
      <c r="T81" s="260"/>
      <c r="U81" s="260"/>
      <c r="V81" s="260"/>
      <c r="W81" s="260"/>
      <c r="X81" s="260"/>
      <c r="Y81" s="260"/>
      <c r="Z81" s="260"/>
      <c r="AA81" s="260"/>
      <c r="AB81" s="260"/>
      <c r="AC81" s="260"/>
      <c r="AD81" s="260"/>
    </row>
    <row r="82" spans="1:30" ht="15" thickBot="1">
      <c r="A82" s="260"/>
      <c r="B82" s="260"/>
      <c r="C82" s="260"/>
      <c r="D82" s="260"/>
      <c r="E82" s="260"/>
      <c r="F82" s="260"/>
      <c r="G82" s="260"/>
      <c r="H82" s="260"/>
      <c r="I82" s="260"/>
      <c r="J82" s="260"/>
      <c r="K82" s="260"/>
      <c r="L82" s="260"/>
      <c r="M82" s="260"/>
      <c r="N82" s="260"/>
      <c r="O82" s="260"/>
      <c r="P82" s="260"/>
      <c r="Q82" s="260"/>
      <c r="R82" s="260"/>
      <c r="S82" s="260"/>
      <c r="T82" s="260"/>
      <c r="U82" s="260"/>
      <c r="V82" s="260"/>
      <c r="W82" s="260"/>
      <c r="X82" s="260"/>
      <c r="Y82" s="260"/>
      <c r="Z82" s="260"/>
      <c r="AA82" s="260"/>
      <c r="AB82" s="260"/>
      <c r="AC82" s="260"/>
      <c r="AD82" s="260"/>
    </row>
    <row r="83" spans="1:30" ht="15" thickBot="1">
      <c r="A83" s="260"/>
      <c r="B83" s="260"/>
      <c r="C83" s="260"/>
      <c r="D83" s="260"/>
      <c r="E83" s="260"/>
      <c r="F83" s="260"/>
      <c r="G83" s="260"/>
      <c r="H83" s="260"/>
      <c r="I83" s="260"/>
      <c r="J83" s="260"/>
      <c r="K83" s="260"/>
      <c r="L83" s="260"/>
      <c r="M83" s="260"/>
      <c r="N83" s="260"/>
      <c r="O83" s="260"/>
      <c r="P83" s="260"/>
      <c r="Q83" s="260"/>
      <c r="R83" s="260"/>
      <c r="S83" s="260"/>
      <c r="T83" s="260"/>
      <c r="U83" s="260"/>
      <c r="V83" s="260"/>
      <c r="W83" s="260"/>
      <c r="X83" s="260"/>
      <c r="Y83" s="260"/>
      <c r="Z83" s="260"/>
      <c r="AA83" s="260"/>
      <c r="AB83" s="260"/>
      <c r="AC83" s="260"/>
      <c r="AD83" s="260"/>
    </row>
    <row r="84" spans="1:30" ht="15" thickBot="1">
      <c r="A84" s="260"/>
      <c r="B84" s="260"/>
      <c r="C84" s="260"/>
      <c r="D84" s="260"/>
      <c r="E84" s="260"/>
      <c r="F84" s="260"/>
      <c r="G84" s="260"/>
      <c r="H84" s="260"/>
      <c r="I84" s="260"/>
      <c r="J84" s="260"/>
      <c r="K84" s="260"/>
      <c r="L84" s="260"/>
      <c r="M84" s="260"/>
      <c r="N84" s="260"/>
      <c r="O84" s="260"/>
      <c r="P84" s="260"/>
      <c r="Q84" s="260"/>
      <c r="R84" s="260"/>
      <c r="S84" s="260"/>
      <c r="T84" s="260"/>
      <c r="U84" s="260"/>
      <c r="V84" s="260"/>
      <c r="W84" s="260"/>
      <c r="X84" s="260"/>
      <c r="Y84" s="260"/>
      <c r="Z84" s="260"/>
      <c r="AA84" s="260"/>
      <c r="AB84" s="260"/>
      <c r="AC84" s="260"/>
      <c r="AD84" s="260"/>
    </row>
    <row r="85" spans="1:30" ht="15" thickBot="1">
      <c r="A85" s="260"/>
      <c r="B85" s="260"/>
      <c r="C85" s="260"/>
      <c r="D85" s="260"/>
      <c r="E85" s="260"/>
      <c r="F85" s="260"/>
      <c r="G85" s="260"/>
      <c r="H85" s="260"/>
      <c r="I85" s="260"/>
      <c r="J85" s="260"/>
      <c r="K85" s="260"/>
      <c r="L85" s="260"/>
      <c r="M85" s="260"/>
      <c r="N85" s="260"/>
      <c r="O85" s="260"/>
      <c r="P85" s="260"/>
      <c r="Q85" s="260"/>
      <c r="R85" s="260"/>
      <c r="S85" s="260"/>
      <c r="T85" s="260"/>
      <c r="U85" s="260"/>
      <c r="V85" s="260"/>
      <c r="W85" s="260"/>
      <c r="X85" s="260"/>
      <c r="Y85" s="260"/>
      <c r="Z85" s="260"/>
      <c r="AA85" s="260"/>
      <c r="AB85" s="260"/>
      <c r="AC85" s="260"/>
      <c r="AD85" s="260"/>
    </row>
    <row r="86" spans="1:30" ht="15" thickBot="1">
      <c r="A86" s="260"/>
      <c r="B86" s="260"/>
      <c r="C86" s="260"/>
      <c r="D86" s="260"/>
      <c r="E86" s="260"/>
      <c r="F86" s="260"/>
      <c r="G86" s="260"/>
      <c r="H86" s="260"/>
      <c r="I86" s="260"/>
      <c r="J86" s="260"/>
      <c r="K86" s="260"/>
      <c r="L86" s="260"/>
      <c r="M86" s="260"/>
      <c r="N86" s="260"/>
      <c r="O86" s="260"/>
      <c r="P86" s="260"/>
      <c r="Q86" s="260"/>
      <c r="R86" s="260"/>
      <c r="S86" s="260"/>
      <c r="T86" s="260"/>
      <c r="U86" s="260"/>
      <c r="V86" s="260"/>
      <c r="W86" s="260"/>
      <c r="X86" s="260"/>
      <c r="Y86" s="260"/>
      <c r="Z86" s="260"/>
      <c r="AA86" s="260"/>
      <c r="AB86" s="260"/>
      <c r="AC86" s="260"/>
      <c r="AD86" s="260"/>
    </row>
    <row r="87" spans="1:30" ht="15" thickBot="1">
      <c r="A87" s="260"/>
      <c r="B87" s="260"/>
      <c r="C87" s="260"/>
      <c r="D87" s="260"/>
      <c r="E87" s="260"/>
      <c r="F87" s="260"/>
      <c r="G87" s="260"/>
      <c r="H87" s="260"/>
      <c r="I87" s="260"/>
      <c r="J87" s="260"/>
      <c r="K87" s="260"/>
      <c r="L87" s="260"/>
      <c r="M87" s="260"/>
      <c r="N87" s="260"/>
      <c r="O87" s="260"/>
      <c r="P87" s="260"/>
      <c r="Q87" s="260"/>
      <c r="R87" s="260"/>
      <c r="S87" s="260"/>
      <c r="T87" s="260"/>
      <c r="U87" s="260"/>
      <c r="V87" s="260"/>
      <c r="W87" s="260"/>
      <c r="X87" s="260"/>
      <c r="Y87" s="260"/>
      <c r="Z87" s="260"/>
      <c r="AA87" s="260"/>
      <c r="AB87" s="260"/>
      <c r="AC87" s="260"/>
      <c r="AD87" s="260"/>
    </row>
    <row r="88" spans="1:30" ht="15" thickBot="1">
      <c r="A88" s="260"/>
      <c r="B88" s="260"/>
      <c r="C88" s="260"/>
      <c r="D88" s="260"/>
      <c r="E88" s="260"/>
      <c r="F88" s="260"/>
      <c r="G88" s="260"/>
      <c r="H88" s="260"/>
      <c r="I88" s="260"/>
      <c r="J88" s="260"/>
      <c r="K88" s="260"/>
      <c r="L88" s="260"/>
      <c r="M88" s="260"/>
      <c r="N88" s="260"/>
      <c r="O88" s="260"/>
      <c r="P88" s="260"/>
      <c r="Q88" s="260"/>
      <c r="R88" s="260"/>
      <c r="S88" s="260"/>
      <c r="T88" s="260"/>
      <c r="U88" s="260"/>
      <c r="V88" s="260"/>
      <c r="W88" s="260"/>
      <c r="X88" s="260"/>
      <c r="Y88" s="260"/>
      <c r="Z88" s="260"/>
      <c r="AA88" s="260"/>
      <c r="AB88" s="260"/>
      <c r="AC88" s="260"/>
      <c r="AD88" s="260"/>
    </row>
    <row r="89" spans="1:30" ht="15" thickBot="1">
      <c r="A89" s="260"/>
      <c r="B89" s="260"/>
      <c r="C89" s="260"/>
      <c r="D89" s="260"/>
      <c r="E89" s="260"/>
      <c r="F89" s="260"/>
      <c r="G89" s="260"/>
      <c r="H89" s="260"/>
      <c r="I89" s="260"/>
      <c r="J89" s="260"/>
      <c r="K89" s="260"/>
      <c r="L89" s="260"/>
      <c r="M89" s="260"/>
      <c r="N89" s="260"/>
      <c r="O89" s="260"/>
      <c r="P89" s="260"/>
      <c r="Q89" s="260"/>
      <c r="R89" s="260"/>
      <c r="S89" s="260"/>
      <c r="T89" s="260"/>
      <c r="U89" s="260"/>
      <c r="V89" s="260"/>
      <c r="W89" s="260"/>
      <c r="X89" s="260"/>
      <c r="Y89" s="260"/>
      <c r="Z89" s="260"/>
      <c r="AA89" s="260"/>
      <c r="AB89" s="260"/>
      <c r="AC89" s="260"/>
      <c r="AD89" s="260"/>
    </row>
    <row r="90" spans="1:30" ht="15" thickBot="1">
      <c r="A90" s="260"/>
      <c r="B90" s="260"/>
      <c r="C90" s="260"/>
      <c r="D90" s="260"/>
      <c r="E90" s="260"/>
      <c r="F90" s="260"/>
      <c r="G90" s="260"/>
      <c r="H90" s="260"/>
      <c r="I90" s="260"/>
      <c r="J90" s="260"/>
      <c r="K90" s="260"/>
      <c r="L90" s="260"/>
      <c r="M90" s="260"/>
      <c r="N90" s="260"/>
      <c r="O90" s="260"/>
      <c r="P90" s="260"/>
      <c r="Q90" s="260"/>
      <c r="R90" s="260"/>
      <c r="S90" s="260"/>
      <c r="T90" s="260"/>
      <c r="U90" s="260"/>
      <c r="V90" s="260"/>
      <c r="W90" s="260"/>
      <c r="X90" s="260"/>
      <c r="Y90" s="260"/>
      <c r="Z90" s="260"/>
      <c r="AA90" s="260"/>
      <c r="AB90" s="260"/>
      <c r="AC90" s="260"/>
      <c r="AD90" s="260"/>
    </row>
    <row r="91" spans="1:30" ht="15" thickBot="1">
      <c r="A91" s="260"/>
      <c r="B91" s="260"/>
      <c r="C91" s="260"/>
      <c r="D91" s="260"/>
      <c r="E91" s="260"/>
      <c r="F91" s="260"/>
      <c r="G91" s="260"/>
      <c r="H91" s="260"/>
      <c r="I91" s="260"/>
      <c r="J91" s="260"/>
      <c r="K91" s="260"/>
      <c r="L91" s="260"/>
      <c r="M91" s="260"/>
      <c r="N91" s="260"/>
      <c r="O91" s="260"/>
      <c r="P91" s="260"/>
      <c r="Q91" s="260"/>
      <c r="R91" s="260"/>
      <c r="S91" s="260"/>
      <c r="T91" s="260"/>
      <c r="U91" s="260"/>
      <c r="V91" s="260"/>
      <c r="W91" s="260"/>
      <c r="X91" s="260"/>
      <c r="Y91" s="260"/>
      <c r="Z91" s="260"/>
      <c r="AA91" s="260"/>
      <c r="AB91" s="260"/>
      <c r="AC91" s="260"/>
      <c r="AD91" s="260"/>
    </row>
    <row r="92" spans="1:30" ht="15" thickBot="1">
      <c r="A92" s="260"/>
      <c r="B92" s="260"/>
      <c r="C92" s="260"/>
      <c r="D92" s="260"/>
      <c r="E92" s="260"/>
      <c r="F92" s="260"/>
      <c r="G92" s="260"/>
      <c r="H92" s="260"/>
      <c r="I92" s="260"/>
      <c r="J92" s="260"/>
      <c r="K92" s="260"/>
      <c r="L92" s="260"/>
      <c r="M92" s="260"/>
      <c r="N92" s="260"/>
      <c r="O92" s="260"/>
      <c r="P92" s="260"/>
      <c r="Q92" s="260"/>
      <c r="R92" s="260"/>
      <c r="S92" s="260"/>
      <c r="T92" s="260"/>
      <c r="U92" s="260"/>
      <c r="V92" s="260"/>
      <c r="W92" s="260"/>
      <c r="X92" s="260"/>
      <c r="Y92" s="260"/>
      <c r="Z92" s="260"/>
      <c r="AA92" s="260"/>
      <c r="AB92" s="260"/>
      <c r="AC92" s="260"/>
      <c r="AD92" s="260"/>
    </row>
    <row r="93" spans="1:30" ht="15" thickBot="1">
      <c r="A93" s="260"/>
      <c r="B93" s="260"/>
      <c r="C93" s="260"/>
      <c r="D93" s="260"/>
      <c r="E93" s="260"/>
      <c r="F93" s="260"/>
      <c r="G93" s="260"/>
      <c r="H93" s="260"/>
      <c r="I93" s="260"/>
      <c r="J93" s="260"/>
      <c r="K93" s="260"/>
      <c r="L93" s="260"/>
      <c r="M93" s="260"/>
      <c r="N93" s="260"/>
      <c r="O93" s="260"/>
      <c r="P93" s="260"/>
      <c r="Q93" s="260"/>
      <c r="R93" s="260"/>
      <c r="S93" s="260"/>
      <c r="T93" s="260"/>
      <c r="U93" s="260"/>
      <c r="V93" s="260"/>
      <c r="W93" s="260"/>
      <c r="X93" s="260"/>
      <c r="Y93" s="260"/>
      <c r="Z93" s="260"/>
      <c r="AA93" s="260"/>
      <c r="AB93" s="260"/>
      <c r="AC93" s="260"/>
      <c r="AD93" s="260"/>
    </row>
    <row r="94" spans="1:30" ht="15" thickBot="1">
      <c r="A94" s="260"/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0"/>
      <c r="P94" s="260"/>
      <c r="Q94" s="260"/>
      <c r="R94" s="260"/>
      <c r="S94" s="260"/>
      <c r="T94" s="260"/>
      <c r="U94" s="260"/>
      <c r="V94" s="260"/>
      <c r="W94" s="260"/>
      <c r="X94" s="260"/>
      <c r="Y94" s="260"/>
      <c r="Z94" s="260"/>
      <c r="AA94" s="260"/>
      <c r="AB94" s="260"/>
      <c r="AC94" s="260"/>
      <c r="AD94" s="260"/>
    </row>
    <row r="95" spans="1:30" ht="15" thickBot="1">
      <c r="A95" s="260"/>
      <c r="B95" s="260"/>
      <c r="C95" s="260"/>
      <c r="D95" s="260"/>
      <c r="E95" s="260"/>
      <c r="F95" s="260"/>
      <c r="G95" s="260"/>
      <c r="H95" s="260"/>
      <c r="I95" s="260"/>
      <c r="J95" s="260"/>
      <c r="K95" s="260"/>
      <c r="L95" s="260"/>
      <c r="M95" s="260"/>
      <c r="N95" s="260"/>
      <c r="O95" s="260"/>
      <c r="P95" s="260"/>
      <c r="Q95" s="260"/>
      <c r="R95" s="260"/>
      <c r="S95" s="260"/>
      <c r="T95" s="260"/>
      <c r="U95" s="260"/>
      <c r="V95" s="260"/>
      <c r="W95" s="260"/>
      <c r="X95" s="260"/>
      <c r="Y95" s="260"/>
      <c r="Z95" s="260"/>
      <c r="AA95" s="260"/>
      <c r="AB95" s="260"/>
      <c r="AC95" s="260"/>
      <c r="AD95" s="260"/>
    </row>
    <row r="96" spans="1:30" ht="15" thickBot="1">
      <c r="A96" s="260"/>
      <c r="B96" s="260"/>
      <c r="C96" s="260"/>
      <c r="D96" s="260"/>
      <c r="E96" s="260"/>
      <c r="F96" s="260"/>
      <c r="G96" s="260"/>
      <c r="H96" s="260"/>
      <c r="I96" s="260"/>
      <c r="J96" s="260"/>
      <c r="K96" s="260"/>
      <c r="L96" s="260"/>
      <c r="M96" s="260"/>
      <c r="N96" s="260"/>
      <c r="O96" s="260"/>
      <c r="P96" s="260"/>
      <c r="Q96" s="260"/>
      <c r="R96" s="260"/>
      <c r="S96" s="260"/>
      <c r="T96" s="260"/>
      <c r="U96" s="260"/>
      <c r="V96" s="260"/>
      <c r="W96" s="260"/>
      <c r="X96" s="260"/>
      <c r="Y96" s="260"/>
      <c r="Z96" s="260"/>
      <c r="AA96" s="260"/>
      <c r="AB96" s="260"/>
      <c r="AC96" s="260"/>
      <c r="AD96" s="260"/>
    </row>
    <row r="97" spans="1:30" ht="15" thickBot="1">
      <c r="A97" s="260"/>
      <c r="B97" s="260"/>
      <c r="C97" s="260"/>
      <c r="D97" s="260"/>
      <c r="E97" s="260"/>
      <c r="F97" s="260"/>
      <c r="G97" s="260"/>
      <c r="H97" s="260"/>
      <c r="I97" s="260"/>
      <c r="J97" s="260"/>
      <c r="K97" s="260"/>
      <c r="L97" s="260"/>
      <c r="M97" s="260"/>
      <c r="N97" s="260"/>
      <c r="O97" s="260"/>
      <c r="P97" s="260"/>
      <c r="Q97" s="260"/>
      <c r="R97" s="260"/>
      <c r="S97" s="260"/>
      <c r="T97" s="260"/>
      <c r="U97" s="260"/>
      <c r="V97" s="260"/>
      <c r="W97" s="260"/>
      <c r="X97" s="260"/>
      <c r="Y97" s="260"/>
      <c r="Z97" s="260"/>
      <c r="AA97" s="260"/>
      <c r="AB97" s="260"/>
      <c r="AC97" s="260"/>
      <c r="AD97" s="260"/>
    </row>
    <row r="98" spans="1:30" ht="15" thickBot="1">
      <c r="A98" s="260"/>
      <c r="B98" s="260"/>
      <c r="C98" s="260"/>
      <c r="D98" s="260"/>
      <c r="E98" s="260"/>
      <c r="F98" s="260"/>
      <c r="G98" s="260"/>
      <c r="H98" s="260"/>
      <c r="I98" s="260"/>
      <c r="J98" s="260"/>
      <c r="K98" s="260"/>
      <c r="L98" s="260"/>
      <c r="M98" s="260"/>
      <c r="N98" s="260"/>
      <c r="O98" s="260"/>
      <c r="P98" s="260"/>
      <c r="Q98" s="260"/>
      <c r="R98" s="260"/>
      <c r="S98" s="260"/>
      <c r="T98" s="260"/>
      <c r="U98" s="260"/>
      <c r="V98" s="260"/>
      <c r="W98" s="260"/>
      <c r="X98" s="260"/>
      <c r="Y98" s="260"/>
      <c r="Z98" s="260"/>
      <c r="AA98" s="260"/>
      <c r="AB98" s="260"/>
      <c r="AC98" s="260"/>
      <c r="AD98" s="260"/>
    </row>
    <row r="99" spans="1:30" ht="15" thickBot="1">
      <c r="A99" s="260"/>
      <c r="B99" s="260"/>
      <c r="C99" s="260"/>
      <c r="D99" s="260"/>
      <c r="E99" s="260"/>
      <c r="F99" s="260"/>
      <c r="G99" s="260"/>
      <c r="H99" s="260"/>
      <c r="I99" s="260"/>
      <c r="J99" s="260"/>
      <c r="K99" s="260"/>
      <c r="L99" s="260"/>
      <c r="M99" s="260"/>
      <c r="N99" s="260"/>
      <c r="O99" s="260"/>
      <c r="P99" s="260"/>
      <c r="Q99" s="260"/>
      <c r="R99" s="260"/>
      <c r="S99" s="260"/>
      <c r="T99" s="260"/>
      <c r="U99" s="260"/>
      <c r="V99" s="260"/>
      <c r="W99" s="260"/>
      <c r="X99" s="260"/>
      <c r="Y99" s="260"/>
      <c r="Z99" s="260"/>
      <c r="AA99" s="260"/>
      <c r="AB99" s="260"/>
      <c r="AC99" s="260"/>
      <c r="AD99" s="260"/>
    </row>
    <row r="100" spans="1:30" ht="15" thickBot="1">
      <c r="A100" s="260"/>
      <c r="B100" s="260"/>
      <c r="C100" s="260"/>
      <c r="D100" s="260"/>
      <c r="E100" s="260"/>
      <c r="F100" s="260"/>
      <c r="G100" s="260"/>
      <c r="H100" s="260"/>
      <c r="I100" s="260"/>
      <c r="J100" s="260"/>
      <c r="K100" s="260"/>
      <c r="L100" s="260"/>
      <c r="M100" s="260"/>
      <c r="N100" s="260"/>
      <c r="O100" s="260"/>
      <c r="P100" s="260"/>
      <c r="Q100" s="260"/>
      <c r="R100" s="260"/>
      <c r="S100" s="260"/>
      <c r="T100" s="260"/>
      <c r="U100" s="260"/>
      <c r="V100" s="260"/>
      <c r="W100" s="260"/>
      <c r="X100" s="260"/>
      <c r="Y100" s="260"/>
      <c r="Z100" s="260"/>
      <c r="AA100" s="260"/>
      <c r="AB100" s="260"/>
      <c r="AC100" s="260"/>
      <c r="AD100" s="260"/>
    </row>
    <row r="101" spans="1:30" ht="15" thickBot="1">
      <c r="A101" s="260"/>
      <c r="B101" s="260"/>
      <c r="C101" s="260"/>
      <c r="D101" s="260"/>
      <c r="E101" s="260"/>
      <c r="F101" s="260"/>
      <c r="G101" s="260"/>
      <c r="H101" s="260"/>
      <c r="I101" s="260"/>
      <c r="J101" s="260"/>
      <c r="K101" s="260"/>
      <c r="L101" s="260"/>
      <c r="M101" s="260"/>
      <c r="N101" s="260"/>
      <c r="O101" s="260"/>
      <c r="P101" s="260"/>
      <c r="Q101" s="260"/>
      <c r="R101" s="260"/>
      <c r="S101" s="260"/>
      <c r="T101" s="260"/>
      <c r="U101" s="260"/>
      <c r="V101" s="260"/>
      <c r="W101" s="260"/>
      <c r="X101" s="260"/>
      <c r="Y101" s="260"/>
      <c r="Z101" s="260"/>
      <c r="AA101" s="260"/>
      <c r="AB101" s="260"/>
      <c r="AC101" s="260"/>
      <c r="AD101" s="260"/>
    </row>
    <row r="102" spans="1:30" ht="15" thickBot="1">
      <c r="A102" s="260"/>
      <c r="B102" s="260"/>
      <c r="C102" s="260"/>
      <c r="D102" s="260"/>
      <c r="E102" s="260"/>
      <c r="F102" s="260"/>
      <c r="G102" s="260"/>
      <c r="H102" s="260"/>
      <c r="I102" s="260"/>
      <c r="J102" s="260"/>
      <c r="K102" s="260"/>
      <c r="L102" s="260"/>
      <c r="M102" s="260"/>
      <c r="N102" s="260"/>
      <c r="O102" s="260"/>
      <c r="P102" s="260"/>
      <c r="Q102" s="260"/>
      <c r="R102" s="260"/>
      <c r="S102" s="260"/>
      <c r="T102" s="260"/>
      <c r="U102" s="260"/>
      <c r="V102" s="260"/>
      <c r="W102" s="260"/>
      <c r="X102" s="260"/>
      <c r="Y102" s="260"/>
      <c r="Z102" s="260"/>
      <c r="AA102" s="260"/>
      <c r="AB102" s="260"/>
      <c r="AC102" s="260"/>
      <c r="AD102" s="260"/>
    </row>
    <row r="103" spans="1:30" ht="15" thickBot="1">
      <c r="A103" s="260"/>
      <c r="B103" s="260"/>
      <c r="C103" s="260"/>
      <c r="D103" s="260"/>
      <c r="E103" s="260"/>
      <c r="F103" s="260"/>
      <c r="G103" s="260"/>
      <c r="H103" s="260"/>
      <c r="I103" s="260"/>
      <c r="J103" s="260"/>
      <c r="K103" s="260"/>
      <c r="L103" s="260"/>
      <c r="M103" s="260"/>
      <c r="N103" s="260"/>
      <c r="O103" s="260"/>
      <c r="P103" s="260"/>
      <c r="Q103" s="260"/>
      <c r="R103" s="260"/>
      <c r="S103" s="260"/>
      <c r="T103" s="260"/>
      <c r="U103" s="260"/>
      <c r="V103" s="260"/>
      <c r="W103" s="260"/>
      <c r="X103" s="260"/>
      <c r="Y103" s="260"/>
      <c r="Z103" s="260"/>
      <c r="AA103" s="260"/>
      <c r="AB103" s="260"/>
      <c r="AC103" s="260"/>
      <c r="AD103" s="260"/>
    </row>
    <row r="104" spans="1:30" ht="15" thickBot="1">
      <c r="A104" s="260"/>
      <c r="B104" s="260"/>
      <c r="C104" s="260"/>
      <c r="D104" s="260"/>
      <c r="E104" s="260"/>
      <c r="F104" s="260"/>
      <c r="G104" s="260"/>
      <c r="H104" s="260"/>
      <c r="I104" s="260"/>
      <c r="J104" s="260"/>
      <c r="K104" s="260"/>
      <c r="L104" s="260"/>
      <c r="M104" s="260"/>
      <c r="N104" s="260"/>
      <c r="O104" s="260"/>
      <c r="P104" s="260"/>
      <c r="Q104" s="260"/>
      <c r="R104" s="260"/>
      <c r="S104" s="260"/>
      <c r="T104" s="260"/>
      <c r="U104" s="260"/>
      <c r="V104" s="260"/>
      <c r="W104" s="260"/>
      <c r="X104" s="260"/>
      <c r="Y104" s="260"/>
      <c r="Z104" s="260"/>
      <c r="AA104" s="260"/>
      <c r="AB104" s="260"/>
      <c r="AC104" s="260"/>
      <c r="AD104" s="260"/>
    </row>
    <row r="105" spans="1:30" ht="15" thickBot="1">
      <c r="A105" s="260"/>
      <c r="B105" s="260"/>
      <c r="C105" s="260"/>
      <c r="D105" s="260"/>
      <c r="E105" s="260"/>
      <c r="F105" s="260"/>
      <c r="G105" s="260"/>
      <c r="H105" s="260"/>
      <c r="I105" s="260"/>
      <c r="J105" s="260"/>
      <c r="K105" s="260"/>
      <c r="L105" s="260"/>
      <c r="M105" s="260"/>
      <c r="N105" s="260"/>
      <c r="O105" s="260"/>
      <c r="P105" s="260"/>
      <c r="Q105" s="260"/>
      <c r="R105" s="260"/>
      <c r="S105" s="260"/>
      <c r="T105" s="260"/>
      <c r="U105" s="260"/>
      <c r="V105" s="260"/>
      <c r="W105" s="260"/>
      <c r="X105" s="260"/>
      <c r="Y105" s="260"/>
      <c r="Z105" s="260"/>
      <c r="AA105" s="260"/>
      <c r="AB105" s="260"/>
      <c r="AC105" s="260"/>
      <c r="AD105" s="260"/>
    </row>
    <row r="106" spans="1:30" ht="15" thickBot="1">
      <c r="A106" s="260"/>
      <c r="B106" s="260"/>
      <c r="C106" s="260"/>
      <c r="D106" s="260"/>
      <c r="E106" s="260"/>
      <c r="F106" s="260"/>
      <c r="G106" s="260"/>
      <c r="H106" s="260"/>
      <c r="I106" s="260"/>
      <c r="J106" s="260"/>
      <c r="K106" s="260"/>
      <c r="L106" s="260"/>
      <c r="M106" s="260"/>
      <c r="N106" s="260"/>
      <c r="O106" s="260"/>
      <c r="P106" s="260"/>
      <c r="Q106" s="260"/>
      <c r="R106" s="260"/>
      <c r="S106" s="260"/>
      <c r="T106" s="260"/>
      <c r="U106" s="260"/>
      <c r="V106" s="260"/>
      <c r="W106" s="260"/>
      <c r="X106" s="260"/>
      <c r="Y106" s="260"/>
      <c r="Z106" s="260"/>
      <c r="AA106" s="260"/>
      <c r="AB106" s="260"/>
      <c r="AC106" s="260"/>
      <c r="AD106" s="260"/>
    </row>
    <row r="107" spans="1:30" ht="15" thickBot="1">
      <c r="A107" s="260"/>
      <c r="B107" s="260"/>
      <c r="C107" s="260"/>
      <c r="D107" s="260"/>
      <c r="E107" s="260"/>
      <c r="F107" s="260"/>
      <c r="G107" s="260"/>
      <c r="H107" s="260"/>
      <c r="I107" s="260"/>
      <c r="J107" s="260"/>
      <c r="K107" s="260"/>
      <c r="L107" s="260"/>
      <c r="M107" s="260"/>
      <c r="N107" s="260"/>
      <c r="O107" s="260"/>
      <c r="P107" s="260"/>
      <c r="Q107" s="260"/>
      <c r="R107" s="260"/>
      <c r="S107" s="260"/>
      <c r="T107" s="260"/>
      <c r="U107" s="260"/>
      <c r="V107" s="260"/>
      <c r="W107" s="260"/>
      <c r="X107" s="260"/>
      <c r="Y107" s="260"/>
      <c r="Z107" s="260"/>
      <c r="AA107" s="260"/>
      <c r="AB107" s="260"/>
      <c r="AC107" s="260"/>
      <c r="AD107" s="260"/>
    </row>
    <row r="108" spans="1:30" ht="15" thickBot="1">
      <c r="A108" s="260"/>
      <c r="B108" s="260"/>
      <c r="C108" s="260"/>
      <c r="D108" s="260"/>
      <c r="E108" s="260"/>
      <c r="F108" s="260"/>
      <c r="G108" s="260"/>
      <c r="H108" s="260"/>
      <c r="I108" s="260"/>
      <c r="J108" s="260"/>
      <c r="K108" s="260"/>
      <c r="L108" s="260"/>
      <c r="M108" s="260"/>
      <c r="N108" s="260"/>
      <c r="O108" s="260"/>
      <c r="P108" s="260"/>
      <c r="Q108" s="260"/>
      <c r="R108" s="260"/>
      <c r="S108" s="260"/>
      <c r="T108" s="260"/>
      <c r="U108" s="260"/>
      <c r="V108" s="260"/>
      <c r="W108" s="260"/>
      <c r="X108" s="260"/>
      <c r="Y108" s="260"/>
      <c r="Z108" s="260"/>
      <c r="AA108" s="260"/>
      <c r="AB108" s="260"/>
      <c r="AC108" s="260"/>
      <c r="AD108" s="260"/>
    </row>
    <row r="109" spans="1:30" ht="15" thickBot="1">
      <c r="A109" s="260"/>
      <c r="B109" s="260"/>
      <c r="C109" s="260"/>
      <c r="D109" s="260"/>
      <c r="E109" s="260"/>
      <c r="F109" s="260"/>
      <c r="G109" s="260"/>
      <c r="H109" s="260"/>
      <c r="I109" s="260"/>
      <c r="J109" s="260"/>
      <c r="K109" s="260"/>
      <c r="L109" s="260"/>
      <c r="M109" s="260"/>
      <c r="N109" s="260"/>
      <c r="O109" s="260"/>
      <c r="P109" s="260"/>
      <c r="Q109" s="260"/>
      <c r="R109" s="260"/>
      <c r="S109" s="260"/>
      <c r="T109" s="260"/>
      <c r="U109" s="260"/>
      <c r="V109" s="260"/>
      <c r="W109" s="260"/>
      <c r="X109" s="260"/>
      <c r="Y109" s="260"/>
      <c r="Z109" s="260"/>
      <c r="AA109" s="260"/>
      <c r="AB109" s="260"/>
      <c r="AC109" s="260"/>
      <c r="AD109" s="260"/>
    </row>
    <row r="110" spans="1:30" ht="15" thickBot="1">
      <c r="A110" s="260"/>
      <c r="B110" s="260"/>
      <c r="C110" s="260"/>
      <c r="D110" s="260"/>
      <c r="E110" s="260"/>
      <c r="F110" s="260"/>
      <c r="G110" s="260"/>
      <c r="H110" s="260"/>
      <c r="I110" s="260"/>
      <c r="J110" s="260"/>
      <c r="K110" s="260"/>
      <c r="L110" s="260"/>
      <c r="M110" s="260"/>
      <c r="N110" s="260"/>
      <c r="O110" s="260"/>
      <c r="P110" s="260"/>
      <c r="Q110" s="260"/>
      <c r="R110" s="260"/>
      <c r="S110" s="260"/>
      <c r="T110" s="260"/>
      <c r="U110" s="260"/>
      <c r="V110" s="260"/>
      <c r="W110" s="260"/>
      <c r="X110" s="260"/>
      <c r="Y110" s="260"/>
      <c r="Z110" s="260"/>
      <c r="AA110" s="260"/>
      <c r="AB110" s="260"/>
      <c r="AC110" s="260"/>
      <c r="AD110" s="260"/>
    </row>
    <row r="111" spans="1:30" ht="15" thickBot="1">
      <c r="A111" s="260"/>
      <c r="B111" s="260"/>
      <c r="C111" s="260"/>
      <c r="D111" s="260"/>
      <c r="E111" s="260"/>
      <c r="F111" s="260"/>
      <c r="G111" s="260"/>
      <c r="H111" s="260"/>
      <c r="I111" s="260"/>
      <c r="J111" s="260"/>
      <c r="K111" s="260"/>
      <c r="L111" s="260"/>
      <c r="M111" s="260"/>
      <c r="N111" s="260"/>
      <c r="O111" s="260"/>
      <c r="P111" s="260"/>
      <c r="Q111" s="260"/>
      <c r="R111" s="260"/>
      <c r="S111" s="260"/>
      <c r="T111" s="260"/>
      <c r="U111" s="260"/>
      <c r="V111" s="260"/>
      <c r="W111" s="260"/>
      <c r="X111" s="260"/>
      <c r="Y111" s="260"/>
      <c r="Z111" s="260"/>
      <c r="AA111" s="260"/>
      <c r="AB111" s="260"/>
      <c r="AC111" s="260"/>
      <c r="AD111" s="260"/>
    </row>
    <row r="112" spans="1:30" ht="15" thickBot="1">
      <c r="A112" s="260"/>
      <c r="B112" s="260"/>
      <c r="C112" s="260"/>
      <c r="D112" s="260"/>
      <c r="E112" s="260"/>
      <c r="F112" s="260"/>
      <c r="G112" s="260"/>
      <c r="H112" s="260"/>
      <c r="I112" s="260"/>
      <c r="J112" s="260"/>
      <c r="K112" s="260"/>
      <c r="L112" s="260"/>
      <c r="M112" s="260"/>
      <c r="N112" s="260"/>
      <c r="O112" s="260"/>
      <c r="P112" s="260"/>
      <c r="Q112" s="260"/>
      <c r="R112" s="260"/>
      <c r="S112" s="260"/>
      <c r="T112" s="260"/>
      <c r="U112" s="260"/>
      <c r="V112" s="260"/>
      <c r="W112" s="260"/>
      <c r="X112" s="260"/>
      <c r="Y112" s="260"/>
      <c r="Z112" s="260"/>
      <c r="AA112" s="260"/>
      <c r="AB112" s="260"/>
      <c r="AC112" s="260"/>
      <c r="AD112" s="260"/>
    </row>
    <row r="113" spans="1:30" ht="15" thickBot="1">
      <c r="A113" s="260"/>
      <c r="B113" s="260"/>
      <c r="C113" s="260"/>
      <c r="D113" s="260"/>
      <c r="E113" s="260"/>
      <c r="F113" s="260"/>
      <c r="G113" s="260"/>
      <c r="H113" s="260"/>
      <c r="I113" s="260"/>
      <c r="J113" s="260"/>
      <c r="K113" s="260"/>
      <c r="L113" s="260"/>
      <c r="M113" s="260"/>
      <c r="N113" s="260"/>
      <c r="O113" s="260"/>
      <c r="P113" s="260"/>
      <c r="Q113" s="260"/>
      <c r="R113" s="260"/>
      <c r="S113" s="260"/>
      <c r="T113" s="260"/>
      <c r="U113" s="260"/>
      <c r="V113" s="260"/>
      <c r="W113" s="260"/>
      <c r="X113" s="260"/>
      <c r="Y113" s="260"/>
      <c r="Z113" s="260"/>
      <c r="AA113" s="260"/>
      <c r="AB113" s="260"/>
      <c r="AC113" s="260"/>
      <c r="AD113" s="260"/>
    </row>
    <row r="114" spans="1:30" ht="15" thickBot="1">
      <c r="A114" s="260"/>
      <c r="B114" s="260"/>
      <c r="C114" s="260"/>
      <c r="D114" s="260"/>
      <c r="E114" s="260"/>
      <c r="F114" s="260"/>
      <c r="G114" s="260"/>
      <c r="H114" s="260"/>
      <c r="I114" s="260"/>
      <c r="J114" s="260"/>
      <c r="K114" s="260"/>
      <c r="L114" s="260"/>
      <c r="M114" s="260"/>
      <c r="N114" s="260"/>
      <c r="O114" s="260"/>
      <c r="P114" s="260"/>
      <c r="Q114" s="260"/>
      <c r="R114" s="260"/>
      <c r="S114" s="260"/>
      <c r="T114" s="260"/>
      <c r="U114" s="260"/>
      <c r="V114" s="260"/>
      <c r="W114" s="260"/>
      <c r="X114" s="260"/>
      <c r="Y114" s="260"/>
      <c r="Z114" s="260"/>
      <c r="AA114" s="260"/>
      <c r="AB114" s="260"/>
      <c r="AC114" s="260"/>
      <c r="AD114" s="260"/>
    </row>
    <row r="115" spans="1:30" ht="15" thickBot="1">
      <c r="A115" s="260"/>
      <c r="B115" s="260"/>
      <c r="C115" s="260"/>
      <c r="D115" s="260"/>
      <c r="E115" s="260"/>
      <c r="F115" s="260"/>
      <c r="G115" s="260"/>
      <c r="H115" s="260"/>
      <c r="I115" s="260"/>
      <c r="J115" s="260"/>
      <c r="K115" s="260"/>
      <c r="L115" s="260"/>
      <c r="M115" s="260"/>
      <c r="N115" s="260"/>
      <c r="O115" s="260"/>
      <c r="P115" s="260"/>
      <c r="Q115" s="260"/>
      <c r="R115" s="260"/>
      <c r="S115" s="260"/>
      <c r="T115" s="260"/>
      <c r="U115" s="260"/>
      <c r="V115" s="260"/>
      <c r="W115" s="260"/>
      <c r="X115" s="260"/>
      <c r="Y115" s="260"/>
      <c r="Z115" s="260"/>
      <c r="AA115" s="260"/>
      <c r="AB115" s="260"/>
      <c r="AC115" s="260"/>
      <c r="AD115" s="260"/>
    </row>
    <row r="116" spans="1:30" ht="15" thickBot="1">
      <c r="A116" s="260"/>
      <c r="B116" s="260"/>
      <c r="C116" s="260"/>
      <c r="D116" s="260"/>
      <c r="E116" s="260"/>
      <c r="F116" s="260"/>
      <c r="G116" s="260"/>
      <c r="H116" s="260"/>
      <c r="I116" s="260"/>
      <c r="J116" s="260"/>
      <c r="K116" s="260"/>
      <c r="L116" s="260"/>
      <c r="M116" s="260"/>
      <c r="N116" s="260"/>
      <c r="O116" s="260"/>
      <c r="P116" s="260"/>
      <c r="Q116" s="260"/>
      <c r="R116" s="260"/>
      <c r="S116" s="260"/>
      <c r="T116" s="260"/>
      <c r="U116" s="260"/>
      <c r="V116" s="260"/>
      <c r="W116" s="260"/>
      <c r="X116" s="260"/>
      <c r="Y116" s="260"/>
      <c r="Z116" s="260"/>
      <c r="AA116" s="260"/>
      <c r="AB116" s="260"/>
      <c r="AC116" s="260"/>
      <c r="AD116" s="260"/>
    </row>
    <row r="117" spans="1:30" ht="15" thickBot="1">
      <c r="A117" s="260"/>
      <c r="B117" s="260"/>
      <c r="C117" s="260"/>
      <c r="D117" s="260"/>
      <c r="E117" s="260"/>
      <c r="F117" s="260"/>
      <c r="G117" s="260"/>
      <c r="H117" s="260"/>
      <c r="I117" s="260"/>
      <c r="J117" s="260"/>
      <c r="K117" s="260"/>
      <c r="L117" s="260"/>
      <c r="M117" s="260"/>
      <c r="N117" s="260"/>
      <c r="O117" s="260"/>
      <c r="P117" s="260"/>
      <c r="Q117" s="260"/>
      <c r="R117" s="260"/>
      <c r="S117" s="260"/>
      <c r="T117" s="260"/>
      <c r="U117" s="260"/>
      <c r="V117" s="260"/>
      <c r="W117" s="260"/>
      <c r="X117" s="260"/>
      <c r="Y117" s="260"/>
      <c r="Z117" s="260"/>
      <c r="AA117" s="260"/>
      <c r="AB117" s="260"/>
      <c r="AC117" s="260"/>
      <c r="AD117" s="260"/>
    </row>
    <row r="118" spans="1:30" ht="15" thickBot="1">
      <c r="A118" s="260"/>
      <c r="B118" s="260"/>
      <c r="C118" s="260"/>
      <c r="D118" s="260"/>
      <c r="E118" s="260"/>
      <c r="F118" s="260"/>
      <c r="G118" s="260"/>
      <c r="H118" s="260"/>
      <c r="I118" s="260"/>
      <c r="J118" s="260"/>
      <c r="K118" s="260"/>
      <c r="L118" s="260"/>
      <c r="M118" s="260"/>
      <c r="N118" s="260"/>
      <c r="O118" s="260"/>
      <c r="P118" s="260"/>
      <c r="Q118" s="260"/>
      <c r="R118" s="260"/>
      <c r="S118" s="260"/>
      <c r="T118" s="260"/>
      <c r="U118" s="260"/>
      <c r="V118" s="260"/>
      <c r="W118" s="260"/>
      <c r="X118" s="260"/>
      <c r="Y118" s="260"/>
      <c r="Z118" s="260"/>
      <c r="AA118" s="260"/>
      <c r="AB118" s="260"/>
      <c r="AC118" s="260"/>
      <c r="AD118" s="260"/>
    </row>
    <row r="119" spans="1:30" ht="15" thickBot="1">
      <c r="A119" s="260"/>
      <c r="B119" s="260"/>
      <c r="C119" s="260"/>
      <c r="D119" s="260"/>
      <c r="E119" s="260"/>
      <c r="F119" s="260"/>
      <c r="G119" s="260"/>
      <c r="H119" s="260"/>
      <c r="I119" s="260"/>
      <c r="J119" s="260"/>
      <c r="K119" s="260"/>
      <c r="L119" s="260"/>
      <c r="M119" s="260"/>
      <c r="N119" s="260"/>
      <c r="O119" s="260"/>
      <c r="P119" s="260"/>
      <c r="Q119" s="260"/>
      <c r="R119" s="260"/>
      <c r="S119" s="260"/>
      <c r="T119" s="260"/>
      <c r="U119" s="260"/>
      <c r="V119" s="260"/>
      <c r="W119" s="260"/>
      <c r="X119" s="260"/>
      <c r="Y119" s="260"/>
      <c r="Z119" s="260"/>
      <c r="AA119" s="260"/>
      <c r="AB119" s="260"/>
      <c r="AC119" s="260"/>
      <c r="AD119" s="260"/>
    </row>
    <row r="120" spans="1:30" ht="15" thickBot="1">
      <c r="A120" s="260"/>
      <c r="B120" s="260"/>
      <c r="C120" s="260"/>
      <c r="D120" s="260"/>
      <c r="E120" s="260"/>
      <c r="F120" s="260"/>
      <c r="G120" s="260"/>
      <c r="H120" s="260"/>
      <c r="I120" s="260"/>
      <c r="J120" s="260"/>
      <c r="K120" s="260"/>
      <c r="L120" s="260"/>
      <c r="M120" s="260"/>
      <c r="N120" s="260"/>
      <c r="O120" s="260"/>
      <c r="P120" s="260"/>
      <c r="Q120" s="260"/>
      <c r="R120" s="260"/>
      <c r="S120" s="260"/>
      <c r="T120" s="260"/>
      <c r="U120" s="260"/>
      <c r="V120" s="260"/>
      <c r="W120" s="260"/>
      <c r="X120" s="260"/>
      <c r="Y120" s="260"/>
      <c r="Z120" s="260"/>
      <c r="AA120" s="260"/>
      <c r="AB120" s="260"/>
      <c r="AC120" s="260"/>
      <c r="AD120" s="260"/>
    </row>
    <row r="121" spans="1:30" ht="15" thickBot="1">
      <c r="A121" s="260"/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0"/>
      <c r="P121" s="260"/>
      <c r="Q121" s="260"/>
      <c r="R121" s="260"/>
      <c r="S121" s="260"/>
      <c r="T121" s="260"/>
      <c r="U121" s="260"/>
      <c r="V121" s="260"/>
      <c r="W121" s="260"/>
      <c r="X121" s="260"/>
      <c r="Y121" s="260"/>
      <c r="Z121" s="260"/>
      <c r="AA121" s="260"/>
      <c r="AB121" s="260"/>
      <c r="AC121" s="260"/>
      <c r="AD121" s="260"/>
    </row>
    <row r="122" spans="1:30" ht="15" thickBot="1">
      <c r="A122" s="260"/>
      <c r="B122" s="260"/>
      <c r="C122" s="260"/>
      <c r="D122" s="260"/>
      <c r="E122" s="260"/>
      <c r="F122" s="260"/>
      <c r="G122" s="260"/>
      <c r="H122" s="260"/>
      <c r="I122" s="260"/>
      <c r="J122" s="260"/>
      <c r="K122" s="260"/>
      <c r="L122" s="260"/>
      <c r="M122" s="260"/>
      <c r="N122" s="260"/>
      <c r="O122" s="260"/>
      <c r="P122" s="260"/>
      <c r="Q122" s="260"/>
      <c r="R122" s="260"/>
      <c r="S122" s="260"/>
      <c r="T122" s="260"/>
      <c r="U122" s="260"/>
      <c r="V122" s="260"/>
      <c r="W122" s="260"/>
      <c r="X122" s="260"/>
      <c r="Y122" s="260"/>
      <c r="Z122" s="260"/>
      <c r="AA122" s="260"/>
      <c r="AB122" s="260"/>
      <c r="AC122" s="260"/>
      <c r="AD122" s="260"/>
    </row>
    <row r="123" spans="1:30" ht="15" thickBot="1">
      <c r="A123" s="260"/>
      <c r="B123" s="260"/>
      <c r="C123" s="260"/>
      <c r="D123" s="260"/>
      <c r="E123" s="260"/>
      <c r="F123" s="260"/>
      <c r="G123" s="260"/>
      <c r="H123" s="260"/>
      <c r="I123" s="260"/>
      <c r="J123" s="260"/>
      <c r="K123" s="260"/>
      <c r="L123" s="260"/>
      <c r="M123" s="260"/>
      <c r="N123" s="260"/>
      <c r="O123" s="260"/>
      <c r="P123" s="260"/>
      <c r="Q123" s="260"/>
      <c r="R123" s="260"/>
      <c r="S123" s="260"/>
      <c r="T123" s="260"/>
      <c r="U123" s="260"/>
      <c r="V123" s="260"/>
      <c r="W123" s="260"/>
      <c r="X123" s="260"/>
      <c r="Y123" s="260"/>
      <c r="Z123" s="260"/>
      <c r="AA123" s="260"/>
      <c r="AB123" s="260"/>
      <c r="AC123" s="260"/>
      <c r="AD123" s="260"/>
    </row>
    <row r="124" spans="1:30" ht="15" thickBot="1">
      <c r="A124" s="260"/>
      <c r="B124" s="260"/>
      <c r="C124" s="260"/>
      <c r="D124" s="260"/>
      <c r="E124" s="260"/>
      <c r="F124" s="260"/>
      <c r="G124" s="260"/>
      <c r="H124" s="260"/>
      <c r="I124" s="260"/>
      <c r="J124" s="260"/>
      <c r="K124" s="260"/>
      <c r="L124" s="260"/>
      <c r="M124" s="260"/>
      <c r="N124" s="260"/>
      <c r="O124" s="260"/>
      <c r="P124" s="260"/>
      <c r="Q124" s="260"/>
      <c r="R124" s="260"/>
      <c r="S124" s="260"/>
      <c r="T124" s="260"/>
      <c r="U124" s="260"/>
      <c r="V124" s="260"/>
      <c r="W124" s="260"/>
      <c r="X124" s="260"/>
      <c r="Y124" s="260"/>
      <c r="Z124" s="260"/>
      <c r="AA124" s="260"/>
      <c r="AB124" s="260"/>
      <c r="AC124" s="260"/>
      <c r="AD124" s="260"/>
    </row>
    <row r="125" spans="1:30" ht="15" thickBot="1">
      <c r="A125" s="260"/>
      <c r="B125" s="260"/>
      <c r="C125" s="260"/>
      <c r="D125" s="260"/>
      <c r="E125" s="260"/>
      <c r="F125" s="260"/>
      <c r="G125" s="260"/>
      <c r="H125" s="260"/>
      <c r="I125" s="260"/>
      <c r="J125" s="260"/>
      <c r="K125" s="260"/>
      <c r="L125" s="260"/>
      <c r="M125" s="260"/>
      <c r="N125" s="260"/>
      <c r="O125" s="260"/>
      <c r="P125" s="260"/>
      <c r="Q125" s="260"/>
      <c r="R125" s="260"/>
      <c r="S125" s="260"/>
      <c r="T125" s="260"/>
      <c r="U125" s="260"/>
      <c r="V125" s="260"/>
      <c r="W125" s="260"/>
      <c r="X125" s="260"/>
      <c r="Y125" s="260"/>
      <c r="Z125" s="260"/>
      <c r="AA125" s="260"/>
      <c r="AB125" s="260"/>
      <c r="AC125" s="260"/>
      <c r="AD125" s="260"/>
    </row>
    <row r="126" spans="1:30" ht="15" thickBot="1">
      <c r="A126" s="260"/>
      <c r="B126" s="260"/>
      <c r="C126" s="260"/>
      <c r="D126" s="260"/>
      <c r="E126" s="260"/>
      <c r="F126" s="260"/>
      <c r="G126" s="260"/>
      <c r="H126" s="260"/>
      <c r="I126" s="260"/>
      <c r="J126" s="260"/>
      <c r="K126" s="260"/>
      <c r="L126" s="260"/>
      <c r="M126" s="260"/>
      <c r="N126" s="260"/>
      <c r="O126" s="260"/>
      <c r="P126" s="260"/>
      <c r="Q126" s="260"/>
      <c r="R126" s="260"/>
      <c r="S126" s="260"/>
      <c r="T126" s="260"/>
      <c r="U126" s="260"/>
      <c r="V126" s="260"/>
      <c r="W126" s="260"/>
      <c r="X126" s="260"/>
      <c r="Y126" s="260"/>
      <c r="Z126" s="260"/>
      <c r="AA126" s="260"/>
      <c r="AB126" s="260"/>
      <c r="AC126" s="260"/>
      <c r="AD126" s="260"/>
    </row>
    <row r="127" spans="1:30" ht="15" thickBot="1">
      <c r="A127" s="260"/>
      <c r="B127" s="260"/>
      <c r="C127" s="260"/>
      <c r="D127" s="260"/>
      <c r="E127" s="260"/>
      <c r="F127" s="260"/>
      <c r="G127" s="260"/>
      <c r="H127" s="260"/>
      <c r="I127" s="260"/>
      <c r="J127" s="260"/>
      <c r="K127" s="260"/>
      <c r="L127" s="260"/>
      <c r="M127" s="260"/>
      <c r="N127" s="260"/>
      <c r="O127" s="260"/>
      <c r="P127" s="260"/>
      <c r="Q127" s="260"/>
      <c r="R127" s="260"/>
      <c r="S127" s="260"/>
      <c r="T127" s="260"/>
      <c r="U127" s="260"/>
      <c r="V127" s="260"/>
      <c r="W127" s="260"/>
      <c r="X127" s="260"/>
      <c r="Y127" s="260"/>
      <c r="Z127" s="260"/>
      <c r="AA127" s="260"/>
      <c r="AB127" s="260"/>
      <c r="AC127" s="260"/>
      <c r="AD127" s="260"/>
    </row>
    <row r="128" spans="1:30" ht="15" thickBot="1">
      <c r="A128" s="260"/>
      <c r="B128" s="260"/>
      <c r="C128" s="260"/>
      <c r="D128" s="260"/>
      <c r="E128" s="260"/>
      <c r="F128" s="260"/>
      <c r="G128" s="260"/>
      <c r="H128" s="260"/>
      <c r="I128" s="260"/>
      <c r="J128" s="260"/>
      <c r="K128" s="260"/>
      <c r="L128" s="260"/>
      <c r="M128" s="260"/>
      <c r="N128" s="260"/>
      <c r="O128" s="260"/>
      <c r="P128" s="260"/>
      <c r="Q128" s="260"/>
      <c r="R128" s="260"/>
      <c r="S128" s="260"/>
      <c r="T128" s="260"/>
      <c r="U128" s="260"/>
      <c r="V128" s="260"/>
      <c r="W128" s="260"/>
      <c r="X128" s="260"/>
      <c r="Y128" s="260"/>
      <c r="Z128" s="260"/>
      <c r="AA128" s="260"/>
      <c r="AB128" s="260"/>
      <c r="AC128" s="260"/>
      <c r="AD128" s="260"/>
    </row>
    <row r="129" spans="1:30" ht="15" thickBot="1">
      <c r="A129" s="260"/>
      <c r="B129" s="260"/>
      <c r="C129" s="260"/>
      <c r="D129" s="260"/>
      <c r="E129" s="260"/>
      <c r="F129" s="260"/>
      <c r="G129" s="260"/>
      <c r="H129" s="260"/>
      <c r="I129" s="260"/>
      <c r="J129" s="260"/>
      <c r="K129" s="260"/>
      <c r="L129" s="260"/>
      <c r="M129" s="260"/>
      <c r="N129" s="260"/>
      <c r="O129" s="260"/>
      <c r="P129" s="260"/>
      <c r="Q129" s="260"/>
      <c r="R129" s="260"/>
      <c r="S129" s="260"/>
      <c r="T129" s="260"/>
      <c r="U129" s="260"/>
      <c r="V129" s="260"/>
      <c r="W129" s="260"/>
      <c r="X129" s="260"/>
      <c r="Y129" s="260"/>
      <c r="Z129" s="260"/>
      <c r="AA129" s="260"/>
      <c r="AB129" s="260"/>
      <c r="AC129" s="260"/>
      <c r="AD129" s="260"/>
    </row>
    <row r="130" spans="1:30" ht="15" thickBot="1">
      <c r="A130" s="260"/>
      <c r="B130" s="260"/>
      <c r="C130" s="260"/>
      <c r="D130" s="260"/>
      <c r="E130" s="260"/>
      <c r="F130" s="260"/>
      <c r="G130" s="260"/>
      <c r="H130" s="260"/>
      <c r="I130" s="260"/>
      <c r="J130" s="260"/>
      <c r="K130" s="260"/>
      <c r="L130" s="260"/>
      <c r="M130" s="260"/>
      <c r="N130" s="260"/>
      <c r="O130" s="260"/>
      <c r="P130" s="260"/>
      <c r="Q130" s="260"/>
      <c r="R130" s="260"/>
      <c r="S130" s="260"/>
      <c r="T130" s="260"/>
      <c r="U130" s="260"/>
      <c r="V130" s="260"/>
      <c r="W130" s="260"/>
      <c r="X130" s="260"/>
      <c r="Y130" s="260"/>
      <c r="Z130" s="260"/>
      <c r="AA130" s="260"/>
      <c r="AB130" s="260"/>
      <c r="AC130" s="260"/>
      <c r="AD130" s="260"/>
    </row>
    <row r="131" spans="1:30" ht="15" thickBot="1">
      <c r="A131" s="260"/>
      <c r="B131" s="260"/>
      <c r="C131" s="260"/>
      <c r="D131" s="260"/>
      <c r="E131" s="260"/>
      <c r="F131" s="260"/>
      <c r="G131" s="260"/>
      <c r="H131" s="260"/>
      <c r="I131" s="260"/>
      <c r="J131" s="260"/>
      <c r="K131" s="260"/>
      <c r="L131" s="260"/>
      <c r="M131" s="260"/>
      <c r="N131" s="260"/>
      <c r="O131" s="260"/>
      <c r="P131" s="260"/>
      <c r="Q131" s="260"/>
      <c r="R131" s="260"/>
      <c r="S131" s="260"/>
      <c r="T131" s="260"/>
      <c r="U131" s="260"/>
      <c r="V131" s="260"/>
      <c r="W131" s="260"/>
      <c r="X131" s="260"/>
      <c r="Y131" s="260"/>
      <c r="Z131" s="260"/>
      <c r="AA131" s="260"/>
      <c r="AB131" s="260"/>
      <c r="AC131" s="260"/>
      <c r="AD131" s="260"/>
    </row>
    <row r="132" spans="1:30" ht="15" thickBot="1">
      <c r="A132" s="260"/>
      <c r="B132" s="260"/>
      <c r="C132" s="260"/>
      <c r="D132" s="260"/>
      <c r="E132" s="260"/>
      <c r="F132" s="260"/>
      <c r="G132" s="260"/>
      <c r="H132" s="260"/>
      <c r="I132" s="260"/>
      <c r="J132" s="260"/>
      <c r="K132" s="260"/>
      <c r="L132" s="260"/>
      <c r="M132" s="260"/>
      <c r="N132" s="260"/>
      <c r="O132" s="260"/>
      <c r="P132" s="260"/>
      <c r="Q132" s="260"/>
      <c r="R132" s="260"/>
      <c r="S132" s="260"/>
      <c r="T132" s="260"/>
      <c r="U132" s="260"/>
      <c r="V132" s="260"/>
      <c r="W132" s="260"/>
      <c r="X132" s="260"/>
      <c r="Y132" s="260"/>
      <c r="Z132" s="260"/>
      <c r="AA132" s="260"/>
      <c r="AB132" s="260"/>
      <c r="AC132" s="260"/>
      <c r="AD132" s="260"/>
    </row>
    <row r="133" spans="1:30" ht="15" thickBot="1">
      <c r="A133" s="260"/>
      <c r="B133" s="260"/>
      <c r="C133" s="260"/>
      <c r="D133" s="260"/>
      <c r="E133" s="260"/>
      <c r="F133" s="260"/>
      <c r="G133" s="260"/>
      <c r="H133" s="260"/>
      <c r="I133" s="260"/>
      <c r="J133" s="260"/>
      <c r="K133" s="260"/>
      <c r="L133" s="260"/>
      <c r="M133" s="260"/>
      <c r="N133" s="260"/>
      <c r="O133" s="260"/>
      <c r="P133" s="260"/>
      <c r="Q133" s="260"/>
      <c r="R133" s="260"/>
      <c r="S133" s="260"/>
      <c r="T133" s="260"/>
      <c r="U133" s="260"/>
      <c r="V133" s="260"/>
      <c r="W133" s="260"/>
      <c r="X133" s="260"/>
      <c r="Y133" s="260"/>
      <c r="Z133" s="260"/>
      <c r="AA133" s="260"/>
      <c r="AB133" s="260"/>
      <c r="AC133" s="260"/>
      <c r="AD133" s="260"/>
    </row>
    <row r="134" spans="1:30" ht="15" thickBot="1">
      <c r="A134" s="260"/>
      <c r="B134" s="260"/>
      <c r="C134" s="260"/>
      <c r="D134" s="260"/>
      <c r="E134" s="260"/>
      <c r="F134" s="260"/>
      <c r="G134" s="260"/>
      <c r="H134" s="260"/>
      <c r="I134" s="260"/>
      <c r="J134" s="260"/>
      <c r="K134" s="260"/>
      <c r="L134" s="260"/>
      <c r="M134" s="260"/>
      <c r="N134" s="260"/>
      <c r="O134" s="260"/>
      <c r="P134" s="260"/>
      <c r="Q134" s="260"/>
      <c r="R134" s="260"/>
      <c r="S134" s="260"/>
      <c r="T134" s="260"/>
      <c r="U134" s="260"/>
      <c r="V134" s="260"/>
      <c r="W134" s="260"/>
      <c r="X134" s="260"/>
      <c r="Y134" s="260"/>
      <c r="Z134" s="260"/>
      <c r="AA134" s="260"/>
      <c r="AB134" s="260"/>
      <c r="AC134" s="260"/>
      <c r="AD134" s="260"/>
    </row>
    <row r="135" spans="1:30" ht="15" thickBot="1">
      <c r="A135" s="260"/>
      <c r="B135" s="260"/>
      <c r="C135" s="260"/>
      <c r="D135" s="260"/>
      <c r="E135" s="260"/>
      <c r="F135" s="260"/>
      <c r="G135" s="260"/>
      <c r="H135" s="260"/>
      <c r="I135" s="260"/>
      <c r="J135" s="260"/>
      <c r="K135" s="260"/>
      <c r="L135" s="260"/>
      <c r="M135" s="260"/>
      <c r="N135" s="260"/>
      <c r="O135" s="260"/>
      <c r="P135" s="260"/>
      <c r="Q135" s="260"/>
      <c r="R135" s="260"/>
      <c r="S135" s="260"/>
      <c r="T135" s="260"/>
      <c r="U135" s="260"/>
      <c r="V135" s="260"/>
      <c r="W135" s="260"/>
      <c r="X135" s="260"/>
      <c r="Y135" s="260"/>
      <c r="Z135" s="260"/>
      <c r="AA135" s="260"/>
      <c r="AB135" s="260"/>
      <c r="AC135" s="260"/>
      <c r="AD135" s="260"/>
    </row>
    <row r="136" spans="1:30" ht="15" thickBot="1">
      <c r="A136" s="260"/>
      <c r="B136" s="260"/>
      <c r="C136" s="260"/>
      <c r="D136" s="260"/>
      <c r="E136" s="260"/>
      <c r="F136" s="260"/>
      <c r="G136" s="260"/>
      <c r="H136" s="260"/>
      <c r="I136" s="260"/>
      <c r="J136" s="260"/>
      <c r="K136" s="260"/>
      <c r="L136" s="260"/>
      <c r="M136" s="260"/>
      <c r="N136" s="260"/>
      <c r="O136" s="260"/>
      <c r="P136" s="260"/>
      <c r="Q136" s="260"/>
      <c r="R136" s="260"/>
      <c r="S136" s="260"/>
      <c r="T136" s="260"/>
      <c r="U136" s="260"/>
      <c r="V136" s="260"/>
      <c r="W136" s="260"/>
      <c r="X136" s="260"/>
      <c r="Y136" s="260"/>
      <c r="Z136" s="260"/>
      <c r="AA136" s="260"/>
      <c r="AB136" s="260"/>
      <c r="AC136" s="260"/>
      <c r="AD136" s="260"/>
    </row>
    <row r="137" spans="1:30" ht="15" thickBot="1">
      <c r="A137" s="260"/>
      <c r="B137" s="260"/>
      <c r="C137" s="260"/>
      <c r="D137" s="260"/>
      <c r="E137" s="260"/>
      <c r="F137" s="260"/>
      <c r="G137" s="260"/>
      <c r="H137" s="260"/>
      <c r="I137" s="260"/>
      <c r="J137" s="260"/>
      <c r="K137" s="260"/>
      <c r="L137" s="260"/>
      <c r="M137" s="260"/>
      <c r="N137" s="260"/>
      <c r="O137" s="260"/>
      <c r="P137" s="260"/>
      <c r="Q137" s="260"/>
      <c r="R137" s="260"/>
      <c r="S137" s="260"/>
      <c r="T137" s="260"/>
      <c r="U137" s="260"/>
      <c r="V137" s="260"/>
      <c r="W137" s="260"/>
      <c r="X137" s="260"/>
      <c r="Y137" s="260"/>
      <c r="Z137" s="260"/>
      <c r="AA137" s="260"/>
      <c r="AB137" s="260"/>
      <c r="AC137" s="260"/>
      <c r="AD137" s="260"/>
    </row>
    <row r="138" spans="1:30" ht="15" thickBot="1">
      <c r="A138" s="260"/>
      <c r="B138" s="260"/>
      <c r="C138" s="260"/>
      <c r="D138" s="260"/>
      <c r="E138" s="260"/>
      <c r="F138" s="260"/>
      <c r="G138" s="260"/>
      <c r="H138" s="260"/>
      <c r="I138" s="260"/>
      <c r="J138" s="260"/>
      <c r="K138" s="260"/>
      <c r="L138" s="260"/>
      <c r="M138" s="260"/>
      <c r="N138" s="260"/>
      <c r="O138" s="260"/>
      <c r="P138" s="260"/>
      <c r="Q138" s="260"/>
      <c r="R138" s="260"/>
      <c r="S138" s="260"/>
      <c r="T138" s="260"/>
      <c r="U138" s="260"/>
      <c r="V138" s="260"/>
      <c r="W138" s="260"/>
      <c r="X138" s="260"/>
      <c r="Y138" s="260"/>
      <c r="Z138" s="260"/>
      <c r="AA138" s="260"/>
      <c r="AB138" s="260"/>
      <c r="AC138" s="260"/>
      <c r="AD138" s="260"/>
    </row>
    <row r="139" spans="1:30" ht="15" thickBot="1">
      <c r="A139" s="260"/>
      <c r="B139" s="260"/>
      <c r="C139" s="260"/>
      <c r="D139" s="260"/>
      <c r="E139" s="260"/>
      <c r="F139" s="260"/>
      <c r="G139" s="260"/>
      <c r="H139" s="260"/>
      <c r="I139" s="260"/>
      <c r="J139" s="260"/>
      <c r="K139" s="260"/>
      <c r="L139" s="260"/>
      <c r="M139" s="260"/>
      <c r="N139" s="260"/>
      <c r="O139" s="260"/>
      <c r="P139" s="260"/>
      <c r="Q139" s="260"/>
      <c r="R139" s="260"/>
      <c r="S139" s="260"/>
      <c r="T139" s="260"/>
      <c r="U139" s="260"/>
      <c r="V139" s="260"/>
      <c r="W139" s="260"/>
      <c r="X139" s="260"/>
      <c r="Y139" s="260"/>
      <c r="Z139" s="260"/>
      <c r="AA139" s="260"/>
      <c r="AB139" s="260"/>
      <c r="AC139" s="260"/>
      <c r="AD139" s="260"/>
    </row>
    <row r="140" spans="1:30" ht="15" thickBot="1">
      <c r="A140" s="260"/>
      <c r="B140" s="260"/>
      <c r="C140" s="260"/>
      <c r="D140" s="260"/>
      <c r="E140" s="260"/>
      <c r="F140" s="260"/>
      <c r="G140" s="260"/>
      <c r="H140" s="260"/>
      <c r="I140" s="260"/>
      <c r="J140" s="260"/>
      <c r="K140" s="260"/>
      <c r="L140" s="260"/>
      <c r="M140" s="260"/>
      <c r="N140" s="260"/>
      <c r="O140" s="260"/>
      <c r="P140" s="260"/>
      <c r="Q140" s="260"/>
      <c r="R140" s="260"/>
      <c r="S140" s="260"/>
      <c r="T140" s="260"/>
      <c r="U140" s="260"/>
      <c r="V140" s="260"/>
      <c r="W140" s="260"/>
      <c r="X140" s="260"/>
      <c r="Y140" s="260"/>
      <c r="Z140" s="260"/>
      <c r="AA140" s="260"/>
      <c r="AB140" s="260"/>
      <c r="AC140" s="260"/>
      <c r="AD140" s="260"/>
    </row>
    <row r="141" spans="1:30" ht="15" thickBot="1">
      <c r="A141" s="260"/>
      <c r="B141" s="260"/>
      <c r="C141" s="260"/>
      <c r="D141" s="260"/>
      <c r="E141" s="260"/>
      <c r="F141" s="260"/>
      <c r="G141" s="260"/>
      <c r="H141" s="260"/>
      <c r="I141" s="260"/>
      <c r="J141" s="260"/>
      <c r="K141" s="260"/>
      <c r="L141" s="260"/>
      <c r="M141" s="260"/>
      <c r="N141" s="260"/>
      <c r="O141" s="260"/>
      <c r="P141" s="260"/>
      <c r="Q141" s="260"/>
      <c r="R141" s="260"/>
      <c r="S141" s="260"/>
      <c r="T141" s="260"/>
      <c r="U141" s="260"/>
      <c r="V141" s="260"/>
      <c r="W141" s="260"/>
      <c r="X141" s="260"/>
      <c r="Y141" s="260"/>
      <c r="Z141" s="260"/>
      <c r="AA141" s="260"/>
      <c r="AB141" s="260"/>
      <c r="AC141" s="260"/>
      <c r="AD141" s="260"/>
    </row>
    <row r="142" spans="1:30" ht="15" thickBot="1">
      <c r="A142" s="260"/>
      <c r="B142" s="260"/>
      <c r="C142" s="260"/>
      <c r="D142" s="260"/>
      <c r="E142" s="260"/>
      <c r="F142" s="260"/>
      <c r="G142" s="260"/>
      <c r="H142" s="260"/>
      <c r="I142" s="260"/>
      <c r="J142" s="260"/>
      <c r="K142" s="260"/>
      <c r="L142" s="260"/>
      <c r="M142" s="260"/>
      <c r="N142" s="260"/>
      <c r="O142" s="260"/>
      <c r="P142" s="260"/>
      <c r="Q142" s="260"/>
      <c r="R142" s="260"/>
      <c r="S142" s="260"/>
      <c r="T142" s="260"/>
      <c r="U142" s="260"/>
      <c r="V142" s="260"/>
      <c r="W142" s="260"/>
      <c r="X142" s="260"/>
      <c r="Y142" s="260"/>
      <c r="Z142" s="260"/>
      <c r="AA142" s="260"/>
      <c r="AB142" s="260"/>
      <c r="AC142" s="260"/>
      <c r="AD142" s="260"/>
    </row>
    <row r="143" spans="1:30" ht="15" thickBot="1">
      <c r="A143" s="260"/>
      <c r="B143" s="260"/>
      <c r="C143" s="260"/>
      <c r="D143" s="260"/>
      <c r="E143" s="260"/>
      <c r="F143" s="260"/>
      <c r="G143" s="260"/>
      <c r="H143" s="260"/>
      <c r="I143" s="260"/>
      <c r="J143" s="260"/>
      <c r="K143" s="260"/>
      <c r="L143" s="260"/>
      <c r="M143" s="260"/>
      <c r="N143" s="260"/>
      <c r="O143" s="260"/>
      <c r="P143" s="260"/>
      <c r="Q143" s="260"/>
      <c r="R143" s="260"/>
      <c r="S143" s="260"/>
      <c r="T143" s="260"/>
      <c r="U143" s="260"/>
      <c r="V143" s="260"/>
      <c r="W143" s="260"/>
      <c r="X143" s="260"/>
      <c r="Y143" s="260"/>
      <c r="Z143" s="260"/>
      <c r="AA143" s="260"/>
      <c r="AB143" s="260"/>
      <c r="AC143" s="260"/>
      <c r="AD143" s="260"/>
    </row>
    <row r="144" spans="1:30" ht="15" thickBot="1">
      <c r="A144" s="260"/>
      <c r="B144" s="260"/>
      <c r="C144" s="260"/>
      <c r="D144" s="260"/>
      <c r="E144" s="260"/>
      <c r="F144" s="260"/>
      <c r="G144" s="260"/>
      <c r="H144" s="260"/>
      <c r="I144" s="260"/>
      <c r="J144" s="260"/>
      <c r="K144" s="260"/>
      <c r="L144" s="260"/>
      <c r="M144" s="260"/>
      <c r="N144" s="260"/>
      <c r="O144" s="260"/>
      <c r="P144" s="260"/>
      <c r="Q144" s="260"/>
      <c r="R144" s="260"/>
      <c r="S144" s="260"/>
      <c r="T144" s="260"/>
      <c r="U144" s="260"/>
      <c r="V144" s="260"/>
      <c r="W144" s="260"/>
      <c r="X144" s="260"/>
      <c r="Y144" s="260"/>
      <c r="Z144" s="260"/>
      <c r="AA144" s="260"/>
      <c r="AB144" s="260"/>
      <c r="AC144" s="260"/>
      <c r="AD144" s="260"/>
    </row>
    <row r="145" spans="1:30" ht="15" thickBot="1">
      <c r="A145" s="260"/>
      <c r="B145" s="260"/>
      <c r="C145" s="260"/>
      <c r="D145" s="260"/>
      <c r="E145" s="260"/>
      <c r="F145" s="260"/>
      <c r="G145" s="260"/>
      <c r="H145" s="260"/>
      <c r="I145" s="260"/>
      <c r="J145" s="260"/>
      <c r="K145" s="260"/>
      <c r="L145" s="260"/>
      <c r="M145" s="260"/>
      <c r="N145" s="260"/>
      <c r="O145" s="260"/>
      <c r="P145" s="260"/>
      <c r="Q145" s="260"/>
      <c r="R145" s="260"/>
      <c r="S145" s="260"/>
      <c r="T145" s="260"/>
      <c r="U145" s="260"/>
      <c r="V145" s="260"/>
      <c r="W145" s="260"/>
      <c r="X145" s="260"/>
      <c r="Y145" s="260"/>
      <c r="Z145" s="260"/>
      <c r="AA145" s="260"/>
      <c r="AB145" s="260"/>
      <c r="AC145" s="260"/>
      <c r="AD145" s="260"/>
    </row>
    <row r="146" spans="1:30" ht="15" thickBot="1">
      <c r="A146" s="260"/>
      <c r="B146" s="260"/>
      <c r="C146" s="260"/>
      <c r="D146" s="260"/>
      <c r="E146" s="260"/>
      <c r="F146" s="260"/>
      <c r="G146" s="260"/>
      <c r="H146" s="260"/>
      <c r="I146" s="260"/>
      <c r="J146" s="260"/>
      <c r="K146" s="260"/>
      <c r="L146" s="260"/>
      <c r="M146" s="260"/>
      <c r="N146" s="260"/>
      <c r="O146" s="260"/>
      <c r="P146" s="260"/>
      <c r="Q146" s="260"/>
      <c r="R146" s="260"/>
      <c r="S146" s="260"/>
      <c r="T146" s="260"/>
      <c r="U146" s="260"/>
      <c r="V146" s="260"/>
      <c r="W146" s="260"/>
      <c r="X146" s="260"/>
      <c r="Y146" s="260"/>
      <c r="Z146" s="260"/>
      <c r="AA146" s="260"/>
      <c r="AB146" s="260"/>
      <c r="AC146" s="260"/>
      <c r="AD146" s="260"/>
    </row>
    <row r="147" spans="1:30" ht="15" thickBot="1">
      <c r="A147" s="260"/>
      <c r="B147" s="260"/>
      <c r="C147" s="260"/>
      <c r="D147" s="260"/>
      <c r="E147" s="260"/>
      <c r="F147" s="260"/>
      <c r="G147" s="260"/>
      <c r="H147" s="260"/>
      <c r="I147" s="260"/>
      <c r="J147" s="260"/>
      <c r="K147" s="260"/>
      <c r="L147" s="260"/>
      <c r="M147" s="260"/>
      <c r="N147" s="260"/>
      <c r="O147" s="260"/>
      <c r="P147" s="260"/>
      <c r="Q147" s="260"/>
      <c r="R147" s="260"/>
      <c r="S147" s="260"/>
      <c r="T147" s="260"/>
      <c r="U147" s="260"/>
      <c r="V147" s="260"/>
      <c r="W147" s="260"/>
      <c r="X147" s="260"/>
      <c r="Y147" s="260"/>
      <c r="Z147" s="260"/>
      <c r="AA147" s="260"/>
      <c r="AB147" s="260"/>
      <c r="AC147" s="260"/>
      <c r="AD147" s="260"/>
    </row>
    <row r="148" spans="1:30" ht="15" thickBot="1">
      <c r="A148" s="260"/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0"/>
      <c r="P148" s="260"/>
      <c r="Q148" s="260"/>
      <c r="R148" s="260"/>
      <c r="S148" s="260"/>
      <c r="T148" s="260"/>
      <c r="U148" s="260"/>
      <c r="V148" s="260"/>
      <c r="W148" s="260"/>
      <c r="X148" s="260"/>
      <c r="Y148" s="260"/>
      <c r="Z148" s="260"/>
      <c r="AA148" s="260"/>
      <c r="AB148" s="260"/>
      <c r="AC148" s="260"/>
      <c r="AD148" s="260"/>
    </row>
    <row r="149" spans="1:30" ht="15" thickBot="1">
      <c r="A149" s="260"/>
      <c r="B149" s="260"/>
      <c r="C149" s="260"/>
      <c r="D149" s="260"/>
      <c r="E149" s="260"/>
      <c r="F149" s="260"/>
      <c r="G149" s="260"/>
      <c r="H149" s="260"/>
      <c r="I149" s="260"/>
      <c r="J149" s="260"/>
      <c r="K149" s="260"/>
      <c r="L149" s="260"/>
      <c r="M149" s="260"/>
      <c r="N149" s="260"/>
      <c r="O149" s="260"/>
      <c r="P149" s="260"/>
      <c r="Q149" s="260"/>
      <c r="R149" s="260"/>
      <c r="S149" s="260"/>
      <c r="T149" s="260"/>
      <c r="U149" s="260"/>
      <c r="V149" s="260"/>
      <c r="W149" s="260"/>
      <c r="X149" s="260"/>
      <c r="Y149" s="260"/>
      <c r="Z149" s="260"/>
      <c r="AA149" s="260"/>
      <c r="AB149" s="260"/>
      <c r="AC149" s="260"/>
      <c r="AD149" s="260"/>
    </row>
    <row r="150" spans="1:30" ht="15" thickBot="1">
      <c r="A150" s="260"/>
      <c r="B150" s="260"/>
      <c r="C150" s="260"/>
      <c r="D150" s="260"/>
      <c r="E150" s="260"/>
      <c r="F150" s="260"/>
      <c r="G150" s="260"/>
      <c r="H150" s="260"/>
      <c r="I150" s="260"/>
      <c r="J150" s="260"/>
      <c r="K150" s="260"/>
      <c r="L150" s="260"/>
      <c r="M150" s="260"/>
      <c r="N150" s="260"/>
      <c r="O150" s="260"/>
      <c r="P150" s="260"/>
      <c r="Q150" s="260"/>
      <c r="R150" s="260"/>
      <c r="S150" s="260"/>
      <c r="T150" s="260"/>
      <c r="U150" s="260"/>
      <c r="V150" s="260"/>
      <c r="W150" s="260"/>
      <c r="X150" s="260"/>
      <c r="Y150" s="260"/>
      <c r="Z150" s="260"/>
      <c r="AA150" s="260"/>
      <c r="AB150" s="260"/>
      <c r="AC150" s="260"/>
      <c r="AD150" s="260"/>
    </row>
    <row r="151" spans="1:30" ht="15" thickBot="1">
      <c r="A151" s="260"/>
      <c r="B151" s="260"/>
      <c r="C151" s="260"/>
      <c r="D151" s="260"/>
      <c r="E151" s="260"/>
      <c r="F151" s="260"/>
      <c r="G151" s="260"/>
      <c r="H151" s="260"/>
      <c r="I151" s="260"/>
      <c r="J151" s="260"/>
      <c r="K151" s="260"/>
      <c r="L151" s="260"/>
      <c r="M151" s="260"/>
      <c r="N151" s="260"/>
      <c r="O151" s="260"/>
      <c r="P151" s="260"/>
      <c r="Q151" s="260"/>
      <c r="R151" s="260"/>
      <c r="S151" s="260"/>
      <c r="T151" s="260"/>
      <c r="U151" s="260"/>
      <c r="V151" s="260"/>
      <c r="W151" s="260"/>
      <c r="X151" s="260"/>
      <c r="Y151" s="260"/>
      <c r="Z151" s="260"/>
      <c r="AA151" s="260"/>
      <c r="AB151" s="260"/>
      <c r="AC151" s="260"/>
      <c r="AD151" s="260"/>
    </row>
    <row r="152" spans="1:30" ht="15" thickBot="1">
      <c r="A152" s="260"/>
      <c r="B152" s="260"/>
      <c r="C152" s="260"/>
      <c r="D152" s="260"/>
      <c r="E152" s="260"/>
      <c r="F152" s="260"/>
      <c r="G152" s="260"/>
      <c r="H152" s="260"/>
      <c r="I152" s="260"/>
      <c r="J152" s="260"/>
      <c r="K152" s="260"/>
      <c r="L152" s="260"/>
      <c r="M152" s="260"/>
      <c r="N152" s="260"/>
      <c r="O152" s="260"/>
      <c r="P152" s="260"/>
      <c r="Q152" s="260"/>
      <c r="R152" s="260"/>
      <c r="S152" s="260"/>
      <c r="T152" s="260"/>
      <c r="U152" s="260"/>
      <c r="V152" s="260"/>
      <c r="W152" s="260"/>
      <c r="X152" s="260"/>
      <c r="Y152" s="260"/>
      <c r="Z152" s="260"/>
      <c r="AA152" s="260"/>
      <c r="AB152" s="260"/>
      <c r="AC152" s="260"/>
      <c r="AD152" s="260"/>
    </row>
    <row r="153" spans="1:30" ht="15" thickBot="1">
      <c r="A153" s="260"/>
      <c r="B153" s="260"/>
      <c r="C153" s="260"/>
      <c r="D153" s="260"/>
      <c r="E153" s="260"/>
      <c r="F153" s="260"/>
      <c r="G153" s="260"/>
      <c r="H153" s="260"/>
      <c r="I153" s="260"/>
      <c r="J153" s="260"/>
      <c r="K153" s="260"/>
      <c r="L153" s="260"/>
      <c r="M153" s="260"/>
      <c r="N153" s="260"/>
      <c r="O153" s="260"/>
      <c r="P153" s="260"/>
      <c r="Q153" s="260"/>
      <c r="R153" s="260"/>
      <c r="S153" s="260"/>
      <c r="T153" s="260"/>
      <c r="U153" s="260"/>
      <c r="V153" s="260"/>
      <c r="W153" s="260"/>
      <c r="X153" s="260"/>
      <c r="Y153" s="260"/>
      <c r="Z153" s="260"/>
      <c r="AA153" s="260"/>
      <c r="AB153" s="260"/>
      <c r="AC153" s="260"/>
      <c r="AD153" s="260"/>
    </row>
    <row r="154" spans="1:30" ht="15" thickBot="1">
      <c r="A154" s="260"/>
      <c r="B154" s="260"/>
      <c r="C154" s="260"/>
      <c r="D154" s="260"/>
      <c r="E154" s="260"/>
      <c r="F154" s="260"/>
      <c r="G154" s="260"/>
      <c r="H154" s="260"/>
      <c r="I154" s="260"/>
      <c r="J154" s="260"/>
      <c r="K154" s="260"/>
      <c r="L154" s="260"/>
      <c r="M154" s="260"/>
      <c r="N154" s="260"/>
      <c r="O154" s="260"/>
      <c r="P154" s="260"/>
      <c r="Q154" s="260"/>
      <c r="R154" s="260"/>
      <c r="S154" s="260"/>
      <c r="T154" s="260"/>
      <c r="U154" s="260"/>
      <c r="V154" s="260"/>
      <c r="W154" s="260"/>
      <c r="X154" s="260"/>
      <c r="Y154" s="260"/>
      <c r="Z154" s="260"/>
      <c r="AA154" s="260"/>
      <c r="AB154" s="260"/>
      <c r="AC154" s="260"/>
      <c r="AD154" s="260"/>
    </row>
    <row r="155" spans="1:30" ht="15" thickBot="1">
      <c r="A155" s="260"/>
      <c r="B155" s="260"/>
      <c r="C155" s="260"/>
      <c r="D155" s="260"/>
      <c r="E155" s="260"/>
      <c r="F155" s="260"/>
      <c r="G155" s="260"/>
      <c r="H155" s="260"/>
      <c r="I155" s="260"/>
      <c r="J155" s="260"/>
      <c r="K155" s="260"/>
      <c r="L155" s="260"/>
      <c r="M155" s="260"/>
      <c r="N155" s="260"/>
      <c r="O155" s="260"/>
      <c r="P155" s="260"/>
      <c r="Q155" s="260"/>
      <c r="R155" s="260"/>
      <c r="S155" s="260"/>
      <c r="T155" s="260"/>
      <c r="U155" s="260"/>
      <c r="V155" s="260"/>
      <c r="W155" s="260"/>
      <c r="X155" s="260"/>
      <c r="Y155" s="260"/>
      <c r="Z155" s="260"/>
      <c r="AA155" s="260"/>
      <c r="AB155" s="260"/>
      <c r="AC155" s="260"/>
      <c r="AD155" s="260"/>
    </row>
    <row r="156" spans="1:30" ht="15" thickBot="1">
      <c r="A156" s="260"/>
      <c r="B156" s="260"/>
      <c r="C156" s="260"/>
      <c r="D156" s="260"/>
      <c r="E156" s="260"/>
      <c r="F156" s="260"/>
      <c r="G156" s="260"/>
      <c r="H156" s="260"/>
      <c r="I156" s="260"/>
      <c r="J156" s="260"/>
      <c r="K156" s="260"/>
      <c r="L156" s="260"/>
      <c r="M156" s="260"/>
      <c r="N156" s="260"/>
      <c r="O156" s="260"/>
      <c r="P156" s="260"/>
      <c r="Q156" s="260"/>
      <c r="R156" s="260"/>
      <c r="S156" s="260"/>
      <c r="T156" s="260"/>
      <c r="U156" s="260"/>
      <c r="V156" s="260"/>
      <c r="W156" s="260"/>
      <c r="X156" s="260"/>
      <c r="Y156" s="260"/>
      <c r="Z156" s="260"/>
      <c r="AA156" s="260"/>
      <c r="AB156" s="260"/>
      <c r="AC156" s="260"/>
      <c r="AD156" s="260"/>
    </row>
    <row r="157" spans="1:30" ht="15" thickBot="1">
      <c r="A157" s="260"/>
      <c r="B157" s="260"/>
      <c r="C157" s="260"/>
      <c r="D157" s="260"/>
      <c r="E157" s="260"/>
      <c r="F157" s="260"/>
      <c r="G157" s="260"/>
      <c r="H157" s="260"/>
      <c r="I157" s="260"/>
      <c r="J157" s="260"/>
      <c r="K157" s="260"/>
      <c r="L157" s="260"/>
      <c r="M157" s="260"/>
      <c r="N157" s="260"/>
      <c r="O157" s="260"/>
      <c r="P157" s="260"/>
      <c r="Q157" s="260"/>
      <c r="R157" s="260"/>
      <c r="S157" s="260"/>
      <c r="T157" s="260"/>
      <c r="U157" s="260"/>
      <c r="V157" s="260"/>
      <c r="W157" s="260"/>
      <c r="X157" s="260"/>
      <c r="Y157" s="260"/>
      <c r="Z157" s="260"/>
      <c r="AA157" s="260"/>
      <c r="AB157" s="260"/>
      <c r="AC157" s="260"/>
      <c r="AD157" s="260"/>
    </row>
    <row r="158" spans="1:30" ht="15" thickBot="1">
      <c r="A158" s="260"/>
      <c r="B158" s="260"/>
      <c r="C158" s="260"/>
      <c r="D158" s="260"/>
      <c r="E158" s="260"/>
      <c r="F158" s="260"/>
      <c r="G158" s="260"/>
      <c r="H158" s="260"/>
      <c r="I158" s="260"/>
      <c r="J158" s="260"/>
      <c r="K158" s="260"/>
      <c r="L158" s="260"/>
      <c r="M158" s="260"/>
      <c r="N158" s="260"/>
      <c r="O158" s="260"/>
      <c r="P158" s="260"/>
      <c r="Q158" s="260"/>
      <c r="R158" s="260"/>
      <c r="S158" s="260"/>
      <c r="T158" s="260"/>
      <c r="U158" s="260"/>
      <c r="V158" s="260"/>
      <c r="W158" s="260"/>
      <c r="X158" s="260"/>
      <c r="Y158" s="260"/>
      <c r="Z158" s="260"/>
      <c r="AA158" s="260"/>
      <c r="AB158" s="260"/>
      <c r="AC158" s="260"/>
      <c r="AD158" s="260"/>
    </row>
    <row r="159" spans="1:30" ht="15" thickBot="1">
      <c r="A159" s="260"/>
      <c r="B159" s="260"/>
      <c r="C159" s="260"/>
      <c r="D159" s="260"/>
      <c r="E159" s="260"/>
      <c r="F159" s="260"/>
      <c r="G159" s="260"/>
      <c r="H159" s="260"/>
      <c r="I159" s="260"/>
      <c r="J159" s="260"/>
      <c r="K159" s="260"/>
      <c r="L159" s="260"/>
      <c r="M159" s="260"/>
      <c r="N159" s="260"/>
      <c r="O159" s="260"/>
      <c r="P159" s="260"/>
      <c r="Q159" s="260"/>
      <c r="R159" s="260"/>
      <c r="S159" s="260"/>
      <c r="T159" s="260"/>
      <c r="U159" s="260"/>
      <c r="V159" s="260"/>
      <c r="W159" s="260"/>
      <c r="X159" s="260"/>
      <c r="Y159" s="260"/>
      <c r="Z159" s="260"/>
      <c r="AA159" s="260"/>
      <c r="AB159" s="260"/>
      <c r="AC159" s="260"/>
      <c r="AD159" s="260"/>
    </row>
    <row r="160" spans="1:30" ht="15" thickBot="1">
      <c r="A160" s="260"/>
      <c r="B160" s="260"/>
      <c r="C160" s="260"/>
      <c r="D160" s="260"/>
      <c r="E160" s="260"/>
      <c r="F160" s="260"/>
      <c r="G160" s="260"/>
      <c r="H160" s="260"/>
      <c r="I160" s="260"/>
      <c r="J160" s="260"/>
      <c r="K160" s="260"/>
      <c r="L160" s="260"/>
      <c r="M160" s="260"/>
      <c r="N160" s="260"/>
      <c r="O160" s="260"/>
      <c r="P160" s="260"/>
      <c r="Q160" s="260"/>
      <c r="R160" s="260"/>
      <c r="S160" s="260"/>
      <c r="T160" s="260"/>
      <c r="U160" s="260"/>
      <c r="V160" s="260"/>
      <c r="W160" s="260"/>
      <c r="X160" s="260"/>
      <c r="Y160" s="260"/>
      <c r="Z160" s="260"/>
      <c r="AA160" s="260"/>
      <c r="AB160" s="260"/>
      <c r="AC160" s="260"/>
      <c r="AD160" s="260"/>
    </row>
    <row r="161" spans="1:30" ht="15" thickBot="1">
      <c r="A161" s="260"/>
      <c r="B161" s="260"/>
      <c r="C161" s="260"/>
      <c r="D161" s="260"/>
      <c r="E161" s="260"/>
      <c r="F161" s="260"/>
      <c r="G161" s="260"/>
      <c r="H161" s="260"/>
      <c r="I161" s="260"/>
      <c r="J161" s="260"/>
      <c r="K161" s="260"/>
      <c r="L161" s="260"/>
      <c r="M161" s="260"/>
      <c r="N161" s="260"/>
      <c r="O161" s="260"/>
      <c r="P161" s="260"/>
      <c r="Q161" s="260"/>
      <c r="R161" s="260"/>
      <c r="S161" s="260"/>
      <c r="T161" s="260"/>
      <c r="U161" s="260"/>
      <c r="V161" s="260"/>
      <c r="W161" s="260"/>
      <c r="X161" s="260"/>
      <c r="Y161" s="260"/>
      <c r="Z161" s="260"/>
      <c r="AA161" s="260"/>
      <c r="AB161" s="260"/>
      <c r="AC161" s="260"/>
      <c r="AD161" s="260"/>
    </row>
    <row r="162" spans="1:30" ht="15" thickBot="1">
      <c r="A162" s="260"/>
      <c r="B162" s="260"/>
      <c r="C162" s="260"/>
      <c r="D162" s="260"/>
      <c r="E162" s="260"/>
      <c r="F162" s="260"/>
      <c r="G162" s="260"/>
      <c r="H162" s="260"/>
      <c r="I162" s="260"/>
      <c r="J162" s="260"/>
      <c r="K162" s="260"/>
      <c r="L162" s="260"/>
      <c r="M162" s="260"/>
      <c r="N162" s="260"/>
      <c r="O162" s="260"/>
      <c r="P162" s="260"/>
      <c r="Q162" s="260"/>
      <c r="R162" s="260"/>
      <c r="S162" s="260"/>
      <c r="T162" s="260"/>
      <c r="U162" s="260"/>
      <c r="V162" s="260"/>
      <c r="W162" s="260"/>
      <c r="X162" s="260"/>
      <c r="Y162" s="260"/>
      <c r="Z162" s="260"/>
      <c r="AA162" s="260"/>
      <c r="AB162" s="260"/>
      <c r="AC162" s="260"/>
      <c r="AD162" s="260"/>
    </row>
    <row r="163" spans="1:30" ht="15" thickBot="1">
      <c r="A163" s="260"/>
      <c r="B163" s="260"/>
      <c r="C163" s="260"/>
      <c r="D163" s="260"/>
      <c r="E163" s="260"/>
      <c r="F163" s="260"/>
      <c r="G163" s="260"/>
      <c r="H163" s="260"/>
      <c r="I163" s="260"/>
      <c r="J163" s="260"/>
      <c r="K163" s="260"/>
      <c r="L163" s="260"/>
      <c r="M163" s="260"/>
      <c r="N163" s="260"/>
      <c r="O163" s="260"/>
      <c r="P163" s="260"/>
      <c r="Q163" s="260"/>
      <c r="R163" s="260"/>
      <c r="S163" s="260"/>
      <c r="T163" s="260"/>
      <c r="U163" s="260"/>
      <c r="V163" s="260"/>
      <c r="W163" s="260"/>
      <c r="X163" s="260"/>
      <c r="Y163" s="260"/>
      <c r="Z163" s="260"/>
      <c r="AA163" s="260"/>
      <c r="AB163" s="260"/>
      <c r="AC163" s="260"/>
      <c r="AD163" s="260"/>
    </row>
    <row r="164" spans="1:30" ht="15" thickBot="1">
      <c r="A164" s="260"/>
      <c r="B164" s="260"/>
      <c r="C164" s="260"/>
      <c r="D164" s="260"/>
      <c r="E164" s="260"/>
      <c r="F164" s="260"/>
      <c r="G164" s="260"/>
      <c r="H164" s="260"/>
      <c r="I164" s="260"/>
      <c r="J164" s="260"/>
      <c r="K164" s="260"/>
      <c r="L164" s="260"/>
      <c r="M164" s="260"/>
      <c r="N164" s="260"/>
      <c r="O164" s="260"/>
      <c r="P164" s="260"/>
      <c r="Q164" s="260"/>
      <c r="R164" s="260"/>
      <c r="S164" s="260"/>
      <c r="T164" s="260"/>
      <c r="U164" s="260"/>
      <c r="V164" s="260"/>
      <c r="W164" s="260"/>
      <c r="X164" s="260"/>
      <c r="Y164" s="260"/>
      <c r="Z164" s="260"/>
      <c r="AA164" s="260"/>
      <c r="AB164" s="260"/>
      <c r="AC164" s="260"/>
      <c r="AD164" s="260"/>
    </row>
    <row r="165" spans="1:30" ht="15" thickBot="1">
      <c r="A165" s="260"/>
      <c r="B165" s="260"/>
      <c r="C165" s="260"/>
      <c r="D165" s="260"/>
      <c r="E165" s="260"/>
      <c r="F165" s="260"/>
      <c r="G165" s="260"/>
      <c r="H165" s="260"/>
      <c r="I165" s="260"/>
      <c r="J165" s="260"/>
      <c r="K165" s="260"/>
      <c r="L165" s="260"/>
      <c r="M165" s="260"/>
      <c r="N165" s="260"/>
      <c r="O165" s="260"/>
      <c r="P165" s="260"/>
      <c r="Q165" s="260"/>
      <c r="R165" s="260"/>
      <c r="S165" s="260"/>
      <c r="T165" s="260"/>
      <c r="U165" s="260"/>
      <c r="V165" s="260"/>
      <c r="W165" s="260"/>
      <c r="X165" s="260"/>
      <c r="Y165" s="260"/>
      <c r="Z165" s="260"/>
      <c r="AA165" s="260"/>
      <c r="AB165" s="260"/>
      <c r="AC165" s="260"/>
      <c r="AD165" s="260"/>
    </row>
    <row r="166" spans="1:30" ht="15" thickBot="1">
      <c r="A166" s="260"/>
      <c r="B166" s="260"/>
      <c r="C166" s="260"/>
      <c r="D166" s="260"/>
      <c r="E166" s="260"/>
      <c r="F166" s="260"/>
      <c r="G166" s="260"/>
      <c r="H166" s="260"/>
      <c r="I166" s="260"/>
      <c r="J166" s="260"/>
      <c r="K166" s="260"/>
      <c r="L166" s="260"/>
      <c r="M166" s="260"/>
      <c r="N166" s="260"/>
      <c r="O166" s="260"/>
      <c r="P166" s="260"/>
      <c r="Q166" s="260"/>
      <c r="R166" s="260"/>
      <c r="S166" s="260"/>
      <c r="T166" s="260"/>
      <c r="U166" s="260"/>
      <c r="V166" s="260"/>
      <c r="W166" s="260"/>
      <c r="X166" s="260"/>
      <c r="Y166" s="260"/>
      <c r="Z166" s="260"/>
      <c r="AA166" s="260"/>
      <c r="AB166" s="260"/>
      <c r="AC166" s="260"/>
      <c r="AD166" s="260"/>
    </row>
    <row r="167" spans="1:30" ht="15" thickBot="1">
      <c r="A167" s="260"/>
      <c r="B167" s="260"/>
      <c r="C167" s="260"/>
      <c r="D167" s="260"/>
      <c r="E167" s="260"/>
      <c r="F167" s="260"/>
      <c r="G167" s="260"/>
      <c r="H167" s="260"/>
      <c r="I167" s="260"/>
      <c r="J167" s="260"/>
      <c r="K167" s="260"/>
      <c r="L167" s="260"/>
      <c r="M167" s="260"/>
      <c r="N167" s="260"/>
      <c r="O167" s="260"/>
      <c r="P167" s="260"/>
      <c r="Q167" s="260"/>
      <c r="R167" s="260"/>
      <c r="S167" s="260"/>
      <c r="T167" s="260"/>
      <c r="U167" s="260"/>
      <c r="V167" s="260"/>
      <c r="W167" s="260"/>
      <c r="X167" s="260"/>
      <c r="Y167" s="260"/>
      <c r="Z167" s="260"/>
      <c r="AA167" s="260"/>
      <c r="AB167" s="260"/>
      <c r="AC167" s="260"/>
      <c r="AD167" s="260"/>
    </row>
    <row r="168" spans="1:30" ht="15" thickBot="1">
      <c r="A168" s="260"/>
      <c r="B168" s="260"/>
      <c r="C168" s="260"/>
      <c r="D168" s="260"/>
      <c r="E168" s="260"/>
      <c r="F168" s="260"/>
      <c r="G168" s="260"/>
      <c r="H168" s="260"/>
      <c r="I168" s="260"/>
      <c r="J168" s="260"/>
      <c r="K168" s="260"/>
      <c r="L168" s="260"/>
      <c r="M168" s="260"/>
      <c r="N168" s="260"/>
      <c r="O168" s="260"/>
      <c r="P168" s="260"/>
      <c r="Q168" s="260"/>
      <c r="R168" s="260"/>
      <c r="S168" s="260"/>
      <c r="T168" s="260"/>
      <c r="U168" s="260"/>
      <c r="V168" s="260"/>
      <c r="W168" s="260"/>
      <c r="X168" s="260"/>
      <c r="Y168" s="260"/>
      <c r="Z168" s="260"/>
      <c r="AA168" s="260"/>
      <c r="AB168" s="260"/>
      <c r="AC168" s="260"/>
      <c r="AD168" s="260"/>
    </row>
    <row r="169" spans="1:30" ht="15" thickBot="1">
      <c r="A169" s="260"/>
      <c r="B169" s="260"/>
      <c r="C169" s="260"/>
      <c r="D169" s="260"/>
      <c r="E169" s="260"/>
      <c r="F169" s="260"/>
      <c r="G169" s="260"/>
      <c r="H169" s="260"/>
      <c r="I169" s="260"/>
      <c r="J169" s="260"/>
      <c r="K169" s="260"/>
      <c r="L169" s="260"/>
      <c r="M169" s="260"/>
      <c r="N169" s="260"/>
      <c r="O169" s="260"/>
      <c r="P169" s="260"/>
      <c r="Q169" s="260"/>
      <c r="R169" s="260"/>
      <c r="S169" s="260"/>
      <c r="T169" s="260"/>
      <c r="U169" s="260"/>
      <c r="V169" s="260"/>
      <c r="W169" s="260"/>
      <c r="X169" s="260"/>
      <c r="Y169" s="260"/>
      <c r="Z169" s="260"/>
      <c r="AA169" s="260"/>
      <c r="AB169" s="260"/>
      <c r="AC169" s="260"/>
      <c r="AD169" s="260"/>
    </row>
    <row r="170" spans="1:30" ht="15" thickBot="1">
      <c r="A170" s="260"/>
      <c r="B170" s="260"/>
      <c r="C170" s="260"/>
      <c r="D170" s="260"/>
      <c r="E170" s="260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260"/>
      <c r="T170" s="260"/>
      <c r="U170" s="260"/>
      <c r="V170" s="260"/>
      <c r="W170" s="260"/>
      <c r="X170" s="260"/>
      <c r="Y170" s="260"/>
      <c r="Z170" s="260"/>
      <c r="AA170" s="260"/>
      <c r="AB170" s="260"/>
      <c r="AC170" s="260"/>
      <c r="AD170" s="260"/>
    </row>
    <row r="171" spans="1:30" ht="15" thickBot="1">
      <c r="A171" s="260"/>
      <c r="B171" s="260"/>
      <c r="C171" s="260"/>
      <c r="D171" s="260"/>
      <c r="E171" s="260"/>
      <c r="F171" s="260"/>
      <c r="G171" s="260"/>
      <c r="H171" s="260"/>
      <c r="I171" s="260"/>
      <c r="J171" s="260"/>
      <c r="K171" s="260"/>
      <c r="L171" s="260"/>
      <c r="M171" s="260"/>
      <c r="N171" s="260"/>
      <c r="O171" s="260"/>
      <c r="P171" s="260"/>
      <c r="Q171" s="260"/>
      <c r="R171" s="260"/>
      <c r="S171" s="260"/>
      <c r="T171" s="260"/>
      <c r="U171" s="260"/>
      <c r="V171" s="260"/>
      <c r="W171" s="260"/>
      <c r="X171" s="260"/>
      <c r="Y171" s="260"/>
      <c r="Z171" s="260"/>
      <c r="AA171" s="260"/>
      <c r="AB171" s="260"/>
      <c r="AC171" s="260"/>
      <c r="AD171" s="260"/>
    </row>
    <row r="172" spans="1:30" ht="15" thickBot="1">
      <c r="A172" s="260"/>
      <c r="B172" s="260"/>
      <c r="C172" s="260"/>
      <c r="D172" s="260"/>
      <c r="E172" s="260"/>
      <c r="F172" s="260"/>
      <c r="G172" s="260"/>
      <c r="H172" s="260"/>
      <c r="I172" s="260"/>
      <c r="J172" s="260"/>
      <c r="K172" s="260"/>
      <c r="L172" s="260"/>
      <c r="M172" s="260"/>
      <c r="N172" s="260"/>
      <c r="O172" s="260"/>
      <c r="P172" s="260"/>
      <c r="Q172" s="260"/>
      <c r="R172" s="260"/>
      <c r="S172" s="260"/>
      <c r="T172" s="260"/>
      <c r="U172" s="260"/>
      <c r="V172" s="260"/>
      <c r="W172" s="260"/>
      <c r="X172" s="260"/>
      <c r="Y172" s="260"/>
      <c r="Z172" s="260"/>
      <c r="AA172" s="260"/>
      <c r="AB172" s="260"/>
      <c r="AC172" s="260"/>
      <c r="AD172" s="260"/>
    </row>
    <row r="173" spans="1:30" ht="15" thickBot="1">
      <c r="A173" s="260"/>
      <c r="B173" s="260"/>
      <c r="C173" s="260"/>
      <c r="D173" s="260"/>
      <c r="E173" s="260"/>
      <c r="F173" s="260"/>
      <c r="G173" s="260"/>
      <c r="H173" s="260"/>
      <c r="I173" s="260"/>
      <c r="J173" s="260"/>
      <c r="K173" s="260"/>
      <c r="L173" s="260"/>
      <c r="M173" s="260"/>
      <c r="N173" s="260"/>
      <c r="O173" s="260"/>
      <c r="P173" s="260"/>
      <c r="Q173" s="260"/>
      <c r="R173" s="260"/>
      <c r="S173" s="260"/>
      <c r="T173" s="260"/>
      <c r="U173" s="260"/>
      <c r="V173" s="260"/>
      <c r="W173" s="260"/>
      <c r="X173" s="260"/>
      <c r="Y173" s="260"/>
      <c r="Z173" s="260"/>
      <c r="AA173" s="260"/>
      <c r="AB173" s="260"/>
      <c r="AC173" s="260"/>
      <c r="AD173" s="260"/>
    </row>
    <row r="174" spans="1:30" ht="15" thickBot="1">
      <c r="A174" s="260"/>
      <c r="B174" s="260"/>
      <c r="C174" s="260"/>
      <c r="D174" s="260"/>
      <c r="E174" s="260"/>
      <c r="F174" s="260"/>
      <c r="G174" s="260"/>
      <c r="H174" s="260"/>
      <c r="I174" s="260"/>
      <c r="J174" s="260"/>
      <c r="K174" s="260"/>
      <c r="L174" s="260"/>
      <c r="M174" s="260"/>
      <c r="N174" s="260"/>
      <c r="O174" s="260"/>
      <c r="P174" s="260"/>
      <c r="Q174" s="260"/>
      <c r="R174" s="260"/>
      <c r="S174" s="260"/>
      <c r="T174" s="260"/>
      <c r="U174" s="260"/>
      <c r="V174" s="260"/>
      <c r="W174" s="260"/>
      <c r="X174" s="260"/>
      <c r="Y174" s="260"/>
      <c r="Z174" s="260"/>
      <c r="AA174" s="260"/>
      <c r="AB174" s="260"/>
      <c r="AC174" s="260"/>
      <c r="AD174" s="260"/>
    </row>
    <row r="175" spans="1:30" ht="15" thickBot="1">
      <c r="A175" s="260"/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0"/>
      <c r="P175" s="260"/>
      <c r="Q175" s="260"/>
      <c r="R175" s="260"/>
      <c r="S175" s="260"/>
      <c r="T175" s="260"/>
      <c r="U175" s="260"/>
      <c r="V175" s="260"/>
      <c r="W175" s="260"/>
      <c r="X175" s="260"/>
      <c r="Y175" s="260"/>
      <c r="Z175" s="260"/>
      <c r="AA175" s="260"/>
      <c r="AB175" s="260"/>
      <c r="AC175" s="260"/>
      <c r="AD175" s="260"/>
    </row>
    <row r="176" spans="1:30" ht="15" thickBot="1">
      <c r="A176" s="260"/>
      <c r="B176" s="260"/>
      <c r="C176" s="260"/>
      <c r="D176" s="260"/>
      <c r="E176" s="260"/>
      <c r="F176" s="260"/>
      <c r="G176" s="260"/>
      <c r="H176" s="260"/>
      <c r="I176" s="260"/>
      <c r="J176" s="260"/>
      <c r="K176" s="260"/>
      <c r="L176" s="260"/>
      <c r="M176" s="260"/>
      <c r="N176" s="260"/>
      <c r="O176" s="260"/>
      <c r="P176" s="260"/>
      <c r="Q176" s="260"/>
      <c r="R176" s="260"/>
      <c r="S176" s="260"/>
      <c r="T176" s="260"/>
      <c r="U176" s="260"/>
      <c r="V176" s="260"/>
      <c r="W176" s="260"/>
      <c r="X176" s="260"/>
      <c r="Y176" s="260"/>
      <c r="Z176" s="260"/>
      <c r="AA176" s="260"/>
      <c r="AB176" s="260"/>
      <c r="AC176" s="260"/>
      <c r="AD176" s="260"/>
    </row>
    <row r="177" spans="1:30" ht="15" thickBot="1">
      <c r="A177" s="260"/>
      <c r="B177" s="260"/>
      <c r="C177" s="260"/>
      <c r="D177" s="260"/>
      <c r="E177" s="260"/>
      <c r="F177" s="260"/>
      <c r="G177" s="260"/>
      <c r="H177" s="260"/>
      <c r="I177" s="260"/>
      <c r="J177" s="260"/>
      <c r="K177" s="260"/>
      <c r="L177" s="260"/>
      <c r="M177" s="260"/>
      <c r="N177" s="260"/>
      <c r="O177" s="260"/>
      <c r="P177" s="260"/>
      <c r="Q177" s="260"/>
      <c r="R177" s="260"/>
      <c r="S177" s="260"/>
      <c r="T177" s="260"/>
      <c r="U177" s="260"/>
      <c r="V177" s="260"/>
      <c r="W177" s="260"/>
      <c r="X177" s="260"/>
      <c r="Y177" s="260"/>
      <c r="Z177" s="260"/>
      <c r="AA177" s="260"/>
      <c r="AB177" s="260"/>
      <c r="AC177" s="260"/>
      <c r="AD177" s="260"/>
    </row>
    <row r="178" spans="1:30" ht="15" thickBot="1">
      <c r="A178" s="260"/>
      <c r="B178" s="260"/>
      <c r="C178" s="260"/>
      <c r="D178" s="260"/>
      <c r="E178" s="260"/>
      <c r="F178" s="260"/>
      <c r="G178" s="260"/>
      <c r="H178" s="260"/>
      <c r="I178" s="260"/>
      <c r="J178" s="260"/>
      <c r="K178" s="260"/>
      <c r="L178" s="260"/>
      <c r="M178" s="260"/>
      <c r="N178" s="260"/>
      <c r="O178" s="260"/>
      <c r="P178" s="260"/>
      <c r="Q178" s="260"/>
      <c r="R178" s="260"/>
      <c r="S178" s="260"/>
      <c r="T178" s="260"/>
      <c r="U178" s="260"/>
      <c r="V178" s="260"/>
      <c r="W178" s="260"/>
      <c r="X178" s="260"/>
      <c r="Y178" s="260"/>
      <c r="Z178" s="260"/>
      <c r="AA178" s="260"/>
      <c r="AB178" s="260"/>
      <c r="AC178" s="260"/>
      <c r="AD178" s="260"/>
    </row>
    <row r="179" spans="1:30" ht="15" thickBot="1">
      <c r="A179" s="260"/>
      <c r="B179" s="260"/>
      <c r="C179" s="260"/>
      <c r="D179" s="260"/>
      <c r="E179" s="260"/>
      <c r="F179" s="260"/>
      <c r="G179" s="260"/>
      <c r="H179" s="260"/>
      <c r="I179" s="260"/>
      <c r="J179" s="260"/>
      <c r="K179" s="260"/>
      <c r="L179" s="260"/>
      <c r="M179" s="260"/>
      <c r="N179" s="260"/>
      <c r="O179" s="260"/>
      <c r="P179" s="260"/>
      <c r="Q179" s="260"/>
      <c r="R179" s="260"/>
      <c r="S179" s="260"/>
      <c r="T179" s="260"/>
      <c r="U179" s="260"/>
      <c r="V179" s="260"/>
      <c r="W179" s="260"/>
      <c r="X179" s="260"/>
      <c r="Y179" s="260"/>
      <c r="Z179" s="260"/>
      <c r="AA179" s="260"/>
      <c r="AB179" s="260"/>
      <c r="AC179" s="260"/>
      <c r="AD179" s="260"/>
    </row>
    <row r="180" spans="1:30" ht="15" thickBot="1">
      <c r="A180" s="260"/>
      <c r="B180" s="260"/>
      <c r="C180" s="260"/>
      <c r="D180" s="260"/>
      <c r="E180" s="260"/>
      <c r="F180" s="260"/>
      <c r="G180" s="260"/>
      <c r="H180" s="260"/>
      <c r="I180" s="260"/>
      <c r="J180" s="260"/>
      <c r="K180" s="260"/>
      <c r="L180" s="260"/>
      <c r="M180" s="260"/>
      <c r="N180" s="260"/>
      <c r="O180" s="260"/>
      <c r="P180" s="260"/>
      <c r="Q180" s="260"/>
      <c r="R180" s="260"/>
      <c r="S180" s="260"/>
      <c r="T180" s="260"/>
      <c r="U180" s="260"/>
      <c r="V180" s="260"/>
      <c r="W180" s="260"/>
      <c r="X180" s="260"/>
      <c r="Y180" s="260"/>
      <c r="Z180" s="260"/>
      <c r="AA180" s="260"/>
      <c r="AB180" s="260"/>
      <c r="AC180" s="260"/>
      <c r="AD180" s="260"/>
    </row>
    <row r="181" spans="1:30" ht="15" thickBot="1">
      <c r="A181" s="260"/>
      <c r="B181" s="260"/>
      <c r="C181" s="260"/>
      <c r="D181" s="260"/>
      <c r="E181" s="260"/>
      <c r="F181" s="260"/>
      <c r="G181" s="260"/>
      <c r="H181" s="260"/>
      <c r="I181" s="260"/>
      <c r="J181" s="260"/>
      <c r="K181" s="260"/>
      <c r="L181" s="260"/>
      <c r="M181" s="260"/>
      <c r="N181" s="260"/>
      <c r="O181" s="260"/>
      <c r="P181" s="260"/>
      <c r="Q181" s="260"/>
      <c r="R181" s="260"/>
      <c r="S181" s="260"/>
      <c r="T181" s="260"/>
      <c r="U181" s="260"/>
      <c r="V181" s="260"/>
      <c r="W181" s="260"/>
      <c r="X181" s="260"/>
      <c r="Y181" s="260"/>
      <c r="Z181" s="260"/>
      <c r="AA181" s="260"/>
      <c r="AB181" s="260"/>
      <c r="AC181" s="260"/>
      <c r="AD181" s="260"/>
    </row>
    <row r="182" spans="1:30" ht="15" thickBot="1">
      <c r="A182" s="260"/>
      <c r="B182" s="260"/>
      <c r="C182" s="260"/>
      <c r="D182" s="260"/>
      <c r="E182" s="260"/>
      <c r="F182" s="260"/>
      <c r="G182" s="260"/>
      <c r="H182" s="260"/>
      <c r="I182" s="260"/>
      <c r="J182" s="260"/>
      <c r="K182" s="260"/>
      <c r="L182" s="260"/>
      <c r="M182" s="260"/>
      <c r="N182" s="260"/>
      <c r="O182" s="260"/>
      <c r="P182" s="260"/>
      <c r="Q182" s="260"/>
      <c r="R182" s="260"/>
      <c r="S182" s="260"/>
      <c r="T182" s="260"/>
      <c r="U182" s="260"/>
      <c r="V182" s="260"/>
      <c r="W182" s="260"/>
      <c r="X182" s="260"/>
      <c r="Y182" s="260"/>
      <c r="Z182" s="260"/>
      <c r="AA182" s="260"/>
      <c r="AB182" s="260"/>
      <c r="AC182" s="260"/>
      <c r="AD182" s="260"/>
    </row>
    <row r="183" spans="1:30" ht="15" thickBot="1">
      <c r="A183" s="260"/>
      <c r="B183" s="260"/>
      <c r="C183" s="260"/>
      <c r="D183" s="260"/>
      <c r="E183" s="260"/>
      <c r="F183" s="260"/>
      <c r="G183" s="260"/>
      <c r="H183" s="260"/>
      <c r="I183" s="260"/>
      <c r="J183" s="260"/>
      <c r="K183" s="260"/>
      <c r="L183" s="260"/>
      <c r="M183" s="260"/>
      <c r="N183" s="260"/>
      <c r="O183" s="260"/>
      <c r="P183" s="260"/>
      <c r="Q183" s="260"/>
      <c r="R183" s="260"/>
      <c r="S183" s="260"/>
      <c r="T183" s="260"/>
      <c r="U183" s="260"/>
      <c r="V183" s="260"/>
      <c r="W183" s="260"/>
      <c r="X183" s="260"/>
      <c r="Y183" s="260"/>
      <c r="Z183" s="260"/>
      <c r="AA183" s="260"/>
      <c r="AB183" s="260"/>
      <c r="AC183" s="260"/>
      <c r="AD183" s="260"/>
    </row>
    <row r="184" spans="1:30" ht="15" thickBot="1">
      <c r="A184" s="260"/>
      <c r="B184" s="260"/>
      <c r="C184" s="260"/>
      <c r="D184" s="260"/>
      <c r="E184" s="260"/>
      <c r="F184" s="260"/>
      <c r="G184" s="260"/>
      <c r="H184" s="260"/>
      <c r="I184" s="260"/>
      <c r="J184" s="260"/>
      <c r="K184" s="260"/>
      <c r="L184" s="260"/>
      <c r="M184" s="260"/>
      <c r="N184" s="260"/>
      <c r="O184" s="260"/>
      <c r="P184" s="260"/>
      <c r="Q184" s="260"/>
      <c r="R184" s="260"/>
      <c r="S184" s="260"/>
      <c r="T184" s="260"/>
      <c r="U184" s="260"/>
      <c r="V184" s="260"/>
      <c r="W184" s="260"/>
      <c r="X184" s="260"/>
      <c r="Y184" s="260"/>
      <c r="Z184" s="260"/>
      <c r="AA184" s="260"/>
      <c r="AB184" s="260"/>
      <c r="AC184" s="260"/>
      <c r="AD184" s="260"/>
    </row>
    <row r="185" spans="1:30" ht="15" thickBot="1">
      <c r="A185" s="260"/>
      <c r="B185" s="260"/>
      <c r="C185" s="260"/>
      <c r="D185" s="260"/>
      <c r="E185" s="260"/>
      <c r="F185" s="260"/>
      <c r="G185" s="260"/>
      <c r="H185" s="260"/>
      <c r="I185" s="260"/>
      <c r="J185" s="260"/>
      <c r="K185" s="260"/>
      <c r="L185" s="260"/>
      <c r="M185" s="260"/>
      <c r="N185" s="260"/>
      <c r="O185" s="260"/>
      <c r="P185" s="260"/>
      <c r="Q185" s="260"/>
      <c r="R185" s="260"/>
      <c r="S185" s="260"/>
      <c r="T185" s="260"/>
      <c r="U185" s="260"/>
      <c r="V185" s="260"/>
      <c r="W185" s="260"/>
      <c r="X185" s="260"/>
      <c r="Y185" s="260"/>
      <c r="Z185" s="260"/>
      <c r="AA185" s="260"/>
      <c r="AB185" s="260"/>
      <c r="AC185" s="260"/>
      <c r="AD185" s="260"/>
    </row>
    <row r="186" spans="1:30" ht="15" thickBot="1">
      <c r="A186" s="260"/>
      <c r="B186" s="260"/>
      <c r="C186" s="260"/>
      <c r="D186" s="260"/>
      <c r="E186" s="260"/>
      <c r="F186" s="260"/>
      <c r="G186" s="260"/>
      <c r="H186" s="260"/>
      <c r="I186" s="260"/>
      <c r="J186" s="260"/>
      <c r="K186" s="260"/>
      <c r="L186" s="260"/>
      <c r="M186" s="260"/>
      <c r="N186" s="260"/>
      <c r="O186" s="260"/>
      <c r="P186" s="260"/>
      <c r="Q186" s="260"/>
      <c r="R186" s="260"/>
      <c r="S186" s="260"/>
      <c r="T186" s="260"/>
      <c r="U186" s="260"/>
      <c r="V186" s="260"/>
      <c r="W186" s="260"/>
      <c r="X186" s="260"/>
      <c r="Y186" s="260"/>
      <c r="Z186" s="260"/>
      <c r="AA186" s="260"/>
      <c r="AB186" s="260"/>
      <c r="AC186" s="260"/>
      <c r="AD186" s="260"/>
    </row>
    <row r="187" spans="1:30" ht="15" thickBot="1">
      <c r="A187" s="260"/>
      <c r="B187" s="260"/>
      <c r="C187" s="260"/>
      <c r="D187" s="260"/>
      <c r="E187" s="260"/>
      <c r="F187" s="260"/>
      <c r="G187" s="260"/>
      <c r="H187" s="260"/>
      <c r="I187" s="260"/>
      <c r="J187" s="260"/>
      <c r="K187" s="260"/>
      <c r="L187" s="260"/>
      <c r="M187" s="260"/>
      <c r="N187" s="260"/>
      <c r="O187" s="260"/>
      <c r="P187" s="260"/>
      <c r="Q187" s="260"/>
      <c r="R187" s="260"/>
      <c r="S187" s="260"/>
      <c r="T187" s="260"/>
      <c r="U187" s="260"/>
      <c r="V187" s="260"/>
      <c r="W187" s="260"/>
      <c r="X187" s="260"/>
      <c r="Y187" s="260"/>
      <c r="Z187" s="260"/>
      <c r="AA187" s="260"/>
      <c r="AB187" s="260"/>
      <c r="AC187" s="260"/>
      <c r="AD187" s="260"/>
    </row>
    <row r="188" spans="1:30" ht="15" thickBot="1">
      <c r="A188" s="260"/>
      <c r="B188" s="260"/>
      <c r="C188" s="260"/>
      <c r="D188" s="260"/>
      <c r="E188" s="260"/>
      <c r="F188" s="260"/>
      <c r="G188" s="260"/>
      <c r="H188" s="260"/>
      <c r="I188" s="260"/>
      <c r="J188" s="260"/>
      <c r="K188" s="260"/>
      <c r="L188" s="260"/>
      <c r="M188" s="260"/>
      <c r="N188" s="260"/>
      <c r="O188" s="260"/>
      <c r="P188" s="260"/>
      <c r="Q188" s="260"/>
      <c r="R188" s="260"/>
      <c r="S188" s="260"/>
      <c r="T188" s="260"/>
      <c r="U188" s="260"/>
      <c r="V188" s="260"/>
      <c r="W188" s="260"/>
      <c r="X188" s="260"/>
      <c r="Y188" s="260"/>
      <c r="Z188" s="260"/>
      <c r="AA188" s="260"/>
      <c r="AB188" s="260"/>
      <c r="AC188" s="260"/>
      <c r="AD188" s="260"/>
    </row>
    <row r="189" spans="1:30" ht="15" thickBot="1">
      <c r="A189" s="260"/>
      <c r="B189" s="260"/>
      <c r="C189" s="260"/>
      <c r="D189" s="260"/>
      <c r="E189" s="260"/>
      <c r="F189" s="260"/>
      <c r="G189" s="260"/>
      <c r="H189" s="260"/>
      <c r="I189" s="260"/>
      <c r="J189" s="260"/>
      <c r="K189" s="260"/>
      <c r="L189" s="260"/>
      <c r="M189" s="260"/>
      <c r="N189" s="260"/>
      <c r="O189" s="260"/>
      <c r="P189" s="260"/>
      <c r="Q189" s="260"/>
      <c r="R189" s="260"/>
      <c r="S189" s="260"/>
      <c r="T189" s="260"/>
      <c r="U189" s="260"/>
      <c r="V189" s="260"/>
      <c r="W189" s="260"/>
      <c r="X189" s="260"/>
      <c r="Y189" s="260"/>
      <c r="Z189" s="260"/>
      <c r="AA189" s="260"/>
      <c r="AB189" s="260"/>
      <c r="AC189" s="260"/>
      <c r="AD189" s="260"/>
    </row>
    <row r="190" spans="1:30" ht="15" thickBot="1">
      <c r="A190" s="260"/>
      <c r="B190" s="260"/>
      <c r="C190" s="260"/>
      <c r="D190" s="260"/>
      <c r="E190" s="260"/>
      <c r="F190" s="260"/>
      <c r="G190" s="260"/>
      <c r="H190" s="260"/>
      <c r="I190" s="260"/>
      <c r="J190" s="260"/>
      <c r="K190" s="260"/>
      <c r="L190" s="260"/>
      <c r="M190" s="260"/>
      <c r="N190" s="260"/>
      <c r="O190" s="260"/>
      <c r="P190" s="260"/>
      <c r="Q190" s="260"/>
      <c r="R190" s="260"/>
      <c r="S190" s="260"/>
      <c r="T190" s="260"/>
      <c r="U190" s="260"/>
      <c r="V190" s="260"/>
      <c r="W190" s="260"/>
      <c r="X190" s="260"/>
      <c r="Y190" s="260"/>
      <c r="Z190" s="260"/>
      <c r="AA190" s="260"/>
      <c r="AB190" s="260"/>
      <c r="AC190" s="260"/>
      <c r="AD190" s="260"/>
    </row>
    <row r="191" spans="1:30" ht="15" thickBot="1">
      <c r="A191" s="260"/>
      <c r="B191" s="260"/>
      <c r="C191" s="260"/>
      <c r="D191" s="260"/>
      <c r="E191" s="260"/>
      <c r="F191" s="260"/>
      <c r="G191" s="260"/>
      <c r="H191" s="260"/>
      <c r="I191" s="260"/>
      <c r="J191" s="260"/>
      <c r="K191" s="260"/>
      <c r="L191" s="260"/>
      <c r="M191" s="260"/>
      <c r="N191" s="260"/>
      <c r="O191" s="260"/>
      <c r="P191" s="260"/>
      <c r="Q191" s="260"/>
      <c r="R191" s="260"/>
      <c r="S191" s="260"/>
      <c r="T191" s="260"/>
      <c r="U191" s="260"/>
      <c r="V191" s="260"/>
      <c r="W191" s="260"/>
      <c r="X191" s="260"/>
      <c r="Y191" s="260"/>
      <c r="Z191" s="260"/>
      <c r="AA191" s="260"/>
      <c r="AB191" s="260"/>
      <c r="AC191" s="260"/>
      <c r="AD191" s="260"/>
    </row>
    <row r="192" spans="1:30" ht="15" thickBot="1">
      <c r="A192" s="260"/>
      <c r="B192" s="260"/>
      <c r="C192" s="260"/>
      <c r="D192" s="260"/>
      <c r="E192" s="260"/>
      <c r="F192" s="260"/>
      <c r="G192" s="260"/>
      <c r="H192" s="260"/>
      <c r="I192" s="260"/>
      <c r="J192" s="260"/>
      <c r="K192" s="260"/>
      <c r="L192" s="260"/>
      <c r="M192" s="260"/>
      <c r="N192" s="260"/>
      <c r="O192" s="260"/>
      <c r="P192" s="260"/>
      <c r="Q192" s="260"/>
      <c r="R192" s="260"/>
      <c r="S192" s="260"/>
      <c r="T192" s="260"/>
      <c r="U192" s="260"/>
      <c r="V192" s="260"/>
      <c r="W192" s="260"/>
      <c r="X192" s="260"/>
      <c r="Y192" s="260"/>
      <c r="Z192" s="260"/>
      <c r="AA192" s="260"/>
      <c r="AB192" s="260"/>
      <c r="AC192" s="260"/>
      <c r="AD192" s="260"/>
    </row>
    <row r="193" spans="1:30" ht="15" thickBot="1">
      <c r="A193" s="260"/>
      <c r="B193" s="260"/>
      <c r="C193" s="260"/>
      <c r="D193" s="260"/>
      <c r="E193" s="260"/>
      <c r="F193" s="260"/>
      <c r="G193" s="260"/>
      <c r="H193" s="260"/>
      <c r="I193" s="260"/>
      <c r="J193" s="260"/>
      <c r="K193" s="260"/>
      <c r="L193" s="260"/>
      <c r="M193" s="260"/>
      <c r="N193" s="260"/>
      <c r="O193" s="260"/>
      <c r="P193" s="260"/>
      <c r="Q193" s="260"/>
      <c r="R193" s="260"/>
      <c r="S193" s="260"/>
      <c r="T193" s="260"/>
      <c r="U193" s="260"/>
      <c r="V193" s="260"/>
      <c r="W193" s="260"/>
      <c r="X193" s="260"/>
      <c r="Y193" s="260"/>
      <c r="Z193" s="260"/>
      <c r="AA193" s="260"/>
      <c r="AB193" s="260"/>
      <c r="AC193" s="260"/>
      <c r="AD193" s="260"/>
    </row>
    <row r="194" spans="1:30" ht="15" thickBot="1">
      <c r="A194" s="260"/>
      <c r="B194" s="260"/>
      <c r="C194" s="260"/>
      <c r="D194" s="260"/>
      <c r="E194" s="260"/>
      <c r="F194" s="260"/>
      <c r="G194" s="260"/>
      <c r="H194" s="260"/>
      <c r="I194" s="260"/>
      <c r="J194" s="260"/>
      <c r="K194" s="260"/>
      <c r="L194" s="260"/>
      <c r="M194" s="260"/>
      <c r="N194" s="260"/>
      <c r="O194" s="260"/>
      <c r="P194" s="260"/>
      <c r="Q194" s="260"/>
      <c r="R194" s="260"/>
      <c r="S194" s="260"/>
      <c r="T194" s="260"/>
      <c r="U194" s="260"/>
      <c r="V194" s="260"/>
      <c r="W194" s="260"/>
      <c r="X194" s="260"/>
      <c r="Y194" s="260"/>
      <c r="Z194" s="260"/>
      <c r="AA194" s="260"/>
      <c r="AB194" s="260"/>
      <c r="AC194" s="260"/>
      <c r="AD194" s="260"/>
    </row>
    <row r="195" spans="1:30" ht="15" thickBot="1">
      <c r="A195" s="260"/>
      <c r="B195" s="260"/>
      <c r="C195" s="260"/>
      <c r="D195" s="260"/>
      <c r="E195" s="260"/>
      <c r="F195" s="260"/>
      <c r="G195" s="260"/>
      <c r="H195" s="260"/>
      <c r="I195" s="260"/>
      <c r="J195" s="260"/>
      <c r="K195" s="260"/>
      <c r="L195" s="260"/>
      <c r="M195" s="260"/>
      <c r="N195" s="260"/>
      <c r="O195" s="260"/>
      <c r="P195" s="260"/>
      <c r="Q195" s="260"/>
      <c r="R195" s="260"/>
      <c r="S195" s="260"/>
      <c r="T195" s="260"/>
      <c r="U195" s="260"/>
      <c r="V195" s="260"/>
      <c r="W195" s="260"/>
      <c r="X195" s="260"/>
      <c r="Y195" s="260"/>
      <c r="Z195" s="260"/>
      <c r="AA195" s="260"/>
      <c r="AB195" s="260"/>
      <c r="AC195" s="260"/>
      <c r="AD195" s="260"/>
    </row>
    <row r="196" spans="1:30" ht="15" thickBot="1">
      <c r="A196" s="260"/>
      <c r="B196" s="260"/>
      <c r="C196" s="260"/>
      <c r="D196" s="260"/>
      <c r="E196" s="260"/>
      <c r="F196" s="260"/>
      <c r="G196" s="260"/>
      <c r="H196" s="260"/>
      <c r="I196" s="260"/>
      <c r="J196" s="260"/>
      <c r="K196" s="260"/>
      <c r="L196" s="260"/>
      <c r="M196" s="260"/>
      <c r="N196" s="260"/>
      <c r="O196" s="260"/>
      <c r="P196" s="260"/>
      <c r="Q196" s="260"/>
      <c r="R196" s="260"/>
      <c r="S196" s="260"/>
      <c r="T196" s="260"/>
      <c r="U196" s="260"/>
      <c r="V196" s="260"/>
      <c r="W196" s="260"/>
      <c r="X196" s="260"/>
      <c r="Y196" s="260"/>
      <c r="Z196" s="260"/>
      <c r="AA196" s="260"/>
      <c r="AB196" s="260"/>
      <c r="AC196" s="260"/>
      <c r="AD196" s="260"/>
    </row>
    <row r="197" spans="1:30" ht="15" thickBot="1">
      <c r="A197" s="260"/>
      <c r="B197" s="260"/>
      <c r="C197" s="260"/>
      <c r="D197" s="260"/>
      <c r="E197" s="260"/>
      <c r="F197" s="260"/>
      <c r="G197" s="260"/>
      <c r="H197" s="260"/>
      <c r="I197" s="260"/>
      <c r="J197" s="260"/>
      <c r="K197" s="260"/>
      <c r="L197" s="260"/>
      <c r="M197" s="260"/>
      <c r="N197" s="260"/>
      <c r="O197" s="260"/>
      <c r="P197" s="260"/>
      <c r="Q197" s="260"/>
      <c r="R197" s="260"/>
      <c r="S197" s="260"/>
      <c r="T197" s="260"/>
      <c r="U197" s="260"/>
      <c r="V197" s="260"/>
      <c r="W197" s="260"/>
      <c r="X197" s="260"/>
      <c r="Y197" s="260"/>
      <c r="Z197" s="260"/>
      <c r="AA197" s="260"/>
      <c r="AB197" s="260"/>
      <c r="AC197" s="260"/>
      <c r="AD197" s="260"/>
    </row>
    <row r="198" spans="1:30" ht="15" thickBot="1">
      <c r="A198" s="260"/>
      <c r="B198" s="260"/>
      <c r="C198" s="260"/>
      <c r="D198" s="260"/>
      <c r="E198" s="260"/>
      <c r="F198" s="260"/>
      <c r="G198" s="260"/>
      <c r="H198" s="260"/>
      <c r="I198" s="260"/>
      <c r="J198" s="260"/>
      <c r="K198" s="260"/>
      <c r="L198" s="260"/>
      <c r="M198" s="260"/>
      <c r="N198" s="260"/>
      <c r="O198" s="260"/>
      <c r="P198" s="260"/>
      <c r="Q198" s="260"/>
      <c r="R198" s="260"/>
      <c r="S198" s="260"/>
      <c r="T198" s="260"/>
      <c r="U198" s="260"/>
      <c r="V198" s="260"/>
      <c r="W198" s="260"/>
      <c r="X198" s="260"/>
      <c r="Y198" s="260"/>
      <c r="Z198" s="260"/>
      <c r="AA198" s="260"/>
      <c r="AB198" s="260"/>
      <c r="AC198" s="260"/>
      <c r="AD198" s="260"/>
    </row>
    <row r="199" spans="1:30" ht="15" thickBot="1">
      <c r="A199" s="260"/>
      <c r="B199" s="260"/>
      <c r="C199" s="260"/>
      <c r="D199" s="260"/>
      <c r="E199" s="260"/>
      <c r="F199" s="260"/>
      <c r="G199" s="260"/>
      <c r="H199" s="260"/>
      <c r="I199" s="260"/>
      <c r="J199" s="260"/>
      <c r="K199" s="260"/>
      <c r="L199" s="260"/>
      <c r="M199" s="260"/>
      <c r="N199" s="260"/>
      <c r="O199" s="260"/>
      <c r="P199" s="260"/>
      <c r="Q199" s="260"/>
      <c r="R199" s="260"/>
      <c r="S199" s="260"/>
      <c r="T199" s="260"/>
      <c r="U199" s="260"/>
      <c r="V199" s="260"/>
      <c r="W199" s="260"/>
      <c r="X199" s="260"/>
      <c r="Y199" s="260"/>
      <c r="Z199" s="260"/>
      <c r="AA199" s="260"/>
      <c r="AB199" s="260"/>
      <c r="AC199" s="260"/>
      <c r="AD199" s="260"/>
    </row>
    <row r="200" spans="1:30" ht="15" thickBot="1">
      <c r="A200" s="260"/>
      <c r="B200" s="260"/>
      <c r="C200" s="260"/>
      <c r="D200" s="260"/>
      <c r="E200" s="260"/>
      <c r="F200" s="260"/>
      <c r="G200" s="260"/>
      <c r="H200" s="260"/>
      <c r="I200" s="260"/>
      <c r="J200" s="260"/>
      <c r="K200" s="260"/>
      <c r="L200" s="260"/>
      <c r="M200" s="260"/>
      <c r="N200" s="260"/>
      <c r="O200" s="260"/>
      <c r="P200" s="260"/>
      <c r="Q200" s="260"/>
      <c r="R200" s="260"/>
      <c r="S200" s="260"/>
      <c r="T200" s="260"/>
      <c r="U200" s="260"/>
      <c r="V200" s="260"/>
      <c r="W200" s="260"/>
      <c r="X200" s="260"/>
      <c r="Y200" s="260"/>
      <c r="Z200" s="260"/>
      <c r="AA200" s="260"/>
      <c r="AB200" s="260"/>
      <c r="AC200" s="260"/>
      <c r="AD200" s="260"/>
    </row>
    <row r="201" spans="1:30" ht="15" thickBot="1">
      <c r="A201" s="260"/>
      <c r="B201" s="260"/>
      <c r="C201" s="260"/>
      <c r="D201" s="260"/>
      <c r="E201" s="260"/>
      <c r="F201" s="260"/>
      <c r="G201" s="260"/>
      <c r="H201" s="260"/>
      <c r="I201" s="260"/>
      <c r="J201" s="260"/>
      <c r="K201" s="260"/>
      <c r="L201" s="260"/>
      <c r="M201" s="260"/>
      <c r="N201" s="260"/>
      <c r="O201" s="260"/>
      <c r="P201" s="260"/>
      <c r="Q201" s="260"/>
      <c r="R201" s="260"/>
      <c r="S201" s="260"/>
      <c r="T201" s="260"/>
      <c r="U201" s="260"/>
      <c r="V201" s="260"/>
      <c r="W201" s="260"/>
      <c r="X201" s="260"/>
      <c r="Y201" s="260"/>
      <c r="Z201" s="260"/>
      <c r="AA201" s="260"/>
      <c r="AB201" s="260"/>
      <c r="AC201" s="260"/>
      <c r="AD201" s="260"/>
    </row>
    <row r="202" spans="1:30" ht="15" thickBot="1">
      <c r="A202" s="260"/>
      <c r="B202" s="260"/>
      <c r="C202" s="260"/>
      <c r="D202" s="260"/>
      <c r="E202" s="260"/>
      <c r="F202" s="260"/>
      <c r="G202" s="260"/>
      <c r="H202" s="260"/>
      <c r="I202" s="260"/>
      <c r="J202" s="260"/>
      <c r="K202" s="260"/>
      <c r="L202" s="260"/>
      <c r="M202" s="260"/>
      <c r="N202" s="260"/>
      <c r="O202" s="260"/>
      <c r="P202" s="260"/>
      <c r="Q202" s="260"/>
      <c r="R202" s="260"/>
      <c r="S202" s="260"/>
      <c r="T202" s="260"/>
      <c r="U202" s="260"/>
      <c r="V202" s="260"/>
      <c r="W202" s="260"/>
      <c r="X202" s="260"/>
      <c r="Y202" s="260"/>
      <c r="Z202" s="260"/>
      <c r="AA202" s="260"/>
      <c r="AB202" s="260"/>
      <c r="AC202" s="260"/>
      <c r="AD202" s="260"/>
    </row>
    <row r="203" spans="1:30" ht="15" thickBot="1">
      <c r="A203" s="260"/>
      <c r="B203" s="260"/>
      <c r="C203" s="260"/>
      <c r="D203" s="260"/>
      <c r="E203" s="260"/>
      <c r="F203" s="260"/>
      <c r="G203" s="260"/>
      <c r="H203" s="260"/>
      <c r="I203" s="260"/>
      <c r="J203" s="260"/>
      <c r="K203" s="260"/>
      <c r="L203" s="260"/>
      <c r="M203" s="260"/>
      <c r="N203" s="260"/>
      <c r="O203" s="260"/>
      <c r="P203" s="260"/>
      <c r="Q203" s="260"/>
      <c r="R203" s="260"/>
      <c r="S203" s="260"/>
      <c r="T203" s="260"/>
      <c r="U203" s="260"/>
      <c r="V203" s="260"/>
      <c r="W203" s="260"/>
      <c r="X203" s="260"/>
      <c r="Y203" s="260"/>
      <c r="Z203" s="260"/>
      <c r="AA203" s="260"/>
      <c r="AB203" s="260"/>
      <c r="AC203" s="260"/>
      <c r="AD203" s="260"/>
    </row>
    <row r="204" spans="1:30" ht="15" thickBot="1">
      <c r="A204" s="260"/>
      <c r="B204" s="260"/>
      <c r="C204" s="260"/>
      <c r="D204" s="260"/>
      <c r="E204" s="260"/>
      <c r="F204" s="260"/>
      <c r="G204" s="260"/>
      <c r="H204" s="260"/>
      <c r="I204" s="260"/>
      <c r="J204" s="260"/>
      <c r="K204" s="260"/>
      <c r="L204" s="260"/>
      <c r="M204" s="260"/>
      <c r="N204" s="260"/>
      <c r="O204" s="260"/>
      <c r="P204" s="260"/>
      <c r="Q204" s="260"/>
      <c r="R204" s="260"/>
      <c r="S204" s="260"/>
      <c r="T204" s="260"/>
      <c r="U204" s="260"/>
      <c r="V204" s="260"/>
      <c r="W204" s="260"/>
      <c r="X204" s="260"/>
      <c r="Y204" s="260"/>
      <c r="Z204" s="260"/>
      <c r="AA204" s="260"/>
      <c r="AB204" s="260"/>
      <c r="AC204" s="260"/>
      <c r="AD204" s="260"/>
    </row>
    <row r="205" spans="1:30" ht="15" thickBot="1">
      <c r="A205" s="260"/>
      <c r="B205" s="260"/>
      <c r="C205" s="260"/>
      <c r="D205" s="260"/>
      <c r="E205" s="260"/>
      <c r="F205" s="260"/>
      <c r="G205" s="260"/>
      <c r="H205" s="260"/>
      <c r="I205" s="260"/>
      <c r="J205" s="260"/>
      <c r="K205" s="260"/>
      <c r="L205" s="260"/>
      <c r="M205" s="260"/>
      <c r="N205" s="260"/>
      <c r="O205" s="260"/>
      <c r="P205" s="260"/>
      <c r="Q205" s="260"/>
      <c r="R205" s="260"/>
      <c r="S205" s="260"/>
      <c r="T205" s="260"/>
      <c r="U205" s="260"/>
      <c r="V205" s="260"/>
      <c r="W205" s="260"/>
      <c r="X205" s="260"/>
      <c r="Y205" s="260"/>
      <c r="Z205" s="260"/>
      <c r="AA205" s="260"/>
      <c r="AB205" s="260"/>
      <c r="AC205" s="260"/>
      <c r="AD205" s="260"/>
    </row>
    <row r="206" spans="1:30" ht="15" thickBot="1">
      <c r="A206" s="260"/>
      <c r="B206" s="260"/>
      <c r="C206" s="260"/>
      <c r="D206" s="260"/>
      <c r="E206" s="260"/>
      <c r="F206" s="260"/>
      <c r="G206" s="260"/>
      <c r="H206" s="260"/>
      <c r="I206" s="260"/>
      <c r="J206" s="260"/>
      <c r="K206" s="260"/>
      <c r="L206" s="260"/>
      <c r="M206" s="260"/>
      <c r="N206" s="260"/>
      <c r="O206" s="260"/>
      <c r="P206" s="260"/>
      <c r="Q206" s="260"/>
      <c r="R206" s="260"/>
      <c r="S206" s="260"/>
      <c r="T206" s="260"/>
      <c r="U206" s="260"/>
      <c r="V206" s="260"/>
      <c r="W206" s="260"/>
      <c r="X206" s="260"/>
      <c r="Y206" s="260"/>
      <c r="Z206" s="260"/>
      <c r="AA206" s="260"/>
      <c r="AB206" s="260"/>
      <c r="AC206" s="260"/>
      <c r="AD206" s="260"/>
    </row>
    <row r="207" spans="1:30" ht="15" thickBot="1">
      <c r="A207" s="260"/>
      <c r="B207" s="260"/>
      <c r="C207" s="260"/>
      <c r="D207" s="260"/>
      <c r="E207" s="260"/>
      <c r="F207" s="260"/>
      <c r="G207" s="260"/>
      <c r="H207" s="260"/>
      <c r="I207" s="260"/>
      <c r="J207" s="260"/>
      <c r="K207" s="260"/>
      <c r="L207" s="260"/>
      <c r="M207" s="260"/>
      <c r="N207" s="260"/>
      <c r="O207" s="260"/>
      <c r="P207" s="260"/>
      <c r="Q207" s="260"/>
      <c r="R207" s="260"/>
      <c r="S207" s="260"/>
      <c r="T207" s="260"/>
      <c r="U207" s="260"/>
      <c r="V207" s="260"/>
      <c r="W207" s="260"/>
      <c r="X207" s="260"/>
      <c r="Y207" s="260"/>
      <c r="Z207" s="260"/>
      <c r="AA207" s="260"/>
      <c r="AB207" s="260"/>
      <c r="AC207" s="260"/>
      <c r="AD207" s="260"/>
    </row>
    <row r="208" spans="1:30" ht="15" thickBot="1">
      <c r="A208" s="260"/>
      <c r="B208" s="260"/>
      <c r="C208" s="260"/>
      <c r="D208" s="260"/>
      <c r="E208" s="260"/>
      <c r="F208" s="260"/>
      <c r="G208" s="260"/>
      <c r="H208" s="260"/>
      <c r="I208" s="260"/>
      <c r="J208" s="260"/>
      <c r="K208" s="260"/>
      <c r="L208" s="260"/>
      <c r="M208" s="260"/>
      <c r="N208" s="260"/>
      <c r="O208" s="260"/>
      <c r="P208" s="260"/>
      <c r="Q208" s="260"/>
      <c r="R208" s="260"/>
      <c r="S208" s="260"/>
      <c r="T208" s="260"/>
      <c r="U208" s="260"/>
      <c r="V208" s="260"/>
      <c r="W208" s="260"/>
      <c r="X208" s="260"/>
      <c r="Y208" s="260"/>
      <c r="Z208" s="260"/>
      <c r="AA208" s="260"/>
      <c r="AB208" s="260"/>
      <c r="AC208" s="260"/>
      <c r="AD208" s="260"/>
    </row>
    <row r="209" spans="1:30" ht="15" thickBot="1">
      <c r="A209" s="260"/>
      <c r="B209" s="260"/>
      <c r="C209" s="260"/>
      <c r="D209" s="260"/>
      <c r="E209" s="260"/>
      <c r="F209" s="260"/>
      <c r="G209" s="260"/>
      <c r="H209" s="260"/>
      <c r="I209" s="260"/>
      <c r="J209" s="260"/>
      <c r="K209" s="260"/>
      <c r="L209" s="260"/>
      <c r="M209" s="260"/>
      <c r="N209" s="260"/>
      <c r="O209" s="260"/>
      <c r="P209" s="260"/>
      <c r="Q209" s="260"/>
      <c r="R209" s="260"/>
      <c r="S209" s="260"/>
      <c r="T209" s="260"/>
      <c r="U209" s="260"/>
      <c r="V209" s="260"/>
      <c r="W209" s="260"/>
      <c r="X209" s="260"/>
      <c r="Y209" s="260"/>
      <c r="Z209" s="260"/>
      <c r="AA209" s="260"/>
      <c r="AB209" s="260"/>
      <c r="AC209" s="260"/>
      <c r="AD209" s="260"/>
    </row>
    <row r="210" spans="1:30" ht="15" thickBot="1">
      <c r="A210" s="260"/>
      <c r="B210" s="260"/>
      <c r="C210" s="260"/>
      <c r="D210" s="260"/>
      <c r="E210" s="260"/>
      <c r="F210" s="260"/>
      <c r="G210" s="260"/>
      <c r="H210" s="260"/>
      <c r="I210" s="260"/>
      <c r="J210" s="260"/>
      <c r="K210" s="260"/>
      <c r="L210" s="260"/>
      <c r="M210" s="260"/>
      <c r="N210" s="260"/>
      <c r="O210" s="260"/>
      <c r="P210" s="260"/>
      <c r="Q210" s="260"/>
      <c r="R210" s="260"/>
      <c r="S210" s="260"/>
      <c r="T210" s="260"/>
      <c r="U210" s="260"/>
      <c r="V210" s="260"/>
      <c r="W210" s="260"/>
      <c r="X210" s="260"/>
      <c r="Y210" s="260"/>
      <c r="Z210" s="260"/>
      <c r="AA210" s="260"/>
      <c r="AB210" s="260"/>
      <c r="AC210" s="260"/>
      <c r="AD210" s="260"/>
    </row>
    <row r="211" spans="1:30" ht="15" thickBot="1">
      <c r="A211" s="260"/>
      <c r="B211" s="260"/>
      <c r="C211" s="260"/>
      <c r="D211" s="260"/>
      <c r="E211" s="260"/>
      <c r="F211" s="260"/>
      <c r="G211" s="260"/>
      <c r="H211" s="260"/>
      <c r="I211" s="260"/>
      <c r="J211" s="260"/>
      <c r="K211" s="260"/>
      <c r="L211" s="260"/>
      <c r="M211" s="260"/>
      <c r="N211" s="260"/>
      <c r="O211" s="260"/>
      <c r="P211" s="260"/>
      <c r="Q211" s="260"/>
      <c r="R211" s="260"/>
      <c r="S211" s="260"/>
      <c r="T211" s="260"/>
      <c r="U211" s="260"/>
      <c r="V211" s="260"/>
      <c r="W211" s="260"/>
      <c r="X211" s="260"/>
      <c r="Y211" s="260"/>
      <c r="Z211" s="260"/>
      <c r="AA211" s="260"/>
      <c r="AB211" s="260"/>
      <c r="AC211" s="260"/>
      <c r="AD211" s="260"/>
    </row>
    <row r="212" spans="1:30" ht="15" thickBot="1">
      <c r="A212" s="260"/>
      <c r="B212" s="260"/>
      <c r="C212" s="260"/>
      <c r="D212" s="260"/>
      <c r="E212" s="260"/>
      <c r="F212" s="260"/>
      <c r="G212" s="260"/>
      <c r="H212" s="260"/>
      <c r="I212" s="260"/>
      <c r="J212" s="260"/>
      <c r="K212" s="260"/>
      <c r="L212" s="260"/>
      <c r="M212" s="260"/>
      <c r="N212" s="260"/>
      <c r="O212" s="260"/>
      <c r="P212" s="260"/>
      <c r="Q212" s="260"/>
      <c r="R212" s="260"/>
      <c r="S212" s="260"/>
      <c r="T212" s="260"/>
      <c r="U212" s="260"/>
      <c r="V212" s="260"/>
      <c r="W212" s="260"/>
      <c r="X212" s="260"/>
      <c r="Y212" s="260"/>
      <c r="Z212" s="260"/>
      <c r="AA212" s="260"/>
      <c r="AB212" s="260"/>
      <c r="AC212" s="260"/>
      <c r="AD212" s="260"/>
    </row>
    <row r="213" spans="1:30" ht="15" thickBot="1">
      <c r="A213" s="260"/>
      <c r="B213" s="260"/>
      <c r="C213" s="260"/>
      <c r="D213" s="260"/>
      <c r="E213" s="260"/>
      <c r="F213" s="260"/>
      <c r="G213" s="260"/>
      <c r="H213" s="260"/>
      <c r="I213" s="260"/>
      <c r="J213" s="260"/>
      <c r="K213" s="260"/>
      <c r="L213" s="260"/>
      <c r="M213" s="260"/>
      <c r="N213" s="260"/>
      <c r="O213" s="260"/>
      <c r="P213" s="260"/>
      <c r="Q213" s="260"/>
      <c r="R213" s="260"/>
      <c r="S213" s="260"/>
      <c r="T213" s="260"/>
      <c r="U213" s="260"/>
      <c r="V213" s="260"/>
      <c r="W213" s="260"/>
      <c r="X213" s="260"/>
      <c r="Y213" s="260"/>
      <c r="Z213" s="260"/>
      <c r="AA213" s="260"/>
      <c r="AB213" s="260"/>
      <c r="AC213" s="260"/>
      <c r="AD213" s="260"/>
    </row>
    <row r="214" spans="1:30" ht="15" thickBot="1">
      <c r="A214" s="260"/>
      <c r="B214" s="260"/>
      <c r="C214" s="260"/>
      <c r="D214" s="260"/>
      <c r="E214" s="260"/>
      <c r="F214" s="260"/>
      <c r="G214" s="260"/>
      <c r="H214" s="260"/>
      <c r="I214" s="260"/>
      <c r="J214" s="260"/>
      <c r="K214" s="260"/>
      <c r="L214" s="260"/>
      <c r="M214" s="260"/>
      <c r="N214" s="260"/>
      <c r="O214" s="260"/>
      <c r="P214" s="260"/>
      <c r="Q214" s="260"/>
      <c r="R214" s="260"/>
      <c r="S214" s="260"/>
      <c r="T214" s="260"/>
      <c r="U214" s="260"/>
      <c r="V214" s="260"/>
      <c r="W214" s="260"/>
      <c r="X214" s="260"/>
      <c r="Y214" s="260"/>
      <c r="Z214" s="260"/>
      <c r="AA214" s="260"/>
      <c r="AB214" s="260"/>
      <c r="AC214" s="260"/>
      <c r="AD214" s="260"/>
    </row>
    <row r="215" spans="1:30" ht="15" thickBot="1">
      <c r="A215" s="260"/>
      <c r="B215" s="260"/>
      <c r="C215" s="260"/>
      <c r="D215" s="260"/>
      <c r="E215" s="260"/>
      <c r="F215" s="260"/>
      <c r="G215" s="260"/>
      <c r="H215" s="260"/>
      <c r="I215" s="260"/>
      <c r="J215" s="260"/>
      <c r="K215" s="260"/>
      <c r="L215" s="260"/>
      <c r="M215" s="260"/>
      <c r="N215" s="260"/>
      <c r="O215" s="260"/>
      <c r="P215" s="260"/>
      <c r="Q215" s="260"/>
      <c r="R215" s="260"/>
      <c r="S215" s="260"/>
      <c r="T215" s="260"/>
      <c r="U215" s="260"/>
      <c r="V215" s="260"/>
      <c r="W215" s="260"/>
      <c r="X215" s="260"/>
      <c r="Y215" s="260"/>
      <c r="Z215" s="260"/>
      <c r="AA215" s="260"/>
      <c r="AB215" s="260"/>
      <c r="AC215" s="260"/>
      <c r="AD215" s="260"/>
    </row>
    <row r="216" spans="1:30" ht="15" thickBot="1">
      <c r="A216" s="260"/>
      <c r="B216" s="260"/>
      <c r="C216" s="260"/>
      <c r="D216" s="260"/>
      <c r="E216" s="260"/>
      <c r="F216" s="260"/>
      <c r="G216" s="260"/>
      <c r="H216" s="260"/>
      <c r="I216" s="260"/>
      <c r="J216" s="260"/>
      <c r="K216" s="260"/>
      <c r="L216" s="260"/>
      <c r="M216" s="260"/>
      <c r="N216" s="260"/>
      <c r="O216" s="260"/>
      <c r="P216" s="260"/>
      <c r="Q216" s="260"/>
      <c r="R216" s="260"/>
      <c r="S216" s="260"/>
      <c r="T216" s="260"/>
      <c r="U216" s="260"/>
      <c r="V216" s="260"/>
      <c r="W216" s="260"/>
      <c r="X216" s="260"/>
      <c r="Y216" s="260"/>
      <c r="Z216" s="260"/>
      <c r="AA216" s="260"/>
      <c r="AB216" s="260"/>
      <c r="AC216" s="260"/>
      <c r="AD216" s="260"/>
    </row>
    <row r="217" spans="1:30" ht="15" thickBot="1">
      <c r="A217" s="260"/>
      <c r="B217" s="260"/>
      <c r="C217" s="260"/>
      <c r="D217" s="260"/>
      <c r="E217" s="260"/>
      <c r="F217" s="260"/>
      <c r="G217" s="260"/>
      <c r="H217" s="260"/>
      <c r="I217" s="260"/>
      <c r="J217" s="260"/>
      <c r="K217" s="260"/>
      <c r="L217" s="260"/>
      <c r="M217" s="260"/>
      <c r="N217" s="260"/>
      <c r="O217" s="260"/>
      <c r="P217" s="260"/>
      <c r="Q217" s="260"/>
      <c r="R217" s="260"/>
      <c r="S217" s="260"/>
      <c r="T217" s="260"/>
      <c r="U217" s="260"/>
      <c r="V217" s="260"/>
      <c r="W217" s="260"/>
      <c r="X217" s="260"/>
      <c r="Y217" s="260"/>
      <c r="Z217" s="260"/>
      <c r="AA217" s="260"/>
      <c r="AB217" s="260"/>
      <c r="AC217" s="260"/>
      <c r="AD217" s="260"/>
    </row>
    <row r="218" spans="1:30" ht="15" thickBot="1">
      <c r="A218" s="260"/>
      <c r="B218" s="260"/>
      <c r="C218" s="260"/>
      <c r="D218" s="260"/>
      <c r="E218" s="260"/>
      <c r="F218" s="260"/>
      <c r="G218" s="260"/>
      <c r="H218" s="260"/>
      <c r="I218" s="260"/>
      <c r="J218" s="260"/>
      <c r="K218" s="260"/>
      <c r="L218" s="260"/>
      <c r="M218" s="260"/>
      <c r="N218" s="260"/>
      <c r="O218" s="260"/>
      <c r="P218" s="260"/>
      <c r="Q218" s="260"/>
      <c r="R218" s="260"/>
      <c r="S218" s="260"/>
      <c r="T218" s="260"/>
      <c r="U218" s="260"/>
      <c r="V218" s="260"/>
      <c r="W218" s="260"/>
      <c r="X218" s="260"/>
      <c r="Y218" s="260"/>
      <c r="Z218" s="260"/>
      <c r="AA218" s="260"/>
      <c r="AB218" s="260"/>
      <c r="AC218" s="260"/>
      <c r="AD218" s="260"/>
    </row>
    <row r="219" spans="1:30" ht="15" thickBot="1">
      <c r="A219" s="260"/>
      <c r="B219" s="260"/>
      <c r="C219" s="260"/>
      <c r="D219" s="260"/>
      <c r="E219" s="260"/>
      <c r="F219" s="260"/>
      <c r="G219" s="260"/>
      <c r="H219" s="260"/>
      <c r="I219" s="260"/>
      <c r="J219" s="260"/>
      <c r="K219" s="260"/>
      <c r="L219" s="260"/>
      <c r="M219" s="260"/>
      <c r="N219" s="260"/>
      <c r="O219" s="260"/>
      <c r="P219" s="260"/>
      <c r="Q219" s="260"/>
      <c r="R219" s="260"/>
      <c r="S219" s="260"/>
      <c r="T219" s="260"/>
      <c r="U219" s="260"/>
      <c r="V219" s="260"/>
      <c r="W219" s="260"/>
      <c r="X219" s="260"/>
      <c r="Y219" s="260"/>
      <c r="Z219" s="260"/>
      <c r="AA219" s="260"/>
      <c r="AB219" s="260"/>
      <c r="AC219" s="260"/>
      <c r="AD219" s="260"/>
    </row>
    <row r="220" spans="1:30" ht="15" thickBot="1">
      <c r="A220" s="260"/>
      <c r="B220" s="260"/>
      <c r="C220" s="260"/>
      <c r="D220" s="260"/>
      <c r="E220" s="260"/>
      <c r="F220" s="260"/>
      <c r="G220" s="260"/>
      <c r="H220" s="260"/>
      <c r="I220" s="260"/>
      <c r="J220" s="260"/>
      <c r="K220" s="260"/>
      <c r="L220" s="260"/>
      <c r="M220" s="260"/>
      <c r="N220" s="260"/>
      <c r="O220" s="260"/>
      <c r="P220" s="260"/>
      <c r="Q220" s="260"/>
      <c r="R220" s="260"/>
      <c r="S220" s="260"/>
      <c r="T220" s="260"/>
      <c r="U220" s="260"/>
      <c r="V220" s="260"/>
      <c r="W220" s="260"/>
      <c r="X220" s="260"/>
      <c r="Y220" s="260"/>
      <c r="Z220" s="260"/>
      <c r="AA220" s="260"/>
      <c r="AB220" s="260"/>
      <c r="AC220" s="260"/>
      <c r="AD220" s="260"/>
    </row>
    <row r="221" spans="1:30" ht="15" thickBot="1">
      <c r="A221" s="260"/>
      <c r="B221" s="260"/>
      <c r="C221" s="260"/>
      <c r="D221" s="260"/>
      <c r="E221" s="260"/>
      <c r="F221" s="260"/>
      <c r="G221" s="260"/>
      <c r="H221" s="260"/>
      <c r="I221" s="260"/>
      <c r="J221" s="260"/>
      <c r="K221" s="260"/>
      <c r="L221" s="260"/>
      <c r="M221" s="260"/>
      <c r="N221" s="260"/>
      <c r="O221" s="260"/>
      <c r="P221" s="260"/>
      <c r="Q221" s="260"/>
      <c r="R221" s="260"/>
      <c r="S221" s="260"/>
      <c r="T221" s="260"/>
      <c r="U221" s="260"/>
      <c r="V221" s="260"/>
      <c r="W221" s="260"/>
      <c r="X221" s="260"/>
      <c r="Y221" s="260"/>
      <c r="Z221" s="260"/>
      <c r="AA221" s="260"/>
      <c r="AB221" s="260"/>
      <c r="AC221" s="260"/>
      <c r="AD221" s="260"/>
    </row>
    <row r="222" spans="1:30" ht="15" thickBot="1">
      <c r="A222" s="260"/>
      <c r="B222" s="260"/>
      <c r="C222" s="260"/>
      <c r="D222" s="260"/>
      <c r="E222" s="260"/>
      <c r="F222" s="260"/>
      <c r="G222" s="260"/>
      <c r="H222" s="260"/>
      <c r="I222" s="260"/>
      <c r="J222" s="260"/>
      <c r="K222" s="260"/>
      <c r="L222" s="260"/>
      <c r="M222" s="260"/>
      <c r="N222" s="260"/>
      <c r="O222" s="260"/>
      <c r="P222" s="260"/>
      <c r="Q222" s="260"/>
      <c r="R222" s="260"/>
      <c r="S222" s="260"/>
      <c r="T222" s="260"/>
      <c r="U222" s="260"/>
      <c r="V222" s="260"/>
      <c r="W222" s="260"/>
      <c r="X222" s="260"/>
      <c r="Y222" s="260"/>
      <c r="Z222" s="260"/>
      <c r="AA222" s="260"/>
      <c r="AB222" s="260"/>
      <c r="AC222" s="260"/>
      <c r="AD222" s="260"/>
    </row>
    <row r="223" spans="1:30" ht="15" thickBot="1">
      <c r="A223" s="260"/>
      <c r="B223" s="260"/>
      <c r="C223" s="260"/>
      <c r="D223" s="260"/>
      <c r="E223" s="260"/>
      <c r="F223" s="260"/>
      <c r="G223" s="260"/>
      <c r="H223" s="260"/>
      <c r="I223" s="260"/>
      <c r="J223" s="260"/>
      <c r="K223" s="260"/>
      <c r="L223" s="260"/>
      <c r="M223" s="260"/>
      <c r="N223" s="260"/>
      <c r="O223" s="260"/>
      <c r="P223" s="260"/>
      <c r="Q223" s="260"/>
      <c r="R223" s="260"/>
      <c r="S223" s="260"/>
      <c r="T223" s="260"/>
      <c r="U223" s="260"/>
      <c r="V223" s="260"/>
      <c r="W223" s="260"/>
      <c r="X223" s="260"/>
      <c r="Y223" s="260"/>
      <c r="Z223" s="260"/>
      <c r="AA223" s="260"/>
      <c r="AB223" s="260"/>
      <c r="AC223" s="260"/>
      <c r="AD223" s="260"/>
    </row>
    <row r="224" spans="1:30" ht="15" thickBot="1">
      <c r="A224" s="260"/>
      <c r="B224" s="260"/>
      <c r="C224" s="260"/>
      <c r="D224" s="260"/>
      <c r="E224" s="260"/>
      <c r="F224" s="260"/>
      <c r="G224" s="260"/>
      <c r="H224" s="260"/>
      <c r="I224" s="260"/>
      <c r="J224" s="260"/>
      <c r="K224" s="260"/>
      <c r="L224" s="260"/>
      <c r="M224" s="260"/>
      <c r="N224" s="260"/>
      <c r="O224" s="260"/>
      <c r="P224" s="260"/>
      <c r="Q224" s="260"/>
      <c r="R224" s="260"/>
      <c r="S224" s="260"/>
      <c r="T224" s="260"/>
      <c r="U224" s="260"/>
      <c r="V224" s="260"/>
      <c r="W224" s="260"/>
      <c r="X224" s="260"/>
      <c r="Y224" s="260"/>
      <c r="Z224" s="260"/>
      <c r="AA224" s="260"/>
      <c r="AB224" s="260"/>
      <c r="AC224" s="260"/>
      <c r="AD224" s="260"/>
    </row>
    <row r="225" spans="1:30" ht="15" thickBot="1">
      <c r="A225" s="260"/>
      <c r="B225" s="260"/>
      <c r="C225" s="260"/>
      <c r="D225" s="260"/>
      <c r="E225" s="260"/>
      <c r="F225" s="260"/>
      <c r="G225" s="260"/>
      <c r="H225" s="260"/>
      <c r="I225" s="260"/>
      <c r="J225" s="260"/>
      <c r="K225" s="260"/>
      <c r="L225" s="260"/>
      <c r="M225" s="260"/>
      <c r="N225" s="260"/>
      <c r="O225" s="260"/>
      <c r="P225" s="260"/>
      <c r="Q225" s="260"/>
      <c r="R225" s="260"/>
      <c r="S225" s="260"/>
      <c r="T225" s="260"/>
      <c r="U225" s="260"/>
      <c r="V225" s="260"/>
      <c r="W225" s="260"/>
      <c r="X225" s="260"/>
      <c r="Y225" s="260"/>
      <c r="Z225" s="260"/>
      <c r="AA225" s="260"/>
      <c r="AB225" s="260"/>
      <c r="AC225" s="260"/>
      <c r="AD225" s="260"/>
    </row>
    <row r="226" spans="1:30" ht="15" thickBot="1">
      <c r="A226" s="260"/>
      <c r="B226" s="260"/>
      <c r="C226" s="260"/>
      <c r="D226" s="260"/>
      <c r="E226" s="260"/>
      <c r="F226" s="260"/>
      <c r="G226" s="260"/>
      <c r="H226" s="260"/>
      <c r="I226" s="260"/>
      <c r="J226" s="260"/>
      <c r="K226" s="260"/>
      <c r="L226" s="260"/>
      <c r="M226" s="260"/>
      <c r="N226" s="260"/>
      <c r="O226" s="260"/>
      <c r="P226" s="260"/>
      <c r="Q226" s="260"/>
      <c r="R226" s="260"/>
      <c r="S226" s="260"/>
      <c r="T226" s="260"/>
      <c r="U226" s="260"/>
      <c r="V226" s="260"/>
      <c r="W226" s="260"/>
      <c r="X226" s="260"/>
      <c r="Y226" s="260"/>
      <c r="Z226" s="260"/>
      <c r="AA226" s="260"/>
      <c r="AB226" s="260"/>
      <c r="AC226" s="260"/>
      <c r="AD226" s="260"/>
    </row>
    <row r="227" spans="1:30" ht="15" thickBot="1">
      <c r="A227" s="260"/>
      <c r="B227" s="260"/>
      <c r="C227" s="260"/>
      <c r="D227" s="260"/>
      <c r="E227" s="260"/>
      <c r="F227" s="260"/>
      <c r="G227" s="260"/>
      <c r="H227" s="260"/>
      <c r="I227" s="260"/>
      <c r="J227" s="260"/>
      <c r="K227" s="260"/>
      <c r="L227" s="260"/>
      <c r="M227" s="260"/>
      <c r="N227" s="260"/>
      <c r="O227" s="260"/>
      <c r="P227" s="260"/>
      <c r="Q227" s="260"/>
      <c r="R227" s="260"/>
      <c r="S227" s="260"/>
      <c r="T227" s="260"/>
      <c r="U227" s="260"/>
      <c r="V227" s="260"/>
      <c r="W227" s="260"/>
      <c r="X227" s="260"/>
      <c r="Y227" s="260"/>
      <c r="Z227" s="260"/>
      <c r="AA227" s="260"/>
      <c r="AB227" s="260"/>
      <c r="AC227" s="260"/>
      <c r="AD227" s="260"/>
    </row>
    <row r="228" spans="1:30" ht="15" thickBot="1">
      <c r="A228" s="260"/>
      <c r="B228" s="260"/>
      <c r="C228" s="260"/>
      <c r="D228" s="260"/>
      <c r="E228" s="260"/>
      <c r="F228" s="260"/>
      <c r="G228" s="260"/>
      <c r="H228" s="260"/>
      <c r="I228" s="260"/>
      <c r="J228" s="260"/>
      <c r="K228" s="260"/>
      <c r="L228" s="260"/>
      <c r="M228" s="260"/>
      <c r="N228" s="260"/>
      <c r="O228" s="260"/>
      <c r="P228" s="260"/>
      <c r="Q228" s="260"/>
      <c r="R228" s="260"/>
      <c r="S228" s="260"/>
      <c r="T228" s="260"/>
      <c r="U228" s="260"/>
      <c r="V228" s="260"/>
      <c r="W228" s="260"/>
      <c r="X228" s="260"/>
      <c r="Y228" s="260"/>
      <c r="Z228" s="260"/>
      <c r="AA228" s="260"/>
      <c r="AB228" s="260"/>
      <c r="AC228" s="260"/>
      <c r="AD228" s="260"/>
    </row>
    <row r="229" spans="1:30" ht="15" thickBot="1">
      <c r="A229" s="260"/>
      <c r="B229" s="260"/>
      <c r="C229" s="260"/>
      <c r="D229" s="260"/>
      <c r="E229" s="260"/>
      <c r="F229" s="260"/>
      <c r="G229" s="260"/>
      <c r="H229" s="260"/>
      <c r="I229" s="260"/>
      <c r="J229" s="260"/>
      <c r="K229" s="260"/>
      <c r="L229" s="260"/>
      <c r="M229" s="260"/>
      <c r="N229" s="260"/>
      <c r="O229" s="260"/>
      <c r="P229" s="260"/>
      <c r="Q229" s="260"/>
      <c r="R229" s="260"/>
      <c r="S229" s="260"/>
      <c r="T229" s="260"/>
      <c r="U229" s="260"/>
      <c r="V229" s="260"/>
      <c r="W229" s="260"/>
      <c r="X229" s="260"/>
      <c r="Y229" s="260"/>
      <c r="Z229" s="260"/>
      <c r="AA229" s="260"/>
      <c r="AB229" s="260"/>
      <c r="AC229" s="260"/>
      <c r="AD229" s="260"/>
    </row>
    <row r="230" spans="1:30" ht="15" thickBot="1">
      <c r="A230" s="260"/>
      <c r="B230" s="260"/>
      <c r="C230" s="260"/>
      <c r="D230" s="260"/>
      <c r="E230" s="260"/>
      <c r="F230" s="260"/>
      <c r="G230" s="260"/>
      <c r="H230" s="260"/>
      <c r="I230" s="260"/>
      <c r="J230" s="260"/>
      <c r="K230" s="260"/>
      <c r="L230" s="260"/>
      <c r="M230" s="260"/>
      <c r="N230" s="260"/>
      <c r="O230" s="260"/>
      <c r="P230" s="260"/>
      <c r="Q230" s="260"/>
      <c r="R230" s="260"/>
      <c r="S230" s="260"/>
      <c r="T230" s="260"/>
      <c r="U230" s="260"/>
      <c r="V230" s="260"/>
      <c r="W230" s="260"/>
      <c r="X230" s="260"/>
      <c r="Y230" s="260"/>
      <c r="Z230" s="260"/>
      <c r="AA230" s="260"/>
      <c r="AB230" s="260"/>
      <c r="AC230" s="260"/>
      <c r="AD230" s="260"/>
    </row>
    <row r="231" spans="1:30" ht="15" thickBot="1">
      <c r="A231" s="260"/>
      <c r="B231" s="260"/>
      <c r="C231" s="260"/>
      <c r="D231" s="260"/>
      <c r="E231" s="260"/>
      <c r="F231" s="260"/>
      <c r="G231" s="260"/>
      <c r="H231" s="260"/>
      <c r="I231" s="260"/>
      <c r="J231" s="260"/>
      <c r="K231" s="260"/>
      <c r="L231" s="260"/>
      <c r="M231" s="260"/>
      <c r="N231" s="260"/>
      <c r="O231" s="260"/>
      <c r="P231" s="260"/>
      <c r="Q231" s="260"/>
      <c r="R231" s="260"/>
      <c r="S231" s="260"/>
      <c r="T231" s="260"/>
      <c r="U231" s="260"/>
      <c r="V231" s="260"/>
      <c r="W231" s="260"/>
      <c r="X231" s="260"/>
      <c r="Y231" s="260"/>
      <c r="Z231" s="260"/>
      <c r="AA231" s="260"/>
      <c r="AB231" s="260"/>
      <c r="AC231" s="260"/>
      <c r="AD231" s="260"/>
    </row>
    <row r="232" spans="1:30" ht="15" thickBot="1">
      <c r="A232" s="260"/>
      <c r="B232" s="260"/>
      <c r="C232" s="260"/>
      <c r="D232" s="260"/>
      <c r="E232" s="260"/>
      <c r="F232" s="260"/>
      <c r="G232" s="260"/>
      <c r="H232" s="260"/>
      <c r="I232" s="260"/>
      <c r="J232" s="260"/>
      <c r="K232" s="260"/>
      <c r="L232" s="260"/>
      <c r="M232" s="260"/>
      <c r="N232" s="260"/>
      <c r="O232" s="260"/>
      <c r="P232" s="260"/>
      <c r="Q232" s="260"/>
      <c r="R232" s="260"/>
      <c r="S232" s="260"/>
      <c r="T232" s="260"/>
      <c r="U232" s="260"/>
      <c r="V232" s="260"/>
      <c r="W232" s="260"/>
      <c r="X232" s="260"/>
      <c r="Y232" s="260"/>
      <c r="Z232" s="260"/>
      <c r="AA232" s="260"/>
      <c r="AB232" s="260"/>
      <c r="AC232" s="260"/>
      <c r="AD232" s="260"/>
    </row>
    <row r="233" spans="1:30" ht="15" thickBot="1">
      <c r="A233" s="260"/>
      <c r="B233" s="260"/>
      <c r="C233" s="260"/>
      <c r="D233" s="260"/>
      <c r="E233" s="260"/>
      <c r="F233" s="260"/>
      <c r="G233" s="260"/>
      <c r="H233" s="260"/>
      <c r="I233" s="260"/>
      <c r="J233" s="260"/>
      <c r="K233" s="260"/>
      <c r="L233" s="260"/>
      <c r="M233" s="260"/>
      <c r="N233" s="260"/>
      <c r="O233" s="260"/>
      <c r="P233" s="260"/>
      <c r="Q233" s="260"/>
      <c r="R233" s="260"/>
      <c r="S233" s="260"/>
      <c r="T233" s="260"/>
      <c r="U233" s="260"/>
      <c r="V233" s="260"/>
      <c r="W233" s="260"/>
      <c r="X233" s="260"/>
      <c r="Y233" s="260"/>
      <c r="Z233" s="260"/>
      <c r="AA233" s="260"/>
      <c r="AB233" s="260"/>
      <c r="AC233" s="260"/>
      <c r="AD233" s="260"/>
    </row>
    <row r="234" spans="1:30" ht="15" thickBot="1">
      <c r="A234" s="260"/>
      <c r="B234" s="260"/>
      <c r="C234" s="260"/>
      <c r="D234" s="260"/>
      <c r="E234" s="260"/>
      <c r="F234" s="260"/>
      <c r="G234" s="260"/>
      <c r="H234" s="260"/>
      <c r="I234" s="260"/>
      <c r="J234" s="260"/>
      <c r="K234" s="260"/>
      <c r="L234" s="260"/>
      <c r="M234" s="260"/>
      <c r="N234" s="260"/>
      <c r="O234" s="260"/>
      <c r="P234" s="260"/>
      <c r="Q234" s="260"/>
      <c r="R234" s="260"/>
      <c r="S234" s="260"/>
      <c r="T234" s="260"/>
      <c r="U234" s="260"/>
      <c r="V234" s="260"/>
      <c r="W234" s="260"/>
      <c r="X234" s="260"/>
      <c r="Y234" s="260"/>
      <c r="Z234" s="260"/>
      <c r="AA234" s="260"/>
      <c r="AB234" s="260"/>
      <c r="AC234" s="260"/>
      <c r="AD234" s="260"/>
    </row>
    <row r="235" spans="1:30" ht="15" thickBot="1">
      <c r="A235" s="260"/>
      <c r="B235" s="260"/>
      <c r="C235" s="260"/>
      <c r="D235" s="260"/>
      <c r="E235" s="260"/>
      <c r="F235" s="260"/>
      <c r="G235" s="260"/>
      <c r="H235" s="260"/>
      <c r="I235" s="260"/>
      <c r="J235" s="260"/>
      <c r="K235" s="260"/>
      <c r="L235" s="260"/>
      <c r="M235" s="260"/>
      <c r="N235" s="260"/>
      <c r="O235" s="260"/>
      <c r="P235" s="260"/>
      <c r="Q235" s="260"/>
      <c r="R235" s="260"/>
      <c r="S235" s="260"/>
      <c r="T235" s="260"/>
      <c r="U235" s="260"/>
      <c r="V235" s="260"/>
      <c r="W235" s="260"/>
      <c r="X235" s="260"/>
      <c r="Y235" s="260"/>
      <c r="Z235" s="260"/>
      <c r="AA235" s="260"/>
      <c r="AB235" s="260"/>
      <c r="AC235" s="260"/>
      <c r="AD235" s="260"/>
    </row>
    <row r="236" spans="1:30" ht="15" thickBot="1">
      <c r="A236" s="260"/>
      <c r="B236" s="260"/>
      <c r="C236" s="260"/>
      <c r="D236" s="260"/>
      <c r="E236" s="260"/>
      <c r="F236" s="260"/>
      <c r="G236" s="260"/>
      <c r="H236" s="260"/>
      <c r="I236" s="260"/>
      <c r="J236" s="260"/>
      <c r="K236" s="260"/>
      <c r="L236" s="260"/>
      <c r="M236" s="260"/>
      <c r="N236" s="260"/>
      <c r="O236" s="260"/>
      <c r="P236" s="260"/>
      <c r="Q236" s="260"/>
      <c r="R236" s="260"/>
      <c r="S236" s="260"/>
      <c r="T236" s="260"/>
      <c r="U236" s="260"/>
      <c r="V236" s="260"/>
      <c r="W236" s="260"/>
      <c r="X236" s="260"/>
      <c r="Y236" s="260"/>
      <c r="Z236" s="260"/>
      <c r="AA236" s="260"/>
      <c r="AB236" s="260"/>
      <c r="AC236" s="260"/>
      <c r="AD236" s="260"/>
    </row>
    <row r="237" spans="1:30" ht="15" thickBot="1">
      <c r="A237" s="260"/>
      <c r="B237" s="260"/>
      <c r="C237" s="260"/>
      <c r="D237" s="260"/>
      <c r="E237" s="260"/>
      <c r="F237" s="260"/>
      <c r="G237" s="260"/>
      <c r="H237" s="260"/>
      <c r="I237" s="260"/>
      <c r="J237" s="260"/>
      <c r="K237" s="260"/>
      <c r="L237" s="260"/>
      <c r="M237" s="260"/>
      <c r="N237" s="260"/>
      <c r="O237" s="260"/>
      <c r="P237" s="260"/>
      <c r="Q237" s="260"/>
      <c r="R237" s="260"/>
      <c r="S237" s="260"/>
      <c r="T237" s="260"/>
      <c r="U237" s="260"/>
      <c r="V237" s="260"/>
      <c r="W237" s="260"/>
      <c r="X237" s="260"/>
      <c r="Y237" s="260"/>
      <c r="Z237" s="260"/>
      <c r="AA237" s="260"/>
      <c r="AB237" s="260"/>
      <c r="AC237" s="260"/>
      <c r="AD237" s="260"/>
    </row>
    <row r="238" spans="1:30" ht="15" thickBot="1">
      <c r="A238" s="260"/>
      <c r="B238" s="260"/>
      <c r="C238" s="260"/>
      <c r="D238" s="260"/>
      <c r="E238" s="260"/>
      <c r="F238" s="260"/>
      <c r="G238" s="260"/>
      <c r="H238" s="260"/>
      <c r="I238" s="260"/>
      <c r="J238" s="260"/>
      <c r="K238" s="260"/>
      <c r="L238" s="260"/>
      <c r="M238" s="260"/>
      <c r="N238" s="260"/>
      <c r="O238" s="260"/>
      <c r="P238" s="260"/>
      <c r="Q238" s="260"/>
      <c r="R238" s="260"/>
      <c r="S238" s="260"/>
      <c r="T238" s="260"/>
      <c r="U238" s="260"/>
      <c r="V238" s="260"/>
      <c r="W238" s="260"/>
      <c r="X238" s="260"/>
      <c r="Y238" s="260"/>
      <c r="Z238" s="260"/>
      <c r="AA238" s="260"/>
      <c r="AB238" s="260"/>
      <c r="AC238" s="260"/>
      <c r="AD238" s="260"/>
    </row>
    <row r="239" spans="1:30" ht="15" thickBot="1">
      <c r="A239" s="260"/>
      <c r="B239" s="260"/>
      <c r="C239" s="260"/>
      <c r="D239" s="260"/>
      <c r="E239" s="260"/>
      <c r="F239" s="260"/>
      <c r="G239" s="260"/>
      <c r="H239" s="260"/>
      <c r="I239" s="260"/>
      <c r="J239" s="260"/>
      <c r="K239" s="260"/>
      <c r="L239" s="260"/>
      <c r="M239" s="260"/>
      <c r="N239" s="260"/>
      <c r="O239" s="260"/>
      <c r="P239" s="260"/>
      <c r="Q239" s="260"/>
      <c r="R239" s="260"/>
      <c r="S239" s="260"/>
      <c r="T239" s="260"/>
      <c r="U239" s="260"/>
      <c r="V239" s="260"/>
      <c r="W239" s="260"/>
      <c r="X239" s="260"/>
      <c r="Y239" s="260"/>
      <c r="Z239" s="260"/>
      <c r="AA239" s="260"/>
      <c r="AB239" s="260"/>
      <c r="AC239" s="260"/>
      <c r="AD239" s="260"/>
    </row>
    <row r="240" spans="1:30" ht="15" thickBot="1">
      <c r="A240" s="260"/>
      <c r="B240" s="260"/>
      <c r="C240" s="260"/>
      <c r="D240" s="260"/>
      <c r="E240" s="260"/>
      <c r="F240" s="260"/>
      <c r="G240" s="260"/>
      <c r="H240" s="260"/>
      <c r="I240" s="260"/>
      <c r="J240" s="260"/>
      <c r="K240" s="260"/>
      <c r="L240" s="260"/>
      <c r="M240" s="260"/>
      <c r="N240" s="260"/>
      <c r="O240" s="260"/>
      <c r="P240" s="260"/>
      <c r="Q240" s="260"/>
      <c r="R240" s="260"/>
      <c r="S240" s="260"/>
      <c r="T240" s="260"/>
      <c r="U240" s="260"/>
      <c r="V240" s="260"/>
      <c r="W240" s="260"/>
      <c r="X240" s="260"/>
      <c r="Y240" s="260"/>
      <c r="Z240" s="260"/>
      <c r="AA240" s="260"/>
      <c r="AB240" s="260"/>
      <c r="AC240" s="260"/>
      <c r="AD240" s="260"/>
    </row>
    <row r="241" spans="1:30" ht="15" thickBot="1">
      <c r="A241" s="260"/>
      <c r="B241" s="260"/>
      <c r="C241" s="260"/>
      <c r="D241" s="260"/>
      <c r="E241" s="260"/>
      <c r="F241" s="260"/>
      <c r="G241" s="260"/>
      <c r="H241" s="260"/>
      <c r="I241" s="260"/>
      <c r="J241" s="260"/>
      <c r="K241" s="260"/>
      <c r="L241" s="260"/>
      <c r="M241" s="260"/>
      <c r="N241" s="260"/>
      <c r="O241" s="260"/>
      <c r="P241" s="260"/>
      <c r="Q241" s="260"/>
      <c r="R241" s="260"/>
      <c r="S241" s="260"/>
      <c r="T241" s="260"/>
      <c r="U241" s="260"/>
      <c r="V241" s="260"/>
      <c r="W241" s="260"/>
      <c r="X241" s="260"/>
      <c r="Y241" s="260"/>
      <c r="Z241" s="260"/>
      <c r="AA241" s="260"/>
      <c r="AB241" s="260"/>
      <c r="AC241" s="260"/>
      <c r="AD241" s="260"/>
    </row>
    <row r="242" spans="1:30" ht="15" thickBot="1">
      <c r="A242" s="260"/>
      <c r="B242" s="260"/>
      <c r="C242" s="260"/>
      <c r="D242" s="260"/>
      <c r="E242" s="260"/>
      <c r="F242" s="260"/>
      <c r="G242" s="260"/>
      <c r="H242" s="260"/>
      <c r="I242" s="260"/>
      <c r="J242" s="260"/>
      <c r="K242" s="260"/>
      <c r="L242" s="260"/>
      <c r="M242" s="260"/>
      <c r="N242" s="260"/>
      <c r="O242" s="260"/>
      <c r="P242" s="260"/>
      <c r="Q242" s="260"/>
      <c r="R242" s="260"/>
      <c r="S242" s="260"/>
      <c r="T242" s="260"/>
      <c r="U242" s="260"/>
      <c r="V242" s="260"/>
      <c r="W242" s="260"/>
      <c r="X242" s="260"/>
      <c r="Y242" s="260"/>
      <c r="Z242" s="260"/>
      <c r="AA242" s="260"/>
      <c r="AB242" s="260"/>
      <c r="AC242" s="260"/>
      <c r="AD242" s="260"/>
    </row>
    <row r="243" spans="1:30" ht="15" thickBot="1">
      <c r="A243" s="260"/>
      <c r="B243" s="260"/>
      <c r="C243" s="260"/>
      <c r="D243" s="260"/>
      <c r="E243" s="260"/>
      <c r="F243" s="260"/>
      <c r="G243" s="260"/>
      <c r="H243" s="260"/>
      <c r="I243" s="260"/>
      <c r="J243" s="260"/>
      <c r="K243" s="260"/>
      <c r="L243" s="260"/>
      <c r="M243" s="260"/>
      <c r="N243" s="260"/>
      <c r="O243" s="260"/>
      <c r="P243" s="260"/>
      <c r="Q243" s="260"/>
      <c r="R243" s="260"/>
      <c r="S243" s="260"/>
      <c r="T243" s="260"/>
      <c r="U243" s="260"/>
      <c r="V243" s="260"/>
      <c r="W243" s="260"/>
      <c r="X243" s="260"/>
      <c r="Y243" s="260"/>
      <c r="Z243" s="260"/>
      <c r="AA243" s="260"/>
      <c r="AB243" s="260"/>
      <c r="AC243" s="260"/>
      <c r="AD243" s="260"/>
    </row>
    <row r="244" spans="1:30" ht="15" thickBot="1">
      <c r="A244" s="260"/>
      <c r="B244" s="260"/>
      <c r="C244" s="260"/>
      <c r="D244" s="260"/>
      <c r="E244" s="260"/>
      <c r="F244" s="260"/>
      <c r="G244" s="260"/>
      <c r="H244" s="260"/>
      <c r="I244" s="260"/>
      <c r="J244" s="260"/>
      <c r="K244" s="260"/>
      <c r="L244" s="260"/>
      <c r="M244" s="260"/>
      <c r="N244" s="260"/>
      <c r="O244" s="260"/>
      <c r="P244" s="260"/>
      <c r="Q244" s="260"/>
      <c r="R244" s="260"/>
      <c r="S244" s="260"/>
      <c r="T244" s="260"/>
      <c r="U244" s="260"/>
      <c r="V244" s="260"/>
      <c r="W244" s="260"/>
      <c r="X244" s="260"/>
      <c r="Y244" s="260"/>
      <c r="Z244" s="260"/>
      <c r="AA244" s="260"/>
      <c r="AB244" s="260"/>
      <c r="AC244" s="260"/>
      <c r="AD244" s="260"/>
    </row>
    <row r="245" spans="1:30" ht="15" thickBot="1">
      <c r="A245" s="260"/>
      <c r="B245" s="260"/>
      <c r="C245" s="260"/>
      <c r="D245" s="260"/>
      <c r="E245" s="260"/>
      <c r="F245" s="260"/>
      <c r="G245" s="260"/>
      <c r="H245" s="260"/>
      <c r="I245" s="260"/>
      <c r="J245" s="260"/>
      <c r="K245" s="260"/>
      <c r="L245" s="260"/>
      <c r="M245" s="260"/>
      <c r="N245" s="260"/>
      <c r="O245" s="260"/>
      <c r="P245" s="260"/>
      <c r="Q245" s="260"/>
      <c r="R245" s="260"/>
      <c r="S245" s="260"/>
      <c r="T245" s="260"/>
      <c r="U245" s="260"/>
      <c r="V245" s="260"/>
      <c r="W245" s="260"/>
      <c r="X245" s="260"/>
      <c r="Y245" s="260"/>
      <c r="Z245" s="260"/>
      <c r="AA245" s="260"/>
      <c r="AB245" s="260"/>
      <c r="AC245" s="260"/>
      <c r="AD245" s="260"/>
    </row>
    <row r="246" spans="1:30" ht="15" thickBot="1">
      <c r="A246" s="260"/>
      <c r="B246" s="260"/>
      <c r="C246" s="260"/>
      <c r="D246" s="260"/>
      <c r="E246" s="260"/>
      <c r="F246" s="260"/>
      <c r="G246" s="260"/>
      <c r="H246" s="260"/>
      <c r="I246" s="260"/>
      <c r="J246" s="260"/>
      <c r="K246" s="260"/>
      <c r="L246" s="260"/>
      <c r="M246" s="260"/>
      <c r="N246" s="260"/>
      <c r="O246" s="260"/>
      <c r="P246" s="260"/>
      <c r="Q246" s="260"/>
      <c r="R246" s="260"/>
      <c r="S246" s="260"/>
      <c r="T246" s="260"/>
      <c r="U246" s="260"/>
      <c r="V246" s="260"/>
      <c r="W246" s="260"/>
      <c r="X246" s="260"/>
      <c r="Y246" s="260"/>
      <c r="Z246" s="260"/>
      <c r="AA246" s="260"/>
      <c r="AB246" s="260"/>
      <c r="AC246" s="260"/>
      <c r="AD246" s="260"/>
    </row>
    <row r="247" spans="1:30" ht="15" thickBot="1">
      <c r="A247" s="260"/>
      <c r="B247" s="260"/>
      <c r="C247" s="260"/>
      <c r="D247" s="260"/>
      <c r="E247" s="260"/>
      <c r="F247" s="260"/>
      <c r="G247" s="260"/>
      <c r="H247" s="260"/>
      <c r="I247" s="260"/>
      <c r="J247" s="260"/>
      <c r="K247" s="260"/>
      <c r="L247" s="260"/>
      <c r="M247" s="260"/>
      <c r="N247" s="260"/>
      <c r="O247" s="260"/>
      <c r="P247" s="260"/>
      <c r="Q247" s="260"/>
      <c r="R247" s="260"/>
      <c r="S247" s="260"/>
      <c r="T247" s="260"/>
      <c r="U247" s="260"/>
      <c r="V247" s="260"/>
      <c r="W247" s="260"/>
      <c r="X247" s="260"/>
      <c r="Y247" s="260"/>
      <c r="Z247" s="260"/>
      <c r="AA247" s="260"/>
      <c r="AB247" s="260"/>
      <c r="AC247" s="260"/>
      <c r="AD247" s="260"/>
    </row>
    <row r="248" spans="1:30" ht="15" thickBot="1">
      <c r="A248" s="260"/>
      <c r="B248" s="260"/>
      <c r="C248" s="260"/>
      <c r="D248" s="260"/>
      <c r="E248" s="260"/>
      <c r="F248" s="260"/>
      <c r="G248" s="260"/>
      <c r="H248" s="260"/>
      <c r="I248" s="260"/>
      <c r="J248" s="260"/>
      <c r="K248" s="260"/>
      <c r="L248" s="260"/>
      <c r="M248" s="260"/>
      <c r="N248" s="260"/>
      <c r="O248" s="260"/>
      <c r="P248" s="260"/>
      <c r="Q248" s="260"/>
      <c r="R248" s="260"/>
      <c r="S248" s="260"/>
      <c r="T248" s="260"/>
      <c r="U248" s="260"/>
      <c r="V248" s="260"/>
      <c r="W248" s="260"/>
      <c r="X248" s="260"/>
      <c r="Y248" s="260"/>
      <c r="Z248" s="260"/>
      <c r="AA248" s="260"/>
      <c r="AB248" s="260"/>
      <c r="AC248" s="260"/>
      <c r="AD248" s="260"/>
    </row>
    <row r="249" spans="1:30" ht="15" thickBot="1">
      <c r="A249" s="260"/>
      <c r="B249" s="260"/>
      <c r="C249" s="260"/>
      <c r="D249" s="260"/>
      <c r="E249" s="260"/>
      <c r="F249" s="260"/>
      <c r="G249" s="260"/>
      <c r="H249" s="260"/>
      <c r="I249" s="260"/>
      <c r="J249" s="260"/>
      <c r="K249" s="260"/>
      <c r="L249" s="260"/>
      <c r="M249" s="260"/>
      <c r="N249" s="260"/>
      <c r="O249" s="260"/>
      <c r="P249" s="260"/>
      <c r="Q249" s="260"/>
      <c r="R249" s="260"/>
      <c r="S249" s="260"/>
      <c r="T249" s="260"/>
      <c r="U249" s="260"/>
      <c r="V249" s="260"/>
      <c r="W249" s="260"/>
      <c r="X249" s="260"/>
      <c r="Y249" s="260"/>
      <c r="Z249" s="260"/>
      <c r="AA249" s="260"/>
      <c r="AB249" s="260"/>
      <c r="AC249" s="260"/>
      <c r="AD249" s="260"/>
    </row>
    <row r="250" spans="1:30" ht="15" thickBot="1">
      <c r="A250" s="260"/>
      <c r="B250" s="260"/>
      <c r="C250" s="260"/>
      <c r="D250" s="260"/>
      <c r="E250" s="260"/>
      <c r="F250" s="260"/>
      <c r="G250" s="260"/>
      <c r="H250" s="260"/>
      <c r="I250" s="260"/>
      <c r="J250" s="260"/>
      <c r="K250" s="260"/>
      <c r="L250" s="260"/>
      <c r="M250" s="260"/>
      <c r="N250" s="260"/>
      <c r="O250" s="260"/>
      <c r="P250" s="260"/>
      <c r="Q250" s="260"/>
      <c r="R250" s="260"/>
      <c r="S250" s="260"/>
      <c r="T250" s="260"/>
      <c r="U250" s="260"/>
      <c r="V250" s="260"/>
      <c r="W250" s="260"/>
      <c r="X250" s="260"/>
      <c r="Y250" s="260"/>
      <c r="Z250" s="260"/>
      <c r="AA250" s="260"/>
      <c r="AB250" s="260"/>
      <c r="AC250" s="260"/>
      <c r="AD250" s="260"/>
    </row>
    <row r="251" spans="1:30" ht="15" thickBot="1">
      <c r="A251" s="260"/>
      <c r="B251" s="260"/>
      <c r="C251" s="260"/>
      <c r="D251" s="260"/>
      <c r="E251" s="260"/>
      <c r="F251" s="260"/>
      <c r="G251" s="260"/>
      <c r="H251" s="260"/>
      <c r="I251" s="260"/>
      <c r="J251" s="260"/>
      <c r="K251" s="260"/>
      <c r="L251" s="260"/>
      <c r="M251" s="260"/>
      <c r="N251" s="260"/>
      <c r="O251" s="260"/>
      <c r="P251" s="260"/>
      <c r="Q251" s="260"/>
      <c r="R251" s="260"/>
      <c r="S251" s="260"/>
      <c r="T251" s="260"/>
      <c r="U251" s="260"/>
      <c r="V251" s="260"/>
      <c r="W251" s="260"/>
      <c r="X251" s="260"/>
      <c r="Y251" s="260"/>
      <c r="Z251" s="260"/>
      <c r="AA251" s="260"/>
      <c r="AB251" s="260"/>
      <c r="AC251" s="260"/>
      <c r="AD251" s="260"/>
    </row>
    <row r="252" spans="1:30" ht="15" thickBot="1">
      <c r="A252" s="260"/>
      <c r="B252" s="260"/>
      <c r="C252" s="260"/>
      <c r="D252" s="260"/>
      <c r="E252" s="260"/>
      <c r="F252" s="260"/>
      <c r="G252" s="260"/>
      <c r="H252" s="260"/>
      <c r="I252" s="260"/>
      <c r="J252" s="260"/>
      <c r="K252" s="260"/>
      <c r="L252" s="260"/>
      <c r="M252" s="260"/>
      <c r="N252" s="260"/>
      <c r="O252" s="260"/>
      <c r="P252" s="260"/>
      <c r="Q252" s="260"/>
      <c r="R252" s="260"/>
      <c r="S252" s="260"/>
      <c r="T252" s="260"/>
      <c r="U252" s="260"/>
      <c r="V252" s="260"/>
      <c r="W252" s="260"/>
      <c r="X252" s="260"/>
      <c r="Y252" s="260"/>
      <c r="Z252" s="260"/>
      <c r="AA252" s="260"/>
      <c r="AB252" s="260"/>
      <c r="AC252" s="260"/>
      <c r="AD252" s="260"/>
    </row>
    <row r="253" spans="1:30" ht="15" thickBot="1">
      <c r="A253" s="260"/>
      <c r="B253" s="260"/>
      <c r="C253" s="260"/>
      <c r="D253" s="260"/>
      <c r="E253" s="260"/>
      <c r="F253" s="260"/>
      <c r="G253" s="260"/>
      <c r="H253" s="260"/>
      <c r="I253" s="260"/>
      <c r="J253" s="260"/>
      <c r="K253" s="260"/>
      <c r="L253" s="260"/>
      <c r="M253" s="260"/>
      <c r="N253" s="260"/>
      <c r="O253" s="260"/>
      <c r="P253" s="260"/>
      <c r="Q253" s="260"/>
      <c r="R253" s="260"/>
      <c r="S253" s="260"/>
      <c r="T253" s="260"/>
      <c r="U253" s="260"/>
      <c r="V253" s="260"/>
      <c r="W253" s="260"/>
      <c r="X253" s="260"/>
      <c r="Y253" s="260"/>
      <c r="Z253" s="260"/>
      <c r="AA253" s="260"/>
      <c r="AB253" s="260"/>
      <c r="AC253" s="260"/>
      <c r="AD253" s="260"/>
    </row>
    <row r="254" spans="1:30" ht="15" thickBot="1">
      <c r="A254" s="260"/>
      <c r="B254" s="260"/>
      <c r="C254" s="260"/>
      <c r="D254" s="260"/>
      <c r="E254" s="260"/>
      <c r="F254" s="260"/>
      <c r="G254" s="260"/>
      <c r="H254" s="260"/>
      <c r="I254" s="260"/>
      <c r="J254" s="260"/>
      <c r="K254" s="260"/>
      <c r="L254" s="260"/>
      <c r="M254" s="260"/>
      <c r="N254" s="260"/>
      <c r="O254" s="260"/>
      <c r="P254" s="260"/>
      <c r="Q254" s="260"/>
      <c r="R254" s="260"/>
      <c r="S254" s="260"/>
      <c r="T254" s="260"/>
      <c r="U254" s="260"/>
      <c r="V254" s="260"/>
      <c r="W254" s="260"/>
      <c r="X254" s="260"/>
      <c r="Y254" s="260"/>
      <c r="Z254" s="260"/>
      <c r="AA254" s="260"/>
      <c r="AB254" s="260"/>
      <c r="AC254" s="260"/>
      <c r="AD254" s="260"/>
    </row>
    <row r="255" spans="1:30" ht="15" thickBot="1">
      <c r="A255" s="260"/>
      <c r="B255" s="260"/>
      <c r="C255" s="260"/>
      <c r="D255" s="260"/>
      <c r="E255" s="260"/>
      <c r="F255" s="260"/>
      <c r="G255" s="260"/>
      <c r="H255" s="260"/>
      <c r="I255" s="260"/>
      <c r="J255" s="260"/>
      <c r="K255" s="260"/>
      <c r="L255" s="260"/>
      <c r="M255" s="260"/>
      <c r="N255" s="260"/>
      <c r="O255" s="260"/>
      <c r="P255" s="260"/>
      <c r="Q255" s="260"/>
      <c r="R255" s="260"/>
      <c r="S255" s="260"/>
      <c r="T255" s="260"/>
      <c r="U255" s="260"/>
      <c r="V255" s="260"/>
      <c r="W255" s="260"/>
      <c r="X255" s="260"/>
      <c r="Y255" s="260"/>
      <c r="Z255" s="260"/>
      <c r="AA255" s="260"/>
      <c r="AB255" s="260"/>
      <c r="AC255" s="260"/>
      <c r="AD255" s="260"/>
    </row>
    <row r="256" spans="1:30" ht="15" thickBot="1">
      <c r="A256" s="260"/>
      <c r="B256" s="260"/>
      <c r="C256" s="260"/>
      <c r="D256" s="260"/>
      <c r="E256" s="260"/>
      <c r="F256" s="260"/>
      <c r="G256" s="260"/>
      <c r="H256" s="260"/>
      <c r="I256" s="260"/>
      <c r="J256" s="260"/>
      <c r="K256" s="260"/>
      <c r="L256" s="260"/>
      <c r="M256" s="260"/>
      <c r="N256" s="260"/>
      <c r="O256" s="260"/>
      <c r="P256" s="260"/>
      <c r="Q256" s="260"/>
      <c r="R256" s="260"/>
      <c r="S256" s="260"/>
      <c r="T256" s="260"/>
      <c r="U256" s="260"/>
      <c r="V256" s="260"/>
      <c r="W256" s="260"/>
      <c r="X256" s="260"/>
      <c r="Y256" s="260"/>
      <c r="Z256" s="260"/>
      <c r="AA256" s="260"/>
      <c r="AB256" s="260"/>
      <c r="AC256" s="260"/>
      <c r="AD256" s="260"/>
    </row>
    <row r="257" spans="1:30" ht="15" thickBot="1">
      <c r="A257" s="260"/>
      <c r="B257" s="260"/>
      <c r="C257" s="260"/>
      <c r="D257" s="260"/>
      <c r="E257" s="260"/>
      <c r="F257" s="260"/>
      <c r="G257" s="260"/>
      <c r="H257" s="260"/>
      <c r="I257" s="260"/>
      <c r="J257" s="260"/>
      <c r="K257" s="260"/>
      <c r="L257" s="260"/>
      <c r="M257" s="260"/>
      <c r="N257" s="260"/>
      <c r="O257" s="260"/>
      <c r="P257" s="260"/>
      <c r="Q257" s="260"/>
      <c r="R257" s="260"/>
      <c r="S257" s="260"/>
      <c r="T257" s="260"/>
      <c r="U257" s="260"/>
      <c r="V257" s="260"/>
      <c r="W257" s="260"/>
      <c r="X257" s="260"/>
      <c r="Y257" s="260"/>
      <c r="Z257" s="260"/>
      <c r="AA257" s="260"/>
      <c r="AB257" s="260"/>
      <c r="AC257" s="260"/>
      <c r="AD257" s="260"/>
    </row>
    <row r="258" spans="1:30" ht="15" thickBot="1">
      <c r="A258" s="260"/>
      <c r="B258" s="260"/>
      <c r="C258" s="260"/>
      <c r="D258" s="260"/>
      <c r="E258" s="260"/>
      <c r="F258" s="260"/>
      <c r="G258" s="260"/>
      <c r="H258" s="260"/>
      <c r="I258" s="260"/>
      <c r="J258" s="260"/>
      <c r="K258" s="260"/>
      <c r="L258" s="260"/>
      <c r="M258" s="260"/>
      <c r="N258" s="260"/>
      <c r="O258" s="260"/>
      <c r="P258" s="260"/>
      <c r="Q258" s="260"/>
      <c r="R258" s="260"/>
      <c r="S258" s="260"/>
      <c r="T258" s="260"/>
      <c r="U258" s="260"/>
      <c r="V258" s="260"/>
      <c r="W258" s="260"/>
      <c r="X258" s="260"/>
      <c r="Y258" s="260"/>
      <c r="Z258" s="260"/>
      <c r="AA258" s="260"/>
      <c r="AB258" s="260"/>
      <c r="AC258" s="260"/>
      <c r="AD258" s="260"/>
    </row>
    <row r="259" spans="1:30" ht="15" thickBot="1">
      <c r="A259" s="260"/>
      <c r="B259" s="260"/>
      <c r="C259" s="260"/>
      <c r="D259" s="260"/>
      <c r="E259" s="260"/>
      <c r="F259" s="260"/>
      <c r="G259" s="260"/>
      <c r="H259" s="260"/>
      <c r="I259" s="260"/>
      <c r="J259" s="260"/>
      <c r="K259" s="260"/>
      <c r="L259" s="260"/>
      <c r="M259" s="260"/>
      <c r="N259" s="260"/>
      <c r="O259" s="260"/>
      <c r="P259" s="260"/>
      <c r="Q259" s="260"/>
      <c r="R259" s="260"/>
      <c r="S259" s="260"/>
      <c r="T259" s="260"/>
      <c r="U259" s="260"/>
      <c r="V259" s="260"/>
      <c r="W259" s="260"/>
      <c r="X259" s="260"/>
      <c r="Y259" s="260"/>
      <c r="Z259" s="260"/>
      <c r="AA259" s="260"/>
      <c r="AB259" s="260"/>
      <c r="AC259" s="260"/>
      <c r="AD259" s="260"/>
    </row>
    <row r="260" spans="1:30" ht="15" thickBot="1">
      <c r="A260" s="260"/>
      <c r="B260" s="260"/>
      <c r="C260" s="260"/>
      <c r="D260" s="260"/>
      <c r="E260" s="260"/>
      <c r="F260" s="260"/>
      <c r="G260" s="260"/>
      <c r="H260" s="260"/>
      <c r="I260" s="260"/>
      <c r="J260" s="260"/>
      <c r="K260" s="260"/>
      <c r="L260" s="260"/>
      <c r="M260" s="260"/>
      <c r="N260" s="260"/>
      <c r="O260" s="260"/>
      <c r="P260" s="260"/>
      <c r="Q260" s="260"/>
      <c r="R260" s="260"/>
      <c r="S260" s="260"/>
      <c r="T260" s="260"/>
      <c r="U260" s="260"/>
      <c r="V260" s="260"/>
      <c r="W260" s="260"/>
      <c r="X260" s="260"/>
      <c r="Y260" s="260"/>
      <c r="Z260" s="260"/>
      <c r="AA260" s="260"/>
      <c r="AB260" s="260"/>
      <c r="AC260" s="260"/>
      <c r="AD260" s="260"/>
    </row>
    <row r="261" spans="1:30" ht="15" thickBot="1">
      <c r="A261" s="260"/>
      <c r="B261" s="260"/>
      <c r="C261" s="260"/>
      <c r="D261" s="260"/>
      <c r="E261" s="260"/>
      <c r="F261" s="260"/>
      <c r="G261" s="260"/>
      <c r="H261" s="260"/>
      <c r="I261" s="260"/>
      <c r="J261" s="260"/>
      <c r="K261" s="260"/>
      <c r="L261" s="260"/>
      <c r="M261" s="260"/>
      <c r="N261" s="260"/>
      <c r="O261" s="260"/>
      <c r="P261" s="260"/>
      <c r="Q261" s="260"/>
      <c r="R261" s="260"/>
      <c r="S261" s="260"/>
      <c r="T261" s="260"/>
      <c r="U261" s="260"/>
      <c r="V261" s="260"/>
      <c r="W261" s="260"/>
      <c r="X261" s="260"/>
      <c r="Y261" s="260"/>
      <c r="Z261" s="260"/>
      <c r="AA261" s="260"/>
      <c r="AB261" s="260"/>
      <c r="AC261" s="260"/>
      <c r="AD261" s="260"/>
    </row>
    <row r="262" spans="1:30" ht="15" thickBot="1">
      <c r="A262" s="260"/>
      <c r="B262" s="260"/>
      <c r="C262" s="260"/>
      <c r="D262" s="260"/>
      <c r="E262" s="260"/>
      <c r="F262" s="260"/>
      <c r="G262" s="260"/>
      <c r="H262" s="260"/>
      <c r="I262" s="260"/>
      <c r="J262" s="260"/>
      <c r="K262" s="260"/>
      <c r="L262" s="260"/>
      <c r="M262" s="260"/>
      <c r="N262" s="260"/>
      <c r="O262" s="260"/>
      <c r="P262" s="260"/>
      <c r="Q262" s="260"/>
      <c r="R262" s="260"/>
      <c r="S262" s="260"/>
      <c r="T262" s="260"/>
      <c r="U262" s="260"/>
      <c r="V262" s="260"/>
      <c r="W262" s="260"/>
      <c r="X262" s="260"/>
      <c r="Y262" s="260"/>
      <c r="Z262" s="260"/>
      <c r="AA262" s="260"/>
      <c r="AB262" s="260"/>
      <c r="AC262" s="260"/>
      <c r="AD262" s="260"/>
    </row>
    <row r="263" spans="1:30" ht="15" thickBot="1">
      <c r="A263" s="260"/>
      <c r="B263" s="260"/>
      <c r="C263" s="260"/>
      <c r="D263" s="260"/>
      <c r="E263" s="260"/>
      <c r="F263" s="260"/>
      <c r="G263" s="260"/>
      <c r="H263" s="260"/>
      <c r="I263" s="260"/>
      <c r="J263" s="260"/>
      <c r="K263" s="260"/>
      <c r="L263" s="260"/>
      <c r="M263" s="260"/>
      <c r="N263" s="260"/>
      <c r="O263" s="260"/>
      <c r="P263" s="260"/>
      <c r="Q263" s="260"/>
      <c r="R263" s="260"/>
      <c r="S263" s="260"/>
      <c r="T263" s="260"/>
      <c r="U263" s="260"/>
      <c r="V263" s="260"/>
      <c r="W263" s="260"/>
      <c r="X263" s="260"/>
      <c r="Y263" s="260"/>
      <c r="Z263" s="260"/>
      <c r="AA263" s="260"/>
      <c r="AB263" s="260"/>
      <c r="AC263" s="260"/>
      <c r="AD263" s="260"/>
    </row>
    <row r="264" spans="1:30" ht="15" thickBot="1">
      <c r="A264" s="260"/>
      <c r="B264" s="260"/>
      <c r="C264" s="260"/>
      <c r="D264" s="260"/>
      <c r="E264" s="260"/>
      <c r="F264" s="260"/>
      <c r="G264" s="260"/>
      <c r="H264" s="260"/>
      <c r="I264" s="260"/>
      <c r="J264" s="260"/>
      <c r="K264" s="260"/>
      <c r="L264" s="260"/>
      <c r="M264" s="260"/>
      <c r="N264" s="260"/>
      <c r="O264" s="260"/>
      <c r="P264" s="260"/>
      <c r="Q264" s="260"/>
      <c r="R264" s="260"/>
      <c r="S264" s="260"/>
      <c r="T264" s="260"/>
      <c r="U264" s="260"/>
      <c r="V264" s="260"/>
      <c r="W264" s="260"/>
      <c r="X264" s="260"/>
      <c r="Y264" s="260"/>
      <c r="Z264" s="260"/>
      <c r="AA264" s="260"/>
      <c r="AB264" s="260"/>
      <c r="AC264" s="260"/>
      <c r="AD264" s="260"/>
    </row>
    <row r="265" spans="1:30" ht="15" thickBot="1">
      <c r="A265" s="260"/>
      <c r="B265" s="260"/>
      <c r="C265" s="260"/>
      <c r="D265" s="260"/>
      <c r="E265" s="260"/>
      <c r="F265" s="260"/>
      <c r="G265" s="260"/>
      <c r="H265" s="260"/>
      <c r="I265" s="260"/>
      <c r="J265" s="260"/>
      <c r="K265" s="260"/>
      <c r="L265" s="260"/>
      <c r="M265" s="260"/>
      <c r="N265" s="260"/>
      <c r="O265" s="260"/>
      <c r="P265" s="260"/>
      <c r="Q265" s="260"/>
      <c r="R265" s="260"/>
      <c r="S265" s="260"/>
      <c r="T265" s="260"/>
      <c r="U265" s="260"/>
      <c r="V265" s="260"/>
      <c r="W265" s="260"/>
      <c r="X265" s="260"/>
      <c r="Y265" s="260"/>
      <c r="Z265" s="260"/>
      <c r="AA265" s="260"/>
      <c r="AB265" s="260"/>
      <c r="AC265" s="260"/>
      <c r="AD265" s="260"/>
    </row>
    <row r="266" spans="1:30" ht="15" thickBot="1">
      <c r="A266" s="260"/>
      <c r="B266" s="260"/>
      <c r="C266" s="260"/>
      <c r="D266" s="260"/>
      <c r="E266" s="260"/>
      <c r="F266" s="260"/>
      <c r="G266" s="260"/>
      <c r="H266" s="260"/>
      <c r="I266" s="260"/>
      <c r="J266" s="260"/>
      <c r="K266" s="260"/>
      <c r="L266" s="260"/>
      <c r="M266" s="260"/>
      <c r="N266" s="260"/>
      <c r="O266" s="260"/>
      <c r="P266" s="260"/>
      <c r="Q266" s="260"/>
      <c r="R266" s="260"/>
      <c r="S266" s="260"/>
      <c r="T266" s="260"/>
      <c r="U266" s="260"/>
      <c r="V266" s="260"/>
      <c r="W266" s="260"/>
      <c r="X266" s="260"/>
      <c r="Y266" s="260"/>
      <c r="Z266" s="260"/>
      <c r="AA266" s="260"/>
      <c r="AB266" s="260"/>
      <c r="AC266" s="260"/>
      <c r="AD266" s="260"/>
    </row>
    <row r="267" spans="1:30" ht="15" thickBot="1">
      <c r="A267" s="260"/>
      <c r="B267" s="260"/>
      <c r="C267" s="260"/>
      <c r="D267" s="260"/>
      <c r="E267" s="260"/>
      <c r="F267" s="260"/>
      <c r="G267" s="260"/>
      <c r="H267" s="260"/>
      <c r="I267" s="260"/>
      <c r="J267" s="260"/>
      <c r="K267" s="260"/>
      <c r="L267" s="260"/>
      <c r="M267" s="260"/>
      <c r="N267" s="260"/>
      <c r="O267" s="260"/>
      <c r="P267" s="260"/>
      <c r="Q267" s="260"/>
      <c r="R267" s="260"/>
      <c r="S267" s="260"/>
      <c r="T267" s="260"/>
      <c r="U267" s="260"/>
      <c r="V267" s="260"/>
      <c r="W267" s="260"/>
      <c r="X267" s="260"/>
      <c r="Y267" s="260"/>
      <c r="Z267" s="260"/>
      <c r="AA267" s="260"/>
      <c r="AB267" s="260"/>
      <c r="AC267" s="260"/>
      <c r="AD267" s="260"/>
    </row>
    <row r="268" spans="1:30" ht="15" thickBot="1">
      <c r="A268" s="260"/>
      <c r="B268" s="260"/>
      <c r="C268" s="260"/>
      <c r="D268" s="260"/>
      <c r="E268" s="260"/>
      <c r="F268" s="260"/>
      <c r="G268" s="260"/>
      <c r="H268" s="260"/>
      <c r="I268" s="260"/>
      <c r="J268" s="260"/>
      <c r="K268" s="260"/>
      <c r="L268" s="260"/>
      <c r="M268" s="260"/>
      <c r="N268" s="260"/>
      <c r="O268" s="260"/>
      <c r="P268" s="260"/>
      <c r="Q268" s="260"/>
      <c r="R268" s="260"/>
      <c r="S268" s="260"/>
      <c r="T268" s="260"/>
      <c r="U268" s="260"/>
      <c r="V268" s="260"/>
      <c r="W268" s="260"/>
      <c r="X268" s="260"/>
      <c r="Y268" s="260"/>
      <c r="Z268" s="260"/>
      <c r="AA268" s="260"/>
      <c r="AB268" s="260"/>
      <c r="AC268" s="260"/>
      <c r="AD268" s="260"/>
    </row>
    <row r="269" spans="1:30" ht="15" thickBot="1">
      <c r="A269" s="260"/>
      <c r="B269" s="260"/>
      <c r="C269" s="260"/>
      <c r="D269" s="260"/>
      <c r="E269" s="260"/>
      <c r="F269" s="260"/>
      <c r="G269" s="260"/>
      <c r="H269" s="260"/>
      <c r="I269" s="260"/>
      <c r="J269" s="260"/>
      <c r="K269" s="260"/>
      <c r="L269" s="260"/>
      <c r="M269" s="260"/>
      <c r="N269" s="260"/>
      <c r="O269" s="260"/>
      <c r="P269" s="260"/>
      <c r="Q269" s="260"/>
      <c r="R269" s="260"/>
      <c r="S269" s="260"/>
      <c r="T269" s="260"/>
      <c r="U269" s="260"/>
      <c r="V269" s="260"/>
      <c r="W269" s="260"/>
      <c r="X269" s="260"/>
      <c r="Y269" s="260"/>
      <c r="Z269" s="260"/>
      <c r="AA269" s="260"/>
      <c r="AB269" s="260"/>
      <c r="AC269" s="260"/>
      <c r="AD269" s="260"/>
    </row>
    <row r="270" spans="1:30" ht="15" thickBot="1">
      <c r="A270" s="260"/>
      <c r="B270" s="260"/>
      <c r="C270" s="260"/>
      <c r="D270" s="260"/>
      <c r="E270" s="260"/>
      <c r="F270" s="260"/>
      <c r="G270" s="260"/>
      <c r="H270" s="260"/>
      <c r="I270" s="260"/>
      <c r="J270" s="260"/>
      <c r="K270" s="260"/>
      <c r="L270" s="260"/>
      <c r="M270" s="260"/>
      <c r="N270" s="260"/>
      <c r="O270" s="260"/>
      <c r="P270" s="260"/>
      <c r="Q270" s="260"/>
      <c r="R270" s="260"/>
      <c r="S270" s="260"/>
      <c r="T270" s="260"/>
      <c r="U270" s="260"/>
      <c r="V270" s="260"/>
      <c r="W270" s="260"/>
      <c r="X270" s="260"/>
      <c r="Y270" s="260"/>
      <c r="Z270" s="260"/>
      <c r="AA270" s="260"/>
      <c r="AB270" s="260"/>
      <c r="AC270" s="260"/>
      <c r="AD270" s="260"/>
    </row>
    <row r="271" spans="1:30" ht="15" thickBot="1">
      <c r="A271" s="260"/>
      <c r="B271" s="260"/>
      <c r="C271" s="260"/>
      <c r="D271" s="260"/>
      <c r="E271" s="260"/>
      <c r="F271" s="260"/>
      <c r="G271" s="260"/>
      <c r="H271" s="260"/>
      <c r="I271" s="260"/>
      <c r="J271" s="260"/>
      <c r="K271" s="260"/>
      <c r="L271" s="260"/>
      <c r="M271" s="260"/>
      <c r="N271" s="260"/>
      <c r="O271" s="260"/>
      <c r="P271" s="260"/>
      <c r="Q271" s="260"/>
      <c r="R271" s="260"/>
      <c r="S271" s="260"/>
      <c r="T271" s="260"/>
      <c r="U271" s="260"/>
      <c r="V271" s="260"/>
      <c r="W271" s="260"/>
      <c r="X271" s="260"/>
      <c r="Y271" s="260"/>
      <c r="Z271" s="260"/>
      <c r="AA271" s="260"/>
      <c r="AB271" s="260"/>
      <c r="AC271" s="260"/>
      <c r="AD271" s="260"/>
    </row>
    <row r="272" spans="1:30" ht="15" thickBot="1">
      <c r="A272" s="260"/>
      <c r="B272" s="260"/>
      <c r="C272" s="260"/>
      <c r="D272" s="260"/>
      <c r="E272" s="260"/>
      <c r="F272" s="260"/>
      <c r="G272" s="260"/>
      <c r="H272" s="260"/>
      <c r="I272" s="260"/>
      <c r="J272" s="260"/>
      <c r="K272" s="260"/>
      <c r="L272" s="260"/>
      <c r="M272" s="260"/>
      <c r="N272" s="260"/>
      <c r="O272" s="260"/>
      <c r="P272" s="260"/>
      <c r="Q272" s="260"/>
      <c r="R272" s="260"/>
      <c r="S272" s="260"/>
      <c r="T272" s="260"/>
      <c r="U272" s="260"/>
      <c r="V272" s="260"/>
      <c r="W272" s="260"/>
      <c r="X272" s="260"/>
      <c r="Y272" s="260"/>
      <c r="Z272" s="260"/>
      <c r="AA272" s="260"/>
      <c r="AB272" s="260"/>
      <c r="AC272" s="260"/>
      <c r="AD272" s="260"/>
    </row>
    <row r="273" spans="1:30" ht="15" thickBot="1">
      <c r="A273" s="260"/>
      <c r="B273" s="260"/>
      <c r="C273" s="260"/>
      <c r="D273" s="260"/>
      <c r="E273" s="260"/>
      <c r="F273" s="260"/>
      <c r="G273" s="260"/>
      <c r="H273" s="260"/>
      <c r="I273" s="260"/>
      <c r="J273" s="260"/>
      <c r="K273" s="260"/>
      <c r="L273" s="260"/>
      <c r="M273" s="260"/>
      <c r="N273" s="260"/>
      <c r="O273" s="260"/>
      <c r="P273" s="260"/>
      <c r="Q273" s="260"/>
      <c r="R273" s="260"/>
      <c r="S273" s="260"/>
      <c r="T273" s="260"/>
      <c r="U273" s="260"/>
      <c r="V273" s="260"/>
      <c r="W273" s="260"/>
      <c r="X273" s="260"/>
      <c r="Y273" s="260"/>
      <c r="Z273" s="260"/>
      <c r="AA273" s="260"/>
      <c r="AB273" s="260"/>
      <c r="AC273" s="260"/>
      <c r="AD273" s="260"/>
    </row>
    <row r="274" spans="1:30" ht="15" thickBot="1">
      <c r="A274" s="260"/>
      <c r="B274" s="260"/>
      <c r="C274" s="260"/>
      <c r="D274" s="260"/>
      <c r="E274" s="260"/>
      <c r="F274" s="260"/>
      <c r="G274" s="260"/>
      <c r="H274" s="260"/>
      <c r="I274" s="260"/>
      <c r="J274" s="260"/>
      <c r="K274" s="260"/>
      <c r="L274" s="260"/>
      <c r="M274" s="260"/>
      <c r="N274" s="260"/>
      <c r="O274" s="260"/>
      <c r="P274" s="260"/>
      <c r="Q274" s="260"/>
      <c r="R274" s="260"/>
      <c r="S274" s="260"/>
      <c r="T274" s="260"/>
      <c r="U274" s="260"/>
      <c r="V274" s="260"/>
      <c r="W274" s="260"/>
      <c r="X274" s="260"/>
      <c r="Y274" s="260"/>
      <c r="Z274" s="260"/>
      <c r="AA274" s="260"/>
      <c r="AB274" s="260"/>
      <c r="AC274" s="260"/>
      <c r="AD274" s="260"/>
    </row>
    <row r="275" spans="1:30" ht="15" thickBot="1">
      <c r="A275" s="260"/>
      <c r="B275" s="260"/>
      <c r="C275" s="260"/>
      <c r="D275" s="260"/>
      <c r="E275" s="260"/>
      <c r="F275" s="260"/>
      <c r="G275" s="260"/>
      <c r="H275" s="260"/>
      <c r="I275" s="260"/>
      <c r="J275" s="260"/>
      <c r="K275" s="260"/>
      <c r="L275" s="260"/>
      <c r="M275" s="260"/>
      <c r="N275" s="260"/>
      <c r="O275" s="260"/>
      <c r="P275" s="260"/>
      <c r="Q275" s="260"/>
      <c r="R275" s="260"/>
      <c r="S275" s="260"/>
      <c r="T275" s="260"/>
      <c r="U275" s="260"/>
      <c r="V275" s="260"/>
      <c r="W275" s="260"/>
      <c r="X275" s="260"/>
      <c r="Y275" s="260"/>
      <c r="Z275" s="260"/>
      <c r="AA275" s="260"/>
      <c r="AB275" s="260"/>
      <c r="AC275" s="260"/>
      <c r="AD275" s="260"/>
    </row>
    <row r="276" spans="1:30" ht="15" thickBot="1">
      <c r="A276" s="260"/>
      <c r="B276" s="260"/>
      <c r="C276" s="260"/>
      <c r="D276" s="260"/>
      <c r="E276" s="260"/>
      <c r="F276" s="260"/>
      <c r="G276" s="260"/>
      <c r="H276" s="260"/>
      <c r="I276" s="260"/>
      <c r="J276" s="260"/>
      <c r="K276" s="260"/>
      <c r="L276" s="260"/>
      <c r="M276" s="260"/>
      <c r="N276" s="260"/>
      <c r="O276" s="260"/>
      <c r="P276" s="260"/>
      <c r="Q276" s="260"/>
      <c r="R276" s="260"/>
      <c r="S276" s="260"/>
      <c r="T276" s="260"/>
      <c r="U276" s="260"/>
      <c r="V276" s="260"/>
      <c r="W276" s="260"/>
      <c r="X276" s="260"/>
      <c r="Y276" s="260"/>
      <c r="Z276" s="260"/>
      <c r="AA276" s="260"/>
      <c r="AB276" s="260"/>
      <c r="AC276" s="260"/>
      <c r="AD276" s="260"/>
    </row>
    <row r="277" spans="1:30" ht="15" thickBot="1">
      <c r="A277" s="260"/>
      <c r="B277" s="260"/>
      <c r="C277" s="260"/>
      <c r="D277" s="260"/>
      <c r="E277" s="260"/>
      <c r="F277" s="260"/>
      <c r="G277" s="260"/>
      <c r="H277" s="260"/>
      <c r="I277" s="260"/>
      <c r="J277" s="260"/>
      <c r="K277" s="260"/>
      <c r="L277" s="260"/>
      <c r="M277" s="260"/>
      <c r="N277" s="260"/>
      <c r="O277" s="260"/>
      <c r="P277" s="260"/>
      <c r="Q277" s="260"/>
      <c r="R277" s="260"/>
      <c r="S277" s="260"/>
      <c r="T277" s="260"/>
      <c r="U277" s="260"/>
      <c r="V277" s="260"/>
      <c r="W277" s="260"/>
      <c r="X277" s="260"/>
      <c r="Y277" s="260"/>
      <c r="Z277" s="260"/>
      <c r="AA277" s="260"/>
      <c r="AB277" s="260"/>
      <c r="AC277" s="260"/>
      <c r="AD277" s="260"/>
    </row>
    <row r="278" spans="1:30" ht="15" thickBot="1">
      <c r="A278" s="260"/>
      <c r="B278" s="260"/>
      <c r="C278" s="260"/>
      <c r="D278" s="260"/>
      <c r="E278" s="260"/>
      <c r="F278" s="260"/>
      <c r="G278" s="260"/>
      <c r="H278" s="260"/>
      <c r="I278" s="260"/>
      <c r="J278" s="260"/>
      <c r="K278" s="260"/>
      <c r="L278" s="260"/>
      <c r="M278" s="260"/>
      <c r="N278" s="260"/>
      <c r="O278" s="260"/>
      <c r="P278" s="260"/>
      <c r="Q278" s="260"/>
      <c r="R278" s="260"/>
      <c r="S278" s="260"/>
      <c r="T278" s="260"/>
      <c r="U278" s="260"/>
      <c r="V278" s="260"/>
      <c r="W278" s="260"/>
      <c r="X278" s="260"/>
      <c r="Y278" s="260"/>
      <c r="Z278" s="260"/>
      <c r="AA278" s="260"/>
      <c r="AB278" s="260"/>
      <c r="AC278" s="260"/>
      <c r="AD278" s="260"/>
    </row>
    <row r="279" spans="1:30" ht="15" thickBot="1">
      <c r="A279" s="260"/>
      <c r="B279" s="260"/>
      <c r="C279" s="260"/>
      <c r="D279" s="260"/>
      <c r="E279" s="260"/>
      <c r="F279" s="260"/>
      <c r="G279" s="260"/>
      <c r="H279" s="260"/>
      <c r="I279" s="260"/>
      <c r="J279" s="260"/>
      <c r="K279" s="260"/>
      <c r="L279" s="260"/>
      <c r="M279" s="260"/>
      <c r="N279" s="260"/>
      <c r="O279" s="260"/>
      <c r="P279" s="260"/>
      <c r="Q279" s="260"/>
      <c r="R279" s="260"/>
      <c r="S279" s="260"/>
      <c r="T279" s="260"/>
      <c r="U279" s="260"/>
      <c r="V279" s="260"/>
      <c r="W279" s="260"/>
      <c r="X279" s="260"/>
      <c r="Y279" s="260"/>
      <c r="Z279" s="260"/>
      <c r="AA279" s="260"/>
      <c r="AB279" s="260"/>
      <c r="AC279" s="260"/>
      <c r="AD279" s="260"/>
    </row>
    <row r="280" spans="1:30" ht="15" thickBot="1">
      <c r="A280" s="260"/>
      <c r="B280" s="260"/>
      <c r="C280" s="260"/>
      <c r="D280" s="260"/>
      <c r="E280" s="260"/>
      <c r="F280" s="260"/>
      <c r="G280" s="260"/>
      <c r="H280" s="260"/>
      <c r="I280" s="260"/>
      <c r="J280" s="260"/>
      <c r="K280" s="260"/>
      <c r="L280" s="260"/>
      <c r="M280" s="260"/>
      <c r="N280" s="260"/>
      <c r="O280" s="260"/>
      <c r="P280" s="260"/>
      <c r="Q280" s="260"/>
      <c r="R280" s="260"/>
      <c r="S280" s="260"/>
      <c r="T280" s="260"/>
      <c r="U280" s="260"/>
      <c r="V280" s="260"/>
      <c r="W280" s="260"/>
      <c r="X280" s="260"/>
      <c r="Y280" s="260"/>
      <c r="Z280" s="260"/>
      <c r="AA280" s="260"/>
      <c r="AB280" s="260"/>
      <c r="AC280" s="260"/>
      <c r="AD280" s="260"/>
    </row>
    <row r="281" spans="1:30" ht="15" thickBot="1">
      <c r="A281" s="260"/>
      <c r="B281" s="260"/>
      <c r="C281" s="260"/>
      <c r="D281" s="260"/>
      <c r="E281" s="260"/>
      <c r="F281" s="260"/>
      <c r="G281" s="260"/>
      <c r="H281" s="260"/>
      <c r="I281" s="260"/>
      <c r="J281" s="260"/>
      <c r="K281" s="260"/>
      <c r="L281" s="260"/>
      <c r="M281" s="260"/>
      <c r="N281" s="260"/>
      <c r="O281" s="260"/>
      <c r="P281" s="260"/>
      <c r="Q281" s="260"/>
      <c r="R281" s="260"/>
      <c r="S281" s="260"/>
      <c r="T281" s="260"/>
      <c r="U281" s="260"/>
      <c r="V281" s="260"/>
      <c r="W281" s="260"/>
      <c r="X281" s="260"/>
      <c r="Y281" s="260"/>
      <c r="Z281" s="260"/>
      <c r="AA281" s="260"/>
      <c r="AB281" s="260"/>
      <c r="AC281" s="260"/>
      <c r="AD281" s="260"/>
    </row>
    <row r="282" spans="1:30" ht="15" thickBot="1">
      <c r="A282" s="260"/>
      <c r="B282" s="260"/>
      <c r="C282" s="260"/>
      <c r="D282" s="260"/>
      <c r="E282" s="260"/>
      <c r="F282" s="260"/>
      <c r="G282" s="260"/>
      <c r="H282" s="260"/>
      <c r="I282" s="260"/>
      <c r="J282" s="260"/>
      <c r="K282" s="260"/>
      <c r="L282" s="260"/>
      <c r="M282" s="260"/>
      <c r="N282" s="260"/>
      <c r="O282" s="260"/>
      <c r="P282" s="260"/>
      <c r="Q282" s="260"/>
      <c r="R282" s="260"/>
      <c r="S282" s="260"/>
      <c r="T282" s="260"/>
      <c r="U282" s="260"/>
      <c r="V282" s="260"/>
      <c r="W282" s="260"/>
      <c r="X282" s="260"/>
      <c r="Y282" s="260"/>
      <c r="Z282" s="260"/>
      <c r="AA282" s="260"/>
      <c r="AB282" s="260"/>
      <c r="AC282" s="260"/>
      <c r="AD282" s="260"/>
    </row>
    <row r="283" spans="1:30" ht="15" thickBot="1">
      <c r="A283" s="260"/>
      <c r="B283" s="260"/>
      <c r="C283" s="260"/>
      <c r="D283" s="260"/>
      <c r="E283" s="260"/>
      <c r="F283" s="260"/>
      <c r="G283" s="260"/>
      <c r="H283" s="260"/>
      <c r="I283" s="260"/>
      <c r="J283" s="260"/>
      <c r="K283" s="260"/>
      <c r="L283" s="260"/>
      <c r="M283" s="260"/>
      <c r="N283" s="260"/>
      <c r="O283" s="260"/>
      <c r="P283" s="260"/>
      <c r="Q283" s="260"/>
      <c r="R283" s="260"/>
      <c r="S283" s="260"/>
      <c r="T283" s="260"/>
      <c r="U283" s="260"/>
      <c r="V283" s="260"/>
      <c r="W283" s="260"/>
      <c r="X283" s="260"/>
      <c r="Y283" s="260"/>
      <c r="Z283" s="260"/>
      <c r="AA283" s="260"/>
      <c r="AB283" s="260"/>
      <c r="AC283" s="260"/>
      <c r="AD283" s="260"/>
    </row>
    <row r="284" spans="1:30" ht="15" thickBot="1">
      <c r="A284" s="260"/>
      <c r="B284" s="260"/>
      <c r="C284" s="260"/>
      <c r="D284" s="260"/>
      <c r="E284" s="260"/>
      <c r="F284" s="260"/>
      <c r="G284" s="260"/>
      <c r="H284" s="260"/>
      <c r="I284" s="260"/>
      <c r="J284" s="260"/>
      <c r="K284" s="260"/>
      <c r="L284" s="260"/>
      <c r="M284" s="260"/>
      <c r="N284" s="260"/>
      <c r="O284" s="260"/>
      <c r="P284" s="260"/>
      <c r="Q284" s="260"/>
      <c r="R284" s="260"/>
      <c r="S284" s="260"/>
      <c r="T284" s="260"/>
      <c r="U284" s="260"/>
      <c r="V284" s="260"/>
      <c r="W284" s="260"/>
      <c r="X284" s="260"/>
      <c r="Y284" s="260"/>
      <c r="Z284" s="260"/>
      <c r="AA284" s="260"/>
      <c r="AB284" s="260"/>
      <c r="AC284" s="260"/>
      <c r="AD284" s="260"/>
    </row>
    <row r="285" spans="1:30" ht="15" thickBot="1">
      <c r="A285" s="260"/>
      <c r="B285" s="260"/>
      <c r="C285" s="260"/>
      <c r="D285" s="260"/>
      <c r="E285" s="260"/>
      <c r="F285" s="260"/>
      <c r="G285" s="260"/>
      <c r="H285" s="260"/>
      <c r="I285" s="260"/>
      <c r="J285" s="260"/>
      <c r="K285" s="260"/>
      <c r="L285" s="260"/>
      <c r="M285" s="260"/>
      <c r="N285" s="260"/>
      <c r="O285" s="260"/>
      <c r="P285" s="260"/>
      <c r="Q285" s="260"/>
      <c r="R285" s="260"/>
      <c r="S285" s="260"/>
      <c r="T285" s="260"/>
      <c r="U285" s="260"/>
      <c r="V285" s="260"/>
      <c r="W285" s="260"/>
      <c r="X285" s="260"/>
      <c r="Y285" s="260"/>
      <c r="Z285" s="260"/>
      <c r="AA285" s="260"/>
      <c r="AB285" s="260"/>
      <c r="AC285" s="260"/>
      <c r="AD285" s="260"/>
    </row>
    <row r="286" spans="1:30" ht="15" thickBot="1">
      <c r="A286" s="260"/>
      <c r="B286" s="260"/>
      <c r="C286" s="260"/>
      <c r="D286" s="260"/>
      <c r="E286" s="260"/>
      <c r="F286" s="260"/>
      <c r="G286" s="260"/>
      <c r="H286" s="260"/>
      <c r="I286" s="260"/>
      <c r="J286" s="260"/>
      <c r="K286" s="260"/>
      <c r="L286" s="260"/>
      <c r="M286" s="260"/>
      <c r="N286" s="260"/>
      <c r="O286" s="260"/>
      <c r="P286" s="260"/>
      <c r="Q286" s="260"/>
      <c r="R286" s="260"/>
      <c r="S286" s="260"/>
      <c r="T286" s="260"/>
      <c r="U286" s="260"/>
      <c r="V286" s="260"/>
      <c r="W286" s="260"/>
      <c r="X286" s="260"/>
      <c r="Y286" s="260"/>
      <c r="Z286" s="260"/>
      <c r="AA286" s="260"/>
      <c r="AB286" s="260"/>
      <c r="AC286" s="260"/>
      <c r="AD286" s="260"/>
    </row>
    <row r="287" spans="1:30" ht="15" thickBot="1">
      <c r="A287" s="260"/>
      <c r="B287" s="260"/>
      <c r="C287" s="260"/>
      <c r="D287" s="260"/>
      <c r="E287" s="260"/>
      <c r="F287" s="260"/>
      <c r="G287" s="260"/>
      <c r="H287" s="260"/>
      <c r="I287" s="260"/>
      <c r="J287" s="260"/>
      <c r="K287" s="260"/>
      <c r="L287" s="260"/>
      <c r="M287" s="260"/>
      <c r="N287" s="260"/>
      <c r="O287" s="260"/>
      <c r="P287" s="260"/>
      <c r="Q287" s="260"/>
      <c r="R287" s="260"/>
      <c r="S287" s="260"/>
      <c r="T287" s="260"/>
      <c r="U287" s="260"/>
      <c r="V287" s="260"/>
      <c r="W287" s="260"/>
      <c r="X287" s="260"/>
      <c r="Y287" s="260"/>
      <c r="Z287" s="260"/>
      <c r="AA287" s="260"/>
      <c r="AB287" s="260"/>
      <c r="AC287" s="260"/>
      <c r="AD287" s="260"/>
    </row>
    <row r="288" spans="1:30" ht="15" thickBot="1">
      <c r="A288" s="260"/>
      <c r="B288" s="260"/>
      <c r="C288" s="260"/>
      <c r="D288" s="260"/>
      <c r="E288" s="260"/>
      <c r="F288" s="260"/>
      <c r="G288" s="260"/>
      <c r="H288" s="260"/>
      <c r="I288" s="260"/>
      <c r="J288" s="260"/>
      <c r="K288" s="260"/>
      <c r="L288" s="260"/>
      <c r="M288" s="260"/>
      <c r="N288" s="260"/>
      <c r="O288" s="260"/>
      <c r="P288" s="260"/>
      <c r="Q288" s="260"/>
      <c r="R288" s="260"/>
      <c r="S288" s="260"/>
      <c r="T288" s="260"/>
      <c r="U288" s="260"/>
      <c r="V288" s="260"/>
      <c r="W288" s="260"/>
      <c r="X288" s="260"/>
      <c r="Y288" s="260"/>
      <c r="Z288" s="260"/>
      <c r="AA288" s="260"/>
      <c r="AB288" s="260"/>
      <c r="AC288" s="260"/>
      <c r="AD288" s="260"/>
    </row>
    <row r="289" spans="1:30" ht="15" thickBot="1">
      <c r="A289" s="260"/>
      <c r="B289" s="260"/>
      <c r="C289" s="260"/>
      <c r="D289" s="260"/>
      <c r="E289" s="260"/>
      <c r="F289" s="260"/>
      <c r="G289" s="260"/>
      <c r="H289" s="260"/>
      <c r="I289" s="260"/>
      <c r="J289" s="260"/>
      <c r="K289" s="260"/>
      <c r="L289" s="260"/>
      <c r="M289" s="260"/>
      <c r="N289" s="260"/>
      <c r="O289" s="260"/>
      <c r="P289" s="260"/>
      <c r="Q289" s="260"/>
      <c r="R289" s="260"/>
      <c r="S289" s="260"/>
      <c r="T289" s="260"/>
      <c r="U289" s="260"/>
      <c r="V289" s="260"/>
      <c r="W289" s="260"/>
      <c r="X289" s="260"/>
      <c r="Y289" s="260"/>
      <c r="Z289" s="260"/>
      <c r="AA289" s="260"/>
      <c r="AB289" s="260"/>
      <c r="AC289" s="260"/>
      <c r="AD289" s="260"/>
    </row>
    <row r="290" spans="1:30" ht="15" thickBot="1">
      <c r="A290" s="260"/>
      <c r="B290" s="260"/>
      <c r="C290" s="260"/>
      <c r="D290" s="260"/>
      <c r="E290" s="260"/>
      <c r="F290" s="260"/>
      <c r="G290" s="260"/>
      <c r="H290" s="260"/>
      <c r="I290" s="260"/>
      <c r="J290" s="260"/>
      <c r="K290" s="260"/>
      <c r="L290" s="260"/>
      <c r="M290" s="260"/>
      <c r="N290" s="260"/>
      <c r="O290" s="260"/>
      <c r="P290" s="260"/>
      <c r="Q290" s="260"/>
      <c r="R290" s="260"/>
      <c r="S290" s="260"/>
      <c r="T290" s="260"/>
      <c r="U290" s="260"/>
      <c r="V290" s="260"/>
      <c r="W290" s="260"/>
      <c r="X290" s="260"/>
      <c r="Y290" s="260"/>
      <c r="Z290" s="260"/>
      <c r="AA290" s="260"/>
      <c r="AB290" s="260"/>
      <c r="AC290" s="260"/>
      <c r="AD290" s="260"/>
    </row>
    <row r="291" spans="1:30" ht="15" thickBot="1">
      <c r="A291" s="260"/>
      <c r="B291" s="260"/>
      <c r="C291" s="260"/>
      <c r="D291" s="260"/>
      <c r="E291" s="260"/>
      <c r="F291" s="260"/>
      <c r="G291" s="260"/>
      <c r="H291" s="260"/>
      <c r="I291" s="260"/>
      <c r="J291" s="260"/>
      <c r="K291" s="260"/>
      <c r="L291" s="260"/>
      <c r="M291" s="260"/>
      <c r="N291" s="260"/>
      <c r="O291" s="260"/>
      <c r="P291" s="260"/>
      <c r="Q291" s="260"/>
      <c r="R291" s="260"/>
      <c r="S291" s="260"/>
      <c r="T291" s="260"/>
      <c r="U291" s="260"/>
      <c r="V291" s="260"/>
      <c r="W291" s="260"/>
      <c r="X291" s="260"/>
      <c r="Y291" s="260"/>
      <c r="Z291" s="260"/>
      <c r="AA291" s="260"/>
      <c r="AB291" s="260"/>
      <c r="AC291" s="260"/>
      <c r="AD291" s="260"/>
    </row>
    <row r="292" spans="1:30" ht="15" thickBot="1">
      <c r="A292" s="260"/>
      <c r="B292" s="260"/>
      <c r="C292" s="260"/>
      <c r="D292" s="260"/>
      <c r="E292" s="260"/>
      <c r="F292" s="260"/>
      <c r="G292" s="260"/>
      <c r="H292" s="260"/>
      <c r="I292" s="260"/>
      <c r="J292" s="260"/>
      <c r="K292" s="260"/>
      <c r="L292" s="260"/>
      <c r="M292" s="260"/>
      <c r="N292" s="260"/>
      <c r="O292" s="260"/>
      <c r="P292" s="260"/>
      <c r="Q292" s="260"/>
      <c r="R292" s="260"/>
      <c r="S292" s="260"/>
      <c r="T292" s="260"/>
      <c r="U292" s="260"/>
      <c r="V292" s="260"/>
      <c r="W292" s="260"/>
      <c r="X292" s="260"/>
      <c r="Y292" s="260"/>
      <c r="Z292" s="260"/>
      <c r="AA292" s="260"/>
      <c r="AB292" s="260"/>
      <c r="AC292" s="260"/>
      <c r="AD292" s="260"/>
    </row>
    <row r="293" spans="1:30" ht="15" thickBot="1">
      <c r="A293" s="260"/>
      <c r="B293" s="260"/>
      <c r="C293" s="260"/>
      <c r="D293" s="260"/>
      <c r="E293" s="260"/>
      <c r="F293" s="260"/>
      <c r="G293" s="260"/>
      <c r="H293" s="260"/>
      <c r="I293" s="260"/>
      <c r="J293" s="260"/>
      <c r="K293" s="260"/>
      <c r="L293" s="260"/>
      <c r="M293" s="260"/>
      <c r="N293" s="260"/>
      <c r="O293" s="260"/>
      <c r="P293" s="260"/>
      <c r="Q293" s="260"/>
      <c r="R293" s="260"/>
      <c r="S293" s="260"/>
      <c r="T293" s="260"/>
      <c r="U293" s="260"/>
      <c r="V293" s="260"/>
      <c r="W293" s="260"/>
      <c r="X293" s="260"/>
      <c r="Y293" s="260"/>
      <c r="Z293" s="260"/>
      <c r="AA293" s="260"/>
      <c r="AB293" s="260"/>
      <c r="AC293" s="260"/>
      <c r="AD293" s="260"/>
    </row>
    <row r="294" spans="1:30" ht="15" thickBot="1">
      <c r="A294" s="260"/>
      <c r="B294" s="260"/>
      <c r="C294" s="260"/>
      <c r="D294" s="260"/>
      <c r="E294" s="260"/>
      <c r="F294" s="260"/>
      <c r="G294" s="260"/>
      <c r="H294" s="260"/>
      <c r="I294" s="260"/>
      <c r="J294" s="260"/>
      <c r="K294" s="260"/>
      <c r="L294" s="260"/>
      <c r="M294" s="260"/>
      <c r="N294" s="260"/>
      <c r="O294" s="260"/>
      <c r="P294" s="260"/>
      <c r="Q294" s="260"/>
      <c r="R294" s="260"/>
      <c r="S294" s="260"/>
      <c r="T294" s="260"/>
      <c r="U294" s="260"/>
      <c r="V294" s="260"/>
      <c r="W294" s="260"/>
      <c r="X294" s="260"/>
      <c r="Y294" s="260"/>
      <c r="Z294" s="260"/>
      <c r="AA294" s="260"/>
      <c r="AB294" s="260"/>
      <c r="AC294" s="260"/>
      <c r="AD294" s="260"/>
    </row>
    <row r="295" spans="1:30" ht="15" thickBot="1">
      <c r="A295" s="260"/>
      <c r="B295" s="260"/>
      <c r="C295" s="260"/>
      <c r="D295" s="260"/>
      <c r="E295" s="260"/>
      <c r="F295" s="260"/>
      <c r="G295" s="260"/>
      <c r="H295" s="260"/>
      <c r="I295" s="260"/>
      <c r="J295" s="260"/>
      <c r="K295" s="260"/>
      <c r="L295" s="260"/>
      <c r="M295" s="260"/>
      <c r="N295" s="260"/>
      <c r="O295" s="260"/>
      <c r="P295" s="260"/>
      <c r="Q295" s="260"/>
      <c r="R295" s="260"/>
      <c r="S295" s="260"/>
      <c r="T295" s="260"/>
      <c r="U295" s="260"/>
      <c r="V295" s="260"/>
      <c r="W295" s="260"/>
      <c r="X295" s="260"/>
      <c r="Y295" s="260"/>
      <c r="Z295" s="260"/>
      <c r="AA295" s="260"/>
      <c r="AB295" s="260"/>
      <c r="AC295" s="260"/>
      <c r="AD295" s="260"/>
    </row>
    <row r="296" spans="1:30" ht="15" thickBot="1">
      <c r="A296" s="260"/>
      <c r="B296" s="260"/>
      <c r="C296" s="260"/>
      <c r="D296" s="260"/>
      <c r="E296" s="260"/>
      <c r="F296" s="260"/>
      <c r="G296" s="260"/>
      <c r="H296" s="260"/>
      <c r="I296" s="260"/>
      <c r="J296" s="260"/>
      <c r="K296" s="260"/>
      <c r="L296" s="260"/>
      <c r="M296" s="260"/>
      <c r="N296" s="260"/>
      <c r="O296" s="260"/>
      <c r="P296" s="260"/>
      <c r="Q296" s="260"/>
      <c r="R296" s="260"/>
      <c r="S296" s="260"/>
      <c r="T296" s="260"/>
      <c r="U296" s="260"/>
      <c r="V296" s="260"/>
      <c r="W296" s="260"/>
      <c r="X296" s="260"/>
      <c r="Y296" s="260"/>
      <c r="Z296" s="260"/>
      <c r="AA296" s="260"/>
      <c r="AB296" s="260"/>
      <c r="AC296" s="260"/>
      <c r="AD296" s="260"/>
    </row>
    <row r="297" spans="1:30" ht="15" thickBot="1">
      <c r="A297" s="260"/>
      <c r="B297" s="260"/>
      <c r="C297" s="260"/>
      <c r="D297" s="260"/>
      <c r="E297" s="260"/>
      <c r="F297" s="260"/>
      <c r="G297" s="260"/>
      <c r="H297" s="260"/>
      <c r="I297" s="260"/>
      <c r="J297" s="260"/>
      <c r="K297" s="260"/>
      <c r="L297" s="260"/>
      <c r="M297" s="260"/>
      <c r="N297" s="260"/>
      <c r="O297" s="260"/>
      <c r="P297" s="260"/>
      <c r="Q297" s="260"/>
      <c r="R297" s="260"/>
      <c r="S297" s="260"/>
      <c r="T297" s="260"/>
      <c r="U297" s="260"/>
      <c r="V297" s="260"/>
      <c r="W297" s="260"/>
      <c r="X297" s="260"/>
      <c r="Y297" s="260"/>
      <c r="Z297" s="260"/>
      <c r="AA297" s="260"/>
      <c r="AB297" s="260"/>
      <c r="AC297" s="260"/>
      <c r="AD297" s="260"/>
    </row>
    <row r="298" spans="1:30" ht="15" thickBot="1">
      <c r="A298" s="260"/>
      <c r="B298" s="260"/>
      <c r="C298" s="260"/>
      <c r="D298" s="260"/>
      <c r="E298" s="260"/>
      <c r="F298" s="260"/>
      <c r="G298" s="260"/>
      <c r="H298" s="260"/>
      <c r="I298" s="260"/>
      <c r="J298" s="260"/>
      <c r="K298" s="260"/>
      <c r="L298" s="260"/>
      <c r="M298" s="260"/>
      <c r="N298" s="260"/>
      <c r="O298" s="260"/>
      <c r="P298" s="260"/>
      <c r="Q298" s="260"/>
      <c r="R298" s="260"/>
      <c r="S298" s="260"/>
      <c r="T298" s="260"/>
      <c r="U298" s="260"/>
      <c r="V298" s="260"/>
      <c r="W298" s="260"/>
      <c r="X298" s="260"/>
      <c r="Y298" s="260"/>
      <c r="Z298" s="260"/>
      <c r="AA298" s="260"/>
      <c r="AB298" s="260"/>
      <c r="AC298" s="260"/>
      <c r="AD298" s="260"/>
    </row>
    <row r="299" spans="1:30" ht="15" thickBot="1">
      <c r="A299" s="260"/>
      <c r="B299" s="260"/>
      <c r="C299" s="260"/>
      <c r="D299" s="260"/>
      <c r="E299" s="260"/>
      <c r="F299" s="260"/>
      <c r="G299" s="260"/>
      <c r="H299" s="260"/>
      <c r="I299" s="260"/>
      <c r="J299" s="260"/>
      <c r="K299" s="260"/>
      <c r="L299" s="260"/>
      <c r="M299" s="260"/>
      <c r="N299" s="260"/>
      <c r="O299" s="260"/>
      <c r="P299" s="260"/>
      <c r="Q299" s="260"/>
      <c r="R299" s="260"/>
      <c r="S299" s="260"/>
      <c r="T299" s="260"/>
      <c r="U299" s="260"/>
      <c r="V299" s="260"/>
      <c r="W299" s="260"/>
      <c r="X299" s="260"/>
      <c r="Y299" s="260"/>
      <c r="Z299" s="260"/>
      <c r="AA299" s="260"/>
      <c r="AB299" s="260"/>
      <c r="AC299" s="260"/>
      <c r="AD299" s="260"/>
    </row>
    <row r="300" spans="1:30" ht="15" thickBot="1">
      <c r="A300" s="260"/>
      <c r="B300" s="260"/>
      <c r="C300" s="260"/>
      <c r="D300" s="260"/>
      <c r="E300" s="260"/>
      <c r="F300" s="260"/>
      <c r="G300" s="260"/>
      <c r="H300" s="260"/>
      <c r="I300" s="260"/>
      <c r="J300" s="260"/>
      <c r="K300" s="260"/>
      <c r="L300" s="260"/>
      <c r="M300" s="260"/>
      <c r="N300" s="260"/>
      <c r="O300" s="260"/>
      <c r="P300" s="260"/>
      <c r="Q300" s="260"/>
      <c r="R300" s="260"/>
      <c r="S300" s="260"/>
      <c r="T300" s="260"/>
      <c r="U300" s="260"/>
      <c r="V300" s="260"/>
      <c r="W300" s="260"/>
      <c r="X300" s="260"/>
      <c r="Y300" s="260"/>
      <c r="Z300" s="260"/>
      <c r="AA300" s="260"/>
      <c r="AB300" s="260"/>
      <c r="AC300" s="260"/>
      <c r="AD300" s="260"/>
    </row>
    <row r="301" spans="1:30" ht="15" thickBot="1">
      <c r="A301" s="260"/>
      <c r="B301" s="260"/>
      <c r="C301" s="260"/>
      <c r="D301" s="260"/>
      <c r="E301" s="260"/>
      <c r="F301" s="260"/>
      <c r="G301" s="260"/>
      <c r="H301" s="260"/>
      <c r="I301" s="260"/>
      <c r="J301" s="260"/>
      <c r="K301" s="260"/>
      <c r="L301" s="260"/>
      <c r="M301" s="260"/>
      <c r="N301" s="260"/>
      <c r="O301" s="260"/>
      <c r="P301" s="260"/>
      <c r="Q301" s="260"/>
      <c r="R301" s="260"/>
      <c r="S301" s="260"/>
      <c r="T301" s="260"/>
      <c r="U301" s="260"/>
      <c r="V301" s="260"/>
      <c r="W301" s="260"/>
      <c r="X301" s="260"/>
      <c r="Y301" s="260"/>
      <c r="Z301" s="260"/>
      <c r="AA301" s="260"/>
      <c r="AB301" s="260"/>
      <c r="AC301" s="260"/>
      <c r="AD301" s="260"/>
    </row>
    <row r="302" spans="1:30" ht="15" thickBot="1">
      <c r="A302" s="260"/>
      <c r="B302" s="260"/>
      <c r="C302" s="260"/>
      <c r="D302" s="260"/>
      <c r="E302" s="260"/>
      <c r="F302" s="260"/>
      <c r="G302" s="260"/>
      <c r="H302" s="260"/>
      <c r="I302" s="260"/>
      <c r="J302" s="260"/>
      <c r="K302" s="260"/>
      <c r="L302" s="260"/>
      <c r="M302" s="260"/>
      <c r="N302" s="260"/>
      <c r="O302" s="260"/>
      <c r="P302" s="260"/>
      <c r="Q302" s="260"/>
      <c r="R302" s="260"/>
      <c r="S302" s="260"/>
      <c r="T302" s="260"/>
      <c r="U302" s="260"/>
      <c r="V302" s="260"/>
      <c r="W302" s="260"/>
      <c r="X302" s="260"/>
      <c r="Y302" s="260"/>
      <c r="Z302" s="260"/>
      <c r="AA302" s="260"/>
      <c r="AB302" s="260"/>
      <c r="AC302" s="260"/>
      <c r="AD302" s="260"/>
    </row>
    <row r="303" spans="1:30" ht="15" thickBot="1">
      <c r="A303" s="260"/>
      <c r="B303" s="260"/>
      <c r="C303" s="260"/>
      <c r="D303" s="260"/>
      <c r="E303" s="260"/>
      <c r="F303" s="260"/>
      <c r="G303" s="260"/>
      <c r="H303" s="260"/>
      <c r="I303" s="260"/>
      <c r="J303" s="260"/>
      <c r="K303" s="260"/>
      <c r="L303" s="260"/>
      <c r="M303" s="260"/>
      <c r="N303" s="260"/>
      <c r="O303" s="260"/>
      <c r="P303" s="260"/>
      <c r="Q303" s="260"/>
      <c r="R303" s="260"/>
      <c r="S303" s="260"/>
      <c r="T303" s="260"/>
      <c r="U303" s="260"/>
      <c r="V303" s="260"/>
      <c r="W303" s="260"/>
      <c r="X303" s="260"/>
      <c r="Y303" s="260"/>
      <c r="Z303" s="260"/>
      <c r="AA303" s="260"/>
      <c r="AB303" s="260"/>
      <c r="AC303" s="260"/>
      <c r="AD303" s="260"/>
    </row>
    <row r="304" spans="1:30" ht="15" thickBot="1">
      <c r="A304" s="260"/>
      <c r="B304" s="260"/>
      <c r="C304" s="260"/>
      <c r="D304" s="260"/>
      <c r="E304" s="260"/>
      <c r="F304" s="260"/>
      <c r="G304" s="260"/>
      <c r="H304" s="260"/>
      <c r="I304" s="260"/>
      <c r="J304" s="260"/>
      <c r="K304" s="260"/>
      <c r="L304" s="260"/>
      <c r="M304" s="260"/>
      <c r="N304" s="260"/>
      <c r="O304" s="260"/>
      <c r="P304" s="260"/>
      <c r="Q304" s="260"/>
      <c r="R304" s="260"/>
      <c r="S304" s="260"/>
      <c r="T304" s="260"/>
      <c r="U304" s="260"/>
      <c r="V304" s="260"/>
      <c r="W304" s="260"/>
      <c r="X304" s="260"/>
      <c r="Y304" s="260"/>
      <c r="Z304" s="260"/>
      <c r="AA304" s="260"/>
      <c r="AB304" s="260"/>
      <c r="AC304" s="260"/>
      <c r="AD304" s="260"/>
    </row>
    <row r="305" spans="1:30" ht="15" thickBot="1">
      <c r="A305" s="260"/>
      <c r="B305" s="260"/>
      <c r="C305" s="260"/>
      <c r="D305" s="260"/>
      <c r="E305" s="260"/>
      <c r="F305" s="260"/>
      <c r="G305" s="260"/>
      <c r="H305" s="260"/>
      <c r="I305" s="260"/>
      <c r="J305" s="260"/>
      <c r="K305" s="260"/>
      <c r="L305" s="260"/>
      <c r="M305" s="260"/>
      <c r="N305" s="260"/>
      <c r="O305" s="260"/>
      <c r="P305" s="260"/>
      <c r="Q305" s="260"/>
      <c r="R305" s="260"/>
      <c r="S305" s="260"/>
      <c r="T305" s="260"/>
      <c r="U305" s="260"/>
      <c r="V305" s="260"/>
      <c r="W305" s="260"/>
      <c r="X305" s="260"/>
      <c r="Y305" s="260"/>
      <c r="Z305" s="260"/>
      <c r="AA305" s="260"/>
      <c r="AB305" s="260"/>
      <c r="AC305" s="260"/>
      <c r="AD305" s="260"/>
    </row>
    <row r="306" spans="1:30" ht="15" thickBot="1">
      <c r="A306" s="260"/>
      <c r="B306" s="260"/>
      <c r="C306" s="260"/>
      <c r="D306" s="260"/>
      <c r="E306" s="260"/>
      <c r="F306" s="260"/>
      <c r="G306" s="260"/>
      <c r="H306" s="260"/>
      <c r="I306" s="260"/>
      <c r="J306" s="260"/>
      <c r="K306" s="260"/>
      <c r="L306" s="260"/>
      <c r="M306" s="260"/>
      <c r="N306" s="260"/>
      <c r="O306" s="260"/>
      <c r="P306" s="260"/>
      <c r="Q306" s="260"/>
      <c r="R306" s="260"/>
      <c r="S306" s="260"/>
      <c r="T306" s="260"/>
      <c r="U306" s="260"/>
      <c r="V306" s="260"/>
      <c r="W306" s="260"/>
      <c r="X306" s="260"/>
      <c r="Y306" s="260"/>
      <c r="Z306" s="260"/>
      <c r="AA306" s="260"/>
      <c r="AB306" s="260"/>
      <c r="AC306" s="260"/>
      <c r="AD306" s="260"/>
    </row>
    <row r="307" spans="1:30" ht="15" thickBot="1">
      <c r="A307" s="260"/>
      <c r="B307" s="260"/>
      <c r="C307" s="260"/>
      <c r="D307" s="260"/>
      <c r="E307" s="260"/>
      <c r="F307" s="260"/>
      <c r="G307" s="260"/>
      <c r="H307" s="260"/>
      <c r="I307" s="260"/>
      <c r="J307" s="260"/>
      <c r="K307" s="260"/>
      <c r="L307" s="260"/>
      <c r="M307" s="260"/>
      <c r="N307" s="260"/>
      <c r="O307" s="260"/>
      <c r="P307" s="260"/>
      <c r="Q307" s="260"/>
      <c r="R307" s="260"/>
      <c r="S307" s="260"/>
      <c r="T307" s="260"/>
      <c r="U307" s="260"/>
      <c r="V307" s="260"/>
      <c r="W307" s="260"/>
      <c r="X307" s="260"/>
      <c r="Y307" s="260"/>
      <c r="Z307" s="260"/>
      <c r="AA307" s="260"/>
      <c r="AB307" s="260"/>
      <c r="AC307" s="260"/>
      <c r="AD307" s="260"/>
    </row>
    <row r="308" spans="1:30" ht="15" thickBot="1">
      <c r="A308" s="260"/>
      <c r="B308" s="260"/>
      <c r="C308" s="260"/>
      <c r="D308" s="260"/>
      <c r="E308" s="260"/>
      <c r="F308" s="260"/>
      <c r="G308" s="260"/>
      <c r="H308" s="260"/>
      <c r="I308" s="260"/>
      <c r="J308" s="260"/>
      <c r="K308" s="260"/>
      <c r="L308" s="260"/>
      <c r="M308" s="260"/>
      <c r="N308" s="260"/>
      <c r="O308" s="260"/>
      <c r="P308" s="260"/>
      <c r="Q308" s="260"/>
      <c r="R308" s="260"/>
      <c r="S308" s="260"/>
      <c r="T308" s="260"/>
      <c r="U308" s="260"/>
      <c r="V308" s="260"/>
      <c r="W308" s="260"/>
      <c r="X308" s="260"/>
      <c r="Y308" s="260"/>
      <c r="Z308" s="260"/>
      <c r="AA308" s="260"/>
      <c r="AB308" s="260"/>
      <c r="AC308" s="260"/>
      <c r="AD308" s="260"/>
    </row>
    <row r="309" spans="1:30" ht="15" thickBot="1">
      <c r="A309" s="260"/>
      <c r="B309" s="260"/>
      <c r="C309" s="260"/>
      <c r="D309" s="260"/>
      <c r="E309" s="260"/>
      <c r="F309" s="260"/>
      <c r="G309" s="260"/>
      <c r="H309" s="260"/>
      <c r="I309" s="260"/>
      <c r="J309" s="260"/>
      <c r="K309" s="260"/>
      <c r="L309" s="260"/>
      <c r="M309" s="260"/>
      <c r="N309" s="260"/>
      <c r="O309" s="260"/>
      <c r="P309" s="260"/>
      <c r="Q309" s="260"/>
      <c r="R309" s="260"/>
      <c r="S309" s="260"/>
      <c r="T309" s="260"/>
      <c r="U309" s="260"/>
      <c r="V309" s="260"/>
      <c r="W309" s="260"/>
      <c r="X309" s="260"/>
      <c r="Y309" s="260"/>
      <c r="Z309" s="260"/>
      <c r="AA309" s="260"/>
      <c r="AB309" s="260"/>
      <c r="AC309" s="260"/>
      <c r="AD309" s="260"/>
    </row>
    <row r="310" spans="1:30" ht="15" thickBot="1">
      <c r="A310" s="260"/>
      <c r="B310" s="260"/>
      <c r="C310" s="260"/>
      <c r="D310" s="260"/>
      <c r="E310" s="260"/>
      <c r="F310" s="260"/>
      <c r="G310" s="260"/>
      <c r="H310" s="260"/>
      <c r="I310" s="260"/>
      <c r="J310" s="260"/>
      <c r="K310" s="260"/>
      <c r="L310" s="260"/>
      <c r="M310" s="260"/>
      <c r="N310" s="260"/>
      <c r="O310" s="260"/>
      <c r="P310" s="260"/>
      <c r="Q310" s="260"/>
      <c r="R310" s="260"/>
      <c r="S310" s="260"/>
      <c r="T310" s="260"/>
      <c r="U310" s="260"/>
      <c r="V310" s="260"/>
      <c r="W310" s="260"/>
      <c r="X310" s="260"/>
      <c r="Y310" s="260"/>
      <c r="Z310" s="260"/>
      <c r="AA310" s="260"/>
      <c r="AB310" s="260"/>
      <c r="AC310" s="260"/>
      <c r="AD310" s="260"/>
    </row>
    <row r="311" spans="1:30" ht="15" thickBot="1">
      <c r="A311" s="260"/>
      <c r="B311" s="260"/>
      <c r="C311" s="260"/>
      <c r="D311" s="260"/>
      <c r="E311" s="260"/>
      <c r="F311" s="260"/>
      <c r="G311" s="260"/>
      <c r="H311" s="260"/>
      <c r="I311" s="260"/>
      <c r="J311" s="260"/>
      <c r="K311" s="260"/>
      <c r="L311" s="260"/>
      <c r="M311" s="260"/>
      <c r="N311" s="260"/>
      <c r="O311" s="260"/>
      <c r="P311" s="260"/>
      <c r="Q311" s="260"/>
      <c r="R311" s="260"/>
      <c r="S311" s="260"/>
      <c r="T311" s="260"/>
      <c r="U311" s="260"/>
      <c r="V311" s="260"/>
      <c r="W311" s="260"/>
      <c r="X311" s="260"/>
      <c r="Y311" s="260"/>
      <c r="Z311" s="260"/>
      <c r="AA311" s="260"/>
      <c r="AB311" s="260"/>
      <c r="AC311" s="260"/>
      <c r="AD311" s="260"/>
    </row>
    <row r="312" spans="1:30" ht="15" thickBot="1">
      <c r="A312" s="260"/>
      <c r="B312" s="260"/>
      <c r="C312" s="260"/>
      <c r="D312" s="260"/>
      <c r="E312" s="260"/>
      <c r="F312" s="260"/>
      <c r="G312" s="260"/>
      <c r="H312" s="260"/>
      <c r="I312" s="260"/>
      <c r="J312" s="260"/>
      <c r="K312" s="260"/>
      <c r="L312" s="260"/>
      <c r="M312" s="260"/>
      <c r="N312" s="260"/>
      <c r="O312" s="260"/>
      <c r="P312" s="260"/>
      <c r="Q312" s="260"/>
      <c r="R312" s="260"/>
      <c r="S312" s="260"/>
      <c r="T312" s="260"/>
      <c r="U312" s="260"/>
      <c r="V312" s="260"/>
      <c r="W312" s="260"/>
      <c r="X312" s="260"/>
      <c r="Y312" s="260"/>
      <c r="Z312" s="260"/>
      <c r="AA312" s="260"/>
      <c r="AB312" s="260"/>
      <c r="AC312" s="260"/>
      <c r="AD312" s="260"/>
    </row>
    <row r="313" spans="1:30" ht="15" thickBot="1">
      <c r="A313" s="260"/>
      <c r="B313" s="260"/>
      <c r="C313" s="260"/>
      <c r="D313" s="260"/>
      <c r="E313" s="260"/>
      <c r="F313" s="260"/>
      <c r="G313" s="260"/>
      <c r="H313" s="260"/>
      <c r="I313" s="260"/>
      <c r="J313" s="260"/>
      <c r="K313" s="260"/>
      <c r="L313" s="260"/>
      <c r="M313" s="260"/>
      <c r="N313" s="260"/>
      <c r="O313" s="260"/>
      <c r="P313" s="260"/>
      <c r="Q313" s="260"/>
      <c r="R313" s="260"/>
      <c r="S313" s="260"/>
      <c r="T313" s="260"/>
      <c r="U313" s="260"/>
      <c r="V313" s="260"/>
      <c r="W313" s="260"/>
      <c r="X313" s="260"/>
      <c r="Y313" s="260"/>
      <c r="Z313" s="260"/>
      <c r="AA313" s="260"/>
      <c r="AB313" s="260"/>
      <c r="AC313" s="260"/>
      <c r="AD313" s="260"/>
    </row>
    <row r="314" spans="1:30" ht="15" thickBot="1">
      <c r="A314" s="260"/>
      <c r="B314" s="260"/>
      <c r="C314" s="260"/>
      <c r="D314" s="260"/>
      <c r="E314" s="260"/>
      <c r="F314" s="260"/>
      <c r="G314" s="260"/>
      <c r="H314" s="260"/>
      <c r="I314" s="260"/>
      <c r="J314" s="260"/>
      <c r="K314" s="260"/>
      <c r="L314" s="260"/>
      <c r="M314" s="260"/>
      <c r="N314" s="260"/>
      <c r="O314" s="260"/>
      <c r="P314" s="260"/>
      <c r="Q314" s="260"/>
      <c r="R314" s="260"/>
      <c r="S314" s="260"/>
      <c r="T314" s="260"/>
      <c r="U314" s="260"/>
      <c r="V314" s="260"/>
      <c r="W314" s="260"/>
      <c r="X314" s="260"/>
      <c r="Y314" s="260"/>
      <c r="Z314" s="260"/>
      <c r="AA314" s="260"/>
      <c r="AB314" s="260"/>
      <c r="AC314" s="260"/>
      <c r="AD314" s="260"/>
    </row>
    <row r="315" spans="1:30" ht="15" thickBot="1">
      <c r="A315" s="260"/>
      <c r="B315" s="260"/>
      <c r="C315" s="260"/>
      <c r="D315" s="260"/>
      <c r="E315" s="260"/>
      <c r="F315" s="260"/>
      <c r="G315" s="260"/>
      <c r="H315" s="260"/>
      <c r="I315" s="260"/>
      <c r="J315" s="260"/>
      <c r="K315" s="260"/>
      <c r="L315" s="260"/>
      <c r="M315" s="260"/>
      <c r="N315" s="260"/>
      <c r="O315" s="260"/>
      <c r="P315" s="260"/>
      <c r="Q315" s="260"/>
      <c r="R315" s="260"/>
      <c r="S315" s="260"/>
      <c r="T315" s="260"/>
      <c r="U315" s="260"/>
      <c r="V315" s="260"/>
      <c r="W315" s="260"/>
      <c r="X315" s="260"/>
      <c r="Y315" s="260"/>
      <c r="Z315" s="260"/>
      <c r="AA315" s="260"/>
      <c r="AB315" s="260"/>
      <c r="AC315" s="260"/>
      <c r="AD315" s="260"/>
    </row>
    <row r="316" spans="1:30" ht="15" thickBot="1">
      <c r="A316" s="260"/>
      <c r="B316" s="260"/>
      <c r="C316" s="260"/>
      <c r="D316" s="260"/>
      <c r="E316" s="260"/>
      <c r="F316" s="260"/>
      <c r="G316" s="260"/>
      <c r="H316" s="260"/>
      <c r="I316" s="260"/>
      <c r="J316" s="260"/>
      <c r="K316" s="260"/>
      <c r="L316" s="260"/>
      <c r="M316" s="260"/>
      <c r="N316" s="260"/>
      <c r="O316" s="260"/>
      <c r="P316" s="260"/>
      <c r="Q316" s="260"/>
      <c r="R316" s="260"/>
      <c r="S316" s="260"/>
      <c r="T316" s="260"/>
      <c r="U316" s="260"/>
      <c r="V316" s="260"/>
      <c r="W316" s="260"/>
      <c r="X316" s="260"/>
      <c r="Y316" s="260"/>
      <c r="Z316" s="260"/>
      <c r="AA316" s="260"/>
      <c r="AB316" s="260"/>
      <c r="AC316" s="260"/>
      <c r="AD316" s="260"/>
    </row>
    <row r="317" spans="1:30" ht="15" thickBot="1">
      <c r="A317" s="260"/>
      <c r="B317" s="260"/>
      <c r="C317" s="260"/>
      <c r="D317" s="260"/>
      <c r="E317" s="260"/>
      <c r="F317" s="260"/>
      <c r="G317" s="260"/>
      <c r="H317" s="260"/>
      <c r="I317" s="260"/>
      <c r="J317" s="260"/>
      <c r="K317" s="260"/>
      <c r="L317" s="260"/>
      <c r="M317" s="260"/>
      <c r="N317" s="260"/>
      <c r="O317" s="260"/>
      <c r="P317" s="260"/>
      <c r="Q317" s="260"/>
      <c r="R317" s="260"/>
      <c r="S317" s="260"/>
      <c r="T317" s="260"/>
      <c r="U317" s="260"/>
      <c r="V317" s="260"/>
      <c r="W317" s="260"/>
      <c r="X317" s="260"/>
      <c r="Y317" s="260"/>
      <c r="Z317" s="260"/>
      <c r="AA317" s="260"/>
      <c r="AB317" s="260"/>
      <c r="AC317" s="260"/>
      <c r="AD317" s="260"/>
    </row>
    <row r="318" spans="1:30" ht="15" thickBot="1">
      <c r="A318" s="260"/>
      <c r="B318" s="260"/>
      <c r="C318" s="260"/>
      <c r="D318" s="260"/>
      <c r="E318" s="260"/>
      <c r="F318" s="260"/>
      <c r="G318" s="260"/>
      <c r="H318" s="260"/>
      <c r="I318" s="260"/>
      <c r="J318" s="260"/>
      <c r="K318" s="260"/>
      <c r="L318" s="260"/>
      <c r="M318" s="260"/>
      <c r="N318" s="260"/>
      <c r="O318" s="260"/>
      <c r="P318" s="260"/>
      <c r="Q318" s="260"/>
      <c r="R318" s="260"/>
      <c r="S318" s="260"/>
      <c r="T318" s="260"/>
      <c r="U318" s="260"/>
      <c r="V318" s="260"/>
      <c r="W318" s="260"/>
      <c r="X318" s="260"/>
      <c r="Y318" s="260"/>
      <c r="Z318" s="260"/>
      <c r="AA318" s="260"/>
      <c r="AB318" s="260"/>
      <c r="AC318" s="260"/>
      <c r="AD318" s="260"/>
    </row>
    <row r="319" spans="1:30" ht="15" thickBot="1">
      <c r="A319" s="260"/>
      <c r="B319" s="260"/>
      <c r="C319" s="260"/>
      <c r="D319" s="260"/>
      <c r="E319" s="260"/>
      <c r="F319" s="260"/>
      <c r="G319" s="260"/>
      <c r="H319" s="260"/>
      <c r="I319" s="260"/>
      <c r="J319" s="260"/>
      <c r="K319" s="260"/>
      <c r="L319" s="260"/>
      <c r="M319" s="260"/>
      <c r="N319" s="260"/>
      <c r="O319" s="260"/>
      <c r="P319" s="260"/>
      <c r="Q319" s="260"/>
      <c r="R319" s="260"/>
      <c r="S319" s="260"/>
      <c r="T319" s="260"/>
      <c r="U319" s="260"/>
      <c r="V319" s="260"/>
      <c r="W319" s="260"/>
      <c r="X319" s="260"/>
      <c r="Y319" s="260"/>
      <c r="Z319" s="260"/>
      <c r="AA319" s="260"/>
      <c r="AB319" s="260"/>
      <c r="AC319" s="260"/>
      <c r="AD319" s="260"/>
    </row>
    <row r="320" spans="1:30" ht="15" thickBot="1">
      <c r="A320" s="260"/>
      <c r="B320" s="260"/>
      <c r="C320" s="260"/>
      <c r="D320" s="260"/>
      <c r="E320" s="260"/>
      <c r="F320" s="260"/>
      <c r="G320" s="260"/>
      <c r="H320" s="260"/>
      <c r="I320" s="260"/>
      <c r="J320" s="260"/>
      <c r="K320" s="260"/>
      <c r="L320" s="260"/>
      <c r="M320" s="260"/>
      <c r="N320" s="260"/>
      <c r="O320" s="260"/>
      <c r="P320" s="260"/>
      <c r="Q320" s="260"/>
      <c r="R320" s="260"/>
      <c r="S320" s="260"/>
      <c r="T320" s="260"/>
      <c r="U320" s="260"/>
      <c r="V320" s="260"/>
      <c r="W320" s="260"/>
      <c r="X320" s="260"/>
      <c r="Y320" s="260"/>
      <c r="Z320" s="260"/>
      <c r="AA320" s="260"/>
      <c r="AB320" s="260"/>
      <c r="AC320" s="260"/>
      <c r="AD320" s="260"/>
    </row>
    <row r="321" spans="1:30" ht="15" thickBot="1">
      <c r="A321" s="260"/>
      <c r="B321" s="260"/>
      <c r="C321" s="260"/>
      <c r="D321" s="260"/>
      <c r="E321" s="260"/>
      <c r="F321" s="260"/>
      <c r="G321" s="260"/>
      <c r="H321" s="260"/>
      <c r="I321" s="260"/>
      <c r="J321" s="260"/>
      <c r="K321" s="260"/>
      <c r="L321" s="260"/>
      <c r="M321" s="260"/>
      <c r="N321" s="260"/>
      <c r="O321" s="260"/>
      <c r="P321" s="260"/>
      <c r="Q321" s="260"/>
      <c r="R321" s="260"/>
      <c r="S321" s="260"/>
      <c r="T321" s="260"/>
      <c r="U321" s="260"/>
      <c r="V321" s="260"/>
      <c r="W321" s="260"/>
      <c r="X321" s="260"/>
      <c r="Y321" s="260"/>
      <c r="Z321" s="260"/>
      <c r="AA321" s="260"/>
      <c r="AB321" s="260"/>
      <c r="AC321" s="260"/>
      <c r="AD321" s="260"/>
    </row>
    <row r="322" spans="1:30" ht="15" thickBot="1">
      <c r="A322" s="260"/>
      <c r="B322" s="260"/>
      <c r="C322" s="260"/>
      <c r="D322" s="260"/>
      <c r="E322" s="260"/>
      <c r="F322" s="260"/>
      <c r="G322" s="260"/>
      <c r="H322" s="260"/>
      <c r="I322" s="260"/>
      <c r="J322" s="260"/>
      <c r="K322" s="260"/>
      <c r="L322" s="260"/>
      <c r="M322" s="260"/>
      <c r="N322" s="260"/>
      <c r="O322" s="260"/>
      <c r="P322" s="260"/>
      <c r="Q322" s="260"/>
      <c r="R322" s="260"/>
      <c r="S322" s="260"/>
      <c r="T322" s="260"/>
      <c r="U322" s="260"/>
      <c r="V322" s="260"/>
      <c r="W322" s="260"/>
      <c r="X322" s="260"/>
      <c r="Y322" s="260"/>
      <c r="Z322" s="260"/>
      <c r="AA322" s="260"/>
      <c r="AB322" s="260"/>
      <c r="AC322" s="260"/>
      <c r="AD322" s="260"/>
    </row>
    <row r="323" spans="1:30" ht="15" thickBot="1">
      <c r="A323" s="260"/>
      <c r="B323" s="260"/>
      <c r="C323" s="260"/>
      <c r="D323" s="260"/>
      <c r="E323" s="260"/>
      <c r="F323" s="260"/>
      <c r="G323" s="260"/>
      <c r="H323" s="260"/>
      <c r="I323" s="260"/>
      <c r="J323" s="260"/>
      <c r="K323" s="260"/>
      <c r="L323" s="260"/>
      <c r="M323" s="260"/>
      <c r="N323" s="260"/>
      <c r="O323" s="260"/>
      <c r="P323" s="260"/>
      <c r="Q323" s="260"/>
      <c r="R323" s="260"/>
      <c r="S323" s="260"/>
      <c r="T323" s="260"/>
      <c r="U323" s="260"/>
      <c r="V323" s="260"/>
      <c r="W323" s="260"/>
      <c r="X323" s="260"/>
      <c r="Y323" s="260"/>
      <c r="Z323" s="260"/>
      <c r="AA323" s="260"/>
      <c r="AB323" s="260"/>
      <c r="AC323" s="260"/>
      <c r="AD323" s="260"/>
    </row>
    <row r="324" spans="1:30" ht="15" thickBot="1">
      <c r="A324" s="260"/>
      <c r="B324" s="260"/>
      <c r="C324" s="260"/>
      <c r="D324" s="260"/>
      <c r="E324" s="260"/>
      <c r="F324" s="260"/>
      <c r="G324" s="260"/>
      <c r="H324" s="260"/>
      <c r="I324" s="260"/>
      <c r="J324" s="260"/>
      <c r="K324" s="260"/>
      <c r="L324" s="260"/>
      <c r="M324" s="260"/>
      <c r="N324" s="260"/>
      <c r="O324" s="260"/>
      <c r="P324" s="260"/>
      <c r="Q324" s="260"/>
      <c r="R324" s="260"/>
      <c r="S324" s="260"/>
      <c r="T324" s="260"/>
      <c r="U324" s="260"/>
      <c r="V324" s="260"/>
      <c r="W324" s="260"/>
      <c r="X324" s="260"/>
      <c r="Y324" s="260"/>
      <c r="Z324" s="260"/>
      <c r="AA324" s="260"/>
      <c r="AB324" s="260"/>
      <c r="AC324" s="260"/>
      <c r="AD324" s="260"/>
    </row>
    <row r="325" spans="1:30" ht="15" thickBot="1">
      <c r="A325" s="260"/>
      <c r="B325" s="260"/>
      <c r="C325" s="260"/>
      <c r="D325" s="260"/>
      <c r="E325" s="260"/>
      <c r="F325" s="260"/>
      <c r="G325" s="260"/>
      <c r="H325" s="260"/>
      <c r="I325" s="260"/>
      <c r="J325" s="260"/>
      <c r="K325" s="260"/>
      <c r="L325" s="260"/>
      <c r="M325" s="260"/>
      <c r="N325" s="260"/>
      <c r="O325" s="260"/>
      <c r="P325" s="260"/>
      <c r="Q325" s="260"/>
      <c r="R325" s="260"/>
      <c r="S325" s="260"/>
      <c r="T325" s="260"/>
      <c r="U325" s="260"/>
      <c r="V325" s="260"/>
      <c r="W325" s="260"/>
      <c r="X325" s="260"/>
      <c r="Y325" s="260"/>
      <c r="Z325" s="260"/>
      <c r="AA325" s="260"/>
      <c r="AB325" s="260"/>
      <c r="AC325" s="260"/>
      <c r="AD325" s="260"/>
    </row>
    <row r="326" spans="1:30" ht="15" thickBot="1">
      <c r="A326" s="260"/>
      <c r="B326" s="260"/>
      <c r="C326" s="260"/>
      <c r="D326" s="260"/>
      <c r="E326" s="260"/>
      <c r="F326" s="260"/>
      <c r="G326" s="260"/>
      <c r="H326" s="260"/>
      <c r="I326" s="260"/>
      <c r="J326" s="260"/>
      <c r="K326" s="260"/>
      <c r="L326" s="260"/>
      <c r="M326" s="260"/>
      <c r="N326" s="260"/>
      <c r="O326" s="260"/>
      <c r="P326" s="260"/>
      <c r="Q326" s="260"/>
      <c r="R326" s="260"/>
      <c r="S326" s="260"/>
      <c r="T326" s="260"/>
      <c r="U326" s="260"/>
      <c r="V326" s="260"/>
      <c r="W326" s="260"/>
      <c r="X326" s="260"/>
      <c r="Y326" s="260"/>
      <c r="Z326" s="260"/>
      <c r="AA326" s="260"/>
      <c r="AB326" s="260"/>
      <c r="AC326" s="260"/>
      <c r="AD326" s="260"/>
    </row>
    <row r="327" spans="1:30" ht="15" thickBot="1">
      <c r="A327" s="260"/>
      <c r="B327" s="260"/>
      <c r="C327" s="260"/>
      <c r="D327" s="260"/>
      <c r="E327" s="260"/>
      <c r="F327" s="260"/>
      <c r="G327" s="260"/>
      <c r="H327" s="260"/>
      <c r="I327" s="260"/>
      <c r="J327" s="260"/>
      <c r="K327" s="260"/>
      <c r="L327" s="260"/>
      <c r="M327" s="260"/>
      <c r="N327" s="260"/>
      <c r="O327" s="260"/>
      <c r="P327" s="260"/>
      <c r="Q327" s="260"/>
      <c r="R327" s="260"/>
      <c r="S327" s="260"/>
      <c r="T327" s="260"/>
      <c r="U327" s="260"/>
      <c r="V327" s="260"/>
      <c r="W327" s="260"/>
      <c r="X327" s="260"/>
      <c r="Y327" s="260"/>
      <c r="Z327" s="260"/>
      <c r="AA327" s="260"/>
      <c r="AB327" s="260"/>
      <c r="AC327" s="260"/>
      <c r="AD327" s="260"/>
    </row>
    <row r="328" spans="1:30" ht="15" thickBot="1">
      <c r="A328" s="260"/>
      <c r="B328" s="260"/>
      <c r="C328" s="260"/>
      <c r="D328" s="260"/>
      <c r="E328" s="260"/>
      <c r="F328" s="260"/>
      <c r="G328" s="260"/>
      <c r="H328" s="260"/>
      <c r="I328" s="260"/>
      <c r="J328" s="260"/>
      <c r="K328" s="260"/>
      <c r="L328" s="260"/>
      <c r="M328" s="260"/>
      <c r="N328" s="260"/>
      <c r="O328" s="260"/>
      <c r="P328" s="260"/>
      <c r="Q328" s="260"/>
      <c r="R328" s="260"/>
      <c r="S328" s="260"/>
      <c r="T328" s="260"/>
      <c r="U328" s="260"/>
      <c r="V328" s="260"/>
      <c r="W328" s="260"/>
      <c r="X328" s="260"/>
      <c r="Y328" s="260"/>
      <c r="Z328" s="260"/>
      <c r="AA328" s="260"/>
      <c r="AB328" s="260"/>
      <c r="AC328" s="260"/>
      <c r="AD328" s="260"/>
    </row>
    <row r="329" spans="1:30" ht="15" thickBot="1">
      <c r="A329" s="260"/>
      <c r="B329" s="260"/>
      <c r="C329" s="260"/>
      <c r="D329" s="260"/>
      <c r="E329" s="260"/>
      <c r="F329" s="260"/>
      <c r="G329" s="260"/>
      <c r="H329" s="260"/>
      <c r="I329" s="260"/>
      <c r="J329" s="260"/>
      <c r="K329" s="260"/>
      <c r="L329" s="260"/>
      <c r="M329" s="260"/>
      <c r="N329" s="260"/>
      <c r="O329" s="260"/>
      <c r="P329" s="260"/>
      <c r="Q329" s="260"/>
      <c r="R329" s="260"/>
      <c r="S329" s="260"/>
      <c r="T329" s="260"/>
      <c r="U329" s="260"/>
      <c r="V329" s="260"/>
      <c r="W329" s="260"/>
      <c r="X329" s="260"/>
      <c r="Y329" s="260"/>
      <c r="Z329" s="260"/>
      <c r="AA329" s="260"/>
      <c r="AB329" s="260"/>
      <c r="AC329" s="260"/>
      <c r="AD329" s="260"/>
    </row>
    <row r="330" spans="1:30" ht="15" thickBot="1">
      <c r="A330" s="260"/>
      <c r="B330" s="260"/>
      <c r="C330" s="260"/>
      <c r="D330" s="260"/>
      <c r="E330" s="260"/>
      <c r="F330" s="260"/>
      <c r="G330" s="260"/>
      <c r="H330" s="260"/>
      <c r="I330" s="260"/>
      <c r="J330" s="260"/>
      <c r="K330" s="260"/>
      <c r="L330" s="260"/>
      <c r="M330" s="260"/>
      <c r="N330" s="260"/>
      <c r="O330" s="260"/>
      <c r="P330" s="260"/>
      <c r="Q330" s="260"/>
      <c r="R330" s="260"/>
      <c r="S330" s="260"/>
      <c r="T330" s="260"/>
      <c r="U330" s="260"/>
      <c r="V330" s="260"/>
      <c r="W330" s="260"/>
      <c r="X330" s="260"/>
      <c r="Y330" s="260"/>
      <c r="Z330" s="260"/>
      <c r="AA330" s="260"/>
      <c r="AB330" s="260"/>
      <c r="AC330" s="260"/>
      <c r="AD330" s="260"/>
    </row>
    <row r="331" spans="1:30" ht="15" thickBot="1">
      <c r="A331" s="260"/>
      <c r="B331" s="260"/>
      <c r="C331" s="260"/>
      <c r="D331" s="260"/>
      <c r="E331" s="260"/>
      <c r="F331" s="260"/>
      <c r="G331" s="260"/>
      <c r="H331" s="260"/>
      <c r="I331" s="260"/>
      <c r="J331" s="260"/>
      <c r="K331" s="260"/>
      <c r="L331" s="260"/>
      <c r="M331" s="260"/>
      <c r="N331" s="260"/>
      <c r="O331" s="260"/>
      <c r="P331" s="260"/>
      <c r="Q331" s="260"/>
      <c r="R331" s="260"/>
      <c r="S331" s="260"/>
      <c r="T331" s="260"/>
      <c r="U331" s="260"/>
      <c r="V331" s="260"/>
      <c r="W331" s="260"/>
      <c r="X331" s="260"/>
      <c r="Y331" s="260"/>
      <c r="Z331" s="260"/>
      <c r="AA331" s="260"/>
      <c r="AB331" s="260"/>
      <c r="AC331" s="260"/>
      <c r="AD331" s="260"/>
    </row>
    <row r="332" spans="1:30" ht="15" thickBot="1">
      <c r="A332" s="260"/>
      <c r="B332" s="260"/>
      <c r="C332" s="260"/>
      <c r="D332" s="260"/>
      <c r="E332" s="260"/>
      <c r="F332" s="260"/>
      <c r="G332" s="260"/>
      <c r="H332" s="260"/>
      <c r="I332" s="260"/>
      <c r="J332" s="260"/>
      <c r="K332" s="260"/>
      <c r="L332" s="260"/>
      <c r="M332" s="260"/>
      <c r="N332" s="260"/>
      <c r="O332" s="260"/>
      <c r="P332" s="260"/>
      <c r="Q332" s="260"/>
      <c r="R332" s="260"/>
      <c r="S332" s="260"/>
      <c r="T332" s="260"/>
      <c r="U332" s="260"/>
      <c r="V332" s="260"/>
      <c r="W332" s="260"/>
      <c r="X332" s="260"/>
      <c r="Y332" s="260"/>
      <c r="Z332" s="260"/>
      <c r="AA332" s="260"/>
      <c r="AB332" s="260"/>
      <c r="AC332" s="260"/>
      <c r="AD332" s="260"/>
    </row>
    <row r="333" spans="1:30" ht="15" thickBot="1">
      <c r="A333" s="260"/>
      <c r="B333" s="260"/>
      <c r="C333" s="260"/>
      <c r="D333" s="260"/>
      <c r="E333" s="260"/>
      <c r="F333" s="260"/>
      <c r="G333" s="260"/>
      <c r="H333" s="260"/>
      <c r="I333" s="260"/>
      <c r="J333" s="260"/>
      <c r="K333" s="260"/>
      <c r="L333" s="260"/>
      <c r="M333" s="260"/>
      <c r="N333" s="260"/>
      <c r="O333" s="260"/>
      <c r="P333" s="260"/>
      <c r="Q333" s="260"/>
      <c r="R333" s="260"/>
      <c r="S333" s="260"/>
      <c r="T333" s="260"/>
      <c r="U333" s="260"/>
      <c r="V333" s="260"/>
      <c r="W333" s="260"/>
      <c r="X333" s="260"/>
      <c r="Y333" s="260"/>
      <c r="Z333" s="260"/>
      <c r="AA333" s="260"/>
      <c r="AB333" s="260"/>
      <c r="AC333" s="260"/>
      <c r="AD333" s="260"/>
    </row>
    <row r="334" spans="1:30" ht="15" thickBot="1">
      <c r="A334" s="260"/>
      <c r="B334" s="260"/>
      <c r="C334" s="260"/>
      <c r="D334" s="260"/>
      <c r="E334" s="260"/>
      <c r="F334" s="260"/>
      <c r="G334" s="260"/>
      <c r="H334" s="260"/>
      <c r="I334" s="260"/>
      <c r="J334" s="260"/>
      <c r="K334" s="260"/>
      <c r="L334" s="260"/>
      <c r="M334" s="260"/>
      <c r="N334" s="260"/>
      <c r="O334" s="260"/>
      <c r="P334" s="260"/>
      <c r="Q334" s="260"/>
      <c r="R334" s="260"/>
      <c r="S334" s="260"/>
      <c r="T334" s="260"/>
      <c r="U334" s="260"/>
      <c r="V334" s="260"/>
      <c r="W334" s="260"/>
      <c r="X334" s="260"/>
      <c r="Y334" s="260"/>
      <c r="Z334" s="260"/>
      <c r="AA334" s="260"/>
      <c r="AB334" s="260"/>
      <c r="AC334" s="260"/>
      <c r="AD334" s="260"/>
    </row>
    <row r="335" spans="1:30" ht="15" thickBot="1">
      <c r="A335" s="260"/>
      <c r="B335" s="260"/>
      <c r="C335" s="260"/>
      <c r="D335" s="260"/>
      <c r="E335" s="260"/>
      <c r="F335" s="260"/>
      <c r="G335" s="260"/>
      <c r="H335" s="260"/>
      <c r="I335" s="260"/>
      <c r="J335" s="260"/>
      <c r="K335" s="260"/>
      <c r="L335" s="260"/>
      <c r="M335" s="260"/>
      <c r="N335" s="260"/>
      <c r="O335" s="260"/>
      <c r="P335" s="260"/>
      <c r="Q335" s="260"/>
      <c r="R335" s="260"/>
      <c r="S335" s="260"/>
      <c r="T335" s="260"/>
      <c r="U335" s="260"/>
      <c r="V335" s="260"/>
      <c r="W335" s="260"/>
      <c r="X335" s="260"/>
      <c r="Y335" s="260"/>
      <c r="Z335" s="260"/>
      <c r="AA335" s="260"/>
      <c r="AB335" s="260"/>
      <c r="AC335" s="260"/>
      <c r="AD335" s="260"/>
    </row>
    <row r="336" spans="1:30" ht="15" thickBot="1">
      <c r="A336" s="260"/>
      <c r="B336" s="260"/>
      <c r="C336" s="260"/>
      <c r="D336" s="260"/>
      <c r="E336" s="260"/>
      <c r="F336" s="260"/>
      <c r="G336" s="260"/>
      <c r="H336" s="260"/>
      <c r="I336" s="260"/>
      <c r="J336" s="260"/>
      <c r="K336" s="260"/>
      <c r="L336" s="260"/>
      <c r="M336" s="260"/>
      <c r="N336" s="260"/>
      <c r="O336" s="260"/>
      <c r="P336" s="260"/>
      <c r="Q336" s="260"/>
      <c r="R336" s="260"/>
      <c r="S336" s="260"/>
      <c r="T336" s="260"/>
      <c r="U336" s="260"/>
      <c r="V336" s="260"/>
      <c r="W336" s="260"/>
      <c r="X336" s="260"/>
      <c r="Y336" s="260"/>
      <c r="Z336" s="260"/>
      <c r="AA336" s="260"/>
      <c r="AB336" s="260"/>
      <c r="AC336" s="260"/>
      <c r="AD336" s="260"/>
    </row>
    <row r="337" spans="1:30" ht="15" thickBot="1">
      <c r="A337" s="260"/>
      <c r="B337" s="260"/>
      <c r="C337" s="260"/>
      <c r="D337" s="260"/>
      <c r="E337" s="260"/>
      <c r="F337" s="260"/>
      <c r="G337" s="260"/>
      <c r="H337" s="260"/>
      <c r="I337" s="260"/>
      <c r="J337" s="260"/>
      <c r="K337" s="260"/>
      <c r="L337" s="260"/>
      <c r="M337" s="260"/>
      <c r="N337" s="260"/>
      <c r="O337" s="260"/>
      <c r="P337" s="260"/>
      <c r="Q337" s="260"/>
      <c r="R337" s="260"/>
      <c r="S337" s="260"/>
      <c r="T337" s="260"/>
      <c r="U337" s="260"/>
      <c r="V337" s="260"/>
      <c r="W337" s="260"/>
      <c r="X337" s="260"/>
      <c r="Y337" s="260"/>
      <c r="Z337" s="260"/>
      <c r="AA337" s="260"/>
      <c r="AB337" s="260"/>
      <c r="AC337" s="260"/>
      <c r="AD337" s="260"/>
    </row>
    <row r="338" spans="1:30" ht="15" thickBot="1">
      <c r="A338" s="260"/>
      <c r="B338" s="260"/>
      <c r="C338" s="260"/>
      <c r="D338" s="260"/>
      <c r="E338" s="260"/>
      <c r="F338" s="260"/>
      <c r="G338" s="260"/>
      <c r="H338" s="260"/>
      <c r="I338" s="260"/>
      <c r="J338" s="260"/>
      <c r="K338" s="260"/>
      <c r="L338" s="260"/>
      <c r="M338" s="260"/>
      <c r="N338" s="260"/>
      <c r="O338" s="260"/>
      <c r="P338" s="260"/>
      <c r="Q338" s="260"/>
      <c r="R338" s="260"/>
      <c r="S338" s="260"/>
      <c r="T338" s="260"/>
      <c r="U338" s="260"/>
      <c r="V338" s="260"/>
      <c r="W338" s="260"/>
      <c r="X338" s="260"/>
      <c r="Y338" s="260"/>
      <c r="Z338" s="260"/>
      <c r="AA338" s="260"/>
      <c r="AB338" s="260"/>
      <c r="AC338" s="260"/>
      <c r="AD338" s="260"/>
    </row>
    <row r="339" spans="1:30" ht="15" thickBot="1">
      <c r="A339" s="260"/>
      <c r="B339" s="260"/>
      <c r="C339" s="260"/>
      <c r="D339" s="260"/>
      <c r="E339" s="260"/>
      <c r="F339" s="260"/>
      <c r="G339" s="260"/>
      <c r="H339" s="260"/>
      <c r="I339" s="260"/>
      <c r="J339" s="260"/>
      <c r="K339" s="260"/>
      <c r="L339" s="260"/>
      <c r="M339" s="260"/>
      <c r="N339" s="260"/>
      <c r="O339" s="260"/>
      <c r="P339" s="260"/>
      <c r="Q339" s="260"/>
      <c r="R339" s="260"/>
      <c r="S339" s="260"/>
      <c r="T339" s="260"/>
      <c r="U339" s="260"/>
      <c r="V339" s="260"/>
      <c r="W339" s="260"/>
      <c r="X339" s="260"/>
      <c r="Y339" s="260"/>
      <c r="Z339" s="260"/>
      <c r="AA339" s="260"/>
      <c r="AB339" s="260"/>
      <c r="AC339" s="260"/>
      <c r="AD339" s="260"/>
    </row>
    <row r="340" spans="1:30" ht="15" thickBot="1">
      <c r="A340" s="260"/>
      <c r="B340" s="260"/>
      <c r="C340" s="260"/>
      <c r="D340" s="260"/>
      <c r="E340" s="260"/>
      <c r="F340" s="260"/>
      <c r="G340" s="260"/>
      <c r="H340" s="260"/>
      <c r="I340" s="260"/>
      <c r="J340" s="260"/>
      <c r="K340" s="260"/>
      <c r="L340" s="260"/>
      <c r="M340" s="260"/>
      <c r="N340" s="260"/>
      <c r="O340" s="260"/>
      <c r="P340" s="260"/>
      <c r="Q340" s="260"/>
      <c r="R340" s="260"/>
      <c r="S340" s="260"/>
      <c r="T340" s="260"/>
      <c r="U340" s="260"/>
      <c r="V340" s="260"/>
      <c r="W340" s="260"/>
      <c r="X340" s="260"/>
      <c r="Y340" s="260"/>
      <c r="Z340" s="260"/>
      <c r="AA340" s="260"/>
      <c r="AB340" s="260"/>
      <c r="AC340" s="260"/>
      <c r="AD340" s="260"/>
    </row>
    <row r="341" spans="1:30" ht="15" thickBot="1">
      <c r="A341" s="260"/>
      <c r="B341" s="260"/>
      <c r="C341" s="260"/>
      <c r="D341" s="260"/>
      <c r="E341" s="260"/>
      <c r="F341" s="260"/>
      <c r="G341" s="260"/>
      <c r="H341" s="260"/>
      <c r="I341" s="260"/>
      <c r="J341" s="260"/>
      <c r="K341" s="260"/>
      <c r="L341" s="260"/>
      <c r="M341" s="260"/>
      <c r="N341" s="260"/>
      <c r="O341" s="260"/>
      <c r="P341" s="260"/>
      <c r="Q341" s="260"/>
      <c r="R341" s="260"/>
      <c r="S341" s="260"/>
      <c r="T341" s="260"/>
      <c r="U341" s="260"/>
      <c r="V341" s="260"/>
      <c r="W341" s="260"/>
      <c r="X341" s="260"/>
      <c r="Y341" s="260"/>
      <c r="Z341" s="260"/>
      <c r="AA341" s="260"/>
      <c r="AB341" s="260"/>
      <c r="AC341" s="260"/>
      <c r="AD341" s="260"/>
    </row>
    <row r="342" spans="1:30" ht="15" thickBot="1">
      <c r="A342" s="260"/>
      <c r="B342" s="260"/>
      <c r="C342" s="260"/>
      <c r="D342" s="260"/>
      <c r="E342" s="260"/>
      <c r="F342" s="260"/>
      <c r="G342" s="260"/>
      <c r="H342" s="260"/>
      <c r="I342" s="260"/>
      <c r="J342" s="260"/>
      <c r="K342" s="260"/>
      <c r="L342" s="260"/>
      <c r="M342" s="260"/>
      <c r="N342" s="260"/>
      <c r="O342" s="260"/>
      <c r="P342" s="260"/>
      <c r="Q342" s="260"/>
      <c r="R342" s="260"/>
      <c r="S342" s="260"/>
      <c r="T342" s="260"/>
      <c r="U342" s="260"/>
      <c r="V342" s="260"/>
      <c r="W342" s="260"/>
      <c r="X342" s="260"/>
      <c r="Y342" s="260"/>
      <c r="Z342" s="260"/>
      <c r="AA342" s="260"/>
      <c r="AB342" s="260"/>
      <c r="AC342" s="260"/>
      <c r="AD342" s="260"/>
    </row>
    <row r="343" spans="1:30" ht="15" thickBot="1">
      <c r="A343" s="260"/>
      <c r="B343" s="260"/>
      <c r="C343" s="260"/>
      <c r="D343" s="260"/>
      <c r="E343" s="260"/>
      <c r="F343" s="260"/>
      <c r="G343" s="260"/>
      <c r="H343" s="260"/>
      <c r="I343" s="260"/>
      <c r="J343" s="260"/>
      <c r="K343" s="260"/>
      <c r="L343" s="260"/>
      <c r="M343" s="260"/>
      <c r="N343" s="260"/>
      <c r="O343" s="260"/>
      <c r="P343" s="260"/>
      <c r="Q343" s="260"/>
      <c r="R343" s="260"/>
      <c r="S343" s="260"/>
      <c r="T343" s="260"/>
      <c r="U343" s="260"/>
      <c r="V343" s="260"/>
      <c r="W343" s="260"/>
      <c r="X343" s="260"/>
      <c r="Y343" s="260"/>
      <c r="Z343" s="260"/>
      <c r="AA343" s="260"/>
      <c r="AB343" s="260"/>
      <c r="AC343" s="260"/>
      <c r="AD343" s="260"/>
    </row>
    <row r="344" spans="1:30" ht="15" thickBot="1">
      <c r="A344" s="260"/>
      <c r="B344" s="260"/>
      <c r="C344" s="260"/>
      <c r="D344" s="260"/>
      <c r="E344" s="260"/>
      <c r="F344" s="260"/>
      <c r="G344" s="260"/>
      <c r="H344" s="260"/>
      <c r="I344" s="260"/>
      <c r="J344" s="260"/>
      <c r="K344" s="260"/>
      <c r="L344" s="260"/>
      <c r="M344" s="260"/>
      <c r="N344" s="260"/>
      <c r="O344" s="260"/>
      <c r="P344" s="260"/>
      <c r="Q344" s="260"/>
      <c r="R344" s="260"/>
      <c r="S344" s="260"/>
      <c r="T344" s="260"/>
      <c r="U344" s="260"/>
      <c r="V344" s="260"/>
      <c r="W344" s="260"/>
      <c r="X344" s="260"/>
      <c r="Y344" s="260"/>
      <c r="Z344" s="260"/>
      <c r="AA344" s="260"/>
      <c r="AB344" s="260"/>
      <c r="AC344" s="260"/>
      <c r="AD344" s="260"/>
    </row>
    <row r="345" spans="1:30" ht="15" thickBot="1">
      <c r="A345" s="260"/>
      <c r="B345" s="260"/>
      <c r="C345" s="260"/>
      <c r="D345" s="260"/>
      <c r="E345" s="260"/>
      <c r="F345" s="260"/>
      <c r="G345" s="260"/>
      <c r="H345" s="260"/>
      <c r="I345" s="260"/>
      <c r="J345" s="260"/>
      <c r="K345" s="260"/>
      <c r="L345" s="260"/>
      <c r="M345" s="260"/>
      <c r="N345" s="260"/>
      <c r="O345" s="260"/>
      <c r="P345" s="260"/>
      <c r="Q345" s="260"/>
      <c r="R345" s="260"/>
      <c r="S345" s="260"/>
      <c r="T345" s="260"/>
      <c r="U345" s="260"/>
      <c r="V345" s="260"/>
      <c r="W345" s="260"/>
      <c r="X345" s="260"/>
      <c r="Y345" s="260"/>
      <c r="Z345" s="260"/>
      <c r="AA345" s="260"/>
      <c r="AB345" s="260"/>
      <c r="AC345" s="260"/>
      <c r="AD345" s="260"/>
    </row>
    <row r="346" spans="1:30" ht="15" thickBot="1">
      <c r="A346" s="260"/>
      <c r="B346" s="260"/>
      <c r="C346" s="260"/>
      <c r="D346" s="260"/>
      <c r="E346" s="260"/>
      <c r="F346" s="260"/>
      <c r="G346" s="260"/>
      <c r="H346" s="260"/>
      <c r="I346" s="260"/>
      <c r="J346" s="260"/>
      <c r="K346" s="260"/>
      <c r="L346" s="260"/>
      <c r="M346" s="260"/>
      <c r="N346" s="260"/>
      <c r="O346" s="260"/>
      <c r="P346" s="260"/>
      <c r="Q346" s="260"/>
      <c r="R346" s="260"/>
      <c r="S346" s="260"/>
      <c r="T346" s="260"/>
      <c r="U346" s="260"/>
      <c r="V346" s="260"/>
      <c r="W346" s="260"/>
      <c r="X346" s="260"/>
      <c r="Y346" s="260"/>
      <c r="Z346" s="260"/>
      <c r="AA346" s="260"/>
      <c r="AB346" s="260"/>
      <c r="AC346" s="260"/>
      <c r="AD346" s="260"/>
    </row>
    <row r="347" spans="1:30" ht="15" thickBot="1">
      <c r="A347" s="260"/>
      <c r="B347" s="260"/>
      <c r="C347" s="260"/>
      <c r="D347" s="260"/>
      <c r="E347" s="260"/>
      <c r="F347" s="260"/>
      <c r="G347" s="260"/>
      <c r="H347" s="260"/>
      <c r="I347" s="260"/>
      <c r="J347" s="260"/>
      <c r="K347" s="260"/>
      <c r="L347" s="260"/>
      <c r="M347" s="260"/>
      <c r="N347" s="260"/>
      <c r="O347" s="260"/>
      <c r="P347" s="260"/>
      <c r="Q347" s="260"/>
      <c r="R347" s="260"/>
      <c r="S347" s="260"/>
      <c r="T347" s="260"/>
      <c r="U347" s="260"/>
      <c r="V347" s="260"/>
      <c r="W347" s="260"/>
      <c r="X347" s="260"/>
      <c r="Y347" s="260"/>
      <c r="Z347" s="260"/>
      <c r="AA347" s="260"/>
      <c r="AB347" s="260"/>
      <c r="AC347" s="260"/>
      <c r="AD347" s="260"/>
    </row>
    <row r="348" spans="1:30" ht="15" thickBot="1">
      <c r="A348" s="260"/>
      <c r="B348" s="260"/>
      <c r="C348" s="260"/>
      <c r="D348" s="260"/>
      <c r="E348" s="260"/>
      <c r="F348" s="260"/>
      <c r="G348" s="260"/>
      <c r="H348" s="260"/>
      <c r="I348" s="260"/>
      <c r="J348" s="260"/>
      <c r="K348" s="260"/>
      <c r="L348" s="260"/>
      <c r="M348" s="260"/>
      <c r="N348" s="260"/>
      <c r="O348" s="260"/>
      <c r="P348" s="260"/>
      <c r="Q348" s="260"/>
      <c r="R348" s="260"/>
      <c r="S348" s="260"/>
      <c r="T348" s="260"/>
      <c r="U348" s="260"/>
      <c r="V348" s="260"/>
      <c r="W348" s="260"/>
      <c r="X348" s="260"/>
      <c r="Y348" s="260"/>
      <c r="Z348" s="260"/>
      <c r="AA348" s="260"/>
      <c r="AB348" s="260"/>
      <c r="AC348" s="260"/>
      <c r="AD348" s="260"/>
    </row>
    <row r="349" spans="1:30" ht="15" thickBot="1">
      <c r="A349" s="260"/>
      <c r="B349" s="260"/>
      <c r="C349" s="260"/>
      <c r="D349" s="260"/>
      <c r="E349" s="260"/>
      <c r="F349" s="260"/>
      <c r="G349" s="260"/>
      <c r="H349" s="260"/>
      <c r="I349" s="260"/>
      <c r="J349" s="260"/>
      <c r="K349" s="260"/>
      <c r="L349" s="260"/>
      <c r="M349" s="260"/>
      <c r="N349" s="260"/>
      <c r="O349" s="260"/>
      <c r="P349" s="260"/>
      <c r="Q349" s="260"/>
      <c r="R349" s="260"/>
      <c r="S349" s="260"/>
      <c r="T349" s="260"/>
      <c r="U349" s="260"/>
      <c r="V349" s="260"/>
      <c r="W349" s="260"/>
      <c r="X349" s="260"/>
      <c r="Y349" s="260"/>
      <c r="Z349" s="260"/>
      <c r="AA349" s="260"/>
      <c r="AB349" s="260"/>
      <c r="AC349" s="260"/>
      <c r="AD349" s="260"/>
    </row>
    <row r="350" spans="1:30" ht="15" thickBot="1">
      <c r="A350" s="260"/>
      <c r="B350" s="260"/>
      <c r="C350" s="260"/>
      <c r="D350" s="260"/>
      <c r="E350" s="260"/>
      <c r="F350" s="260"/>
      <c r="G350" s="260"/>
      <c r="H350" s="260"/>
      <c r="I350" s="260"/>
      <c r="J350" s="260"/>
      <c r="K350" s="260"/>
      <c r="L350" s="260"/>
      <c r="M350" s="260"/>
      <c r="N350" s="260"/>
      <c r="O350" s="260"/>
      <c r="P350" s="260"/>
      <c r="Q350" s="260"/>
      <c r="R350" s="260"/>
      <c r="S350" s="260"/>
      <c r="T350" s="260"/>
      <c r="U350" s="260"/>
      <c r="V350" s="260"/>
      <c r="W350" s="260"/>
      <c r="X350" s="260"/>
      <c r="Y350" s="260"/>
      <c r="Z350" s="260"/>
      <c r="AA350" s="260"/>
      <c r="AB350" s="260"/>
      <c r="AC350" s="260"/>
      <c r="AD350" s="260"/>
    </row>
    <row r="351" spans="1:30" ht="15" thickBot="1">
      <c r="A351" s="260"/>
      <c r="B351" s="260"/>
      <c r="C351" s="260"/>
      <c r="D351" s="260"/>
      <c r="E351" s="260"/>
      <c r="F351" s="260"/>
      <c r="G351" s="260"/>
      <c r="H351" s="260"/>
      <c r="I351" s="260"/>
      <c r="J351" s="260"/>
      <c r="K351" s="260"/>
      <c r="L351" s="260"/>
      <c r="M351" s="260"/>
      <c r="N351" s="260"/>
      <c r="O351" s="260"/>
      <c r="P351" s="260"/>
      <c r="Q351" s="260"/>
      <c r="R351" s="260"/>
      <c r="S351" s="260"/>
      <c r="T351" s="260"/>
      <c r="U351" s="260"/>
      <c r="V351" s="260"/>
      <c r="W351" s="260"/>
      <c r="X351" s="260"/>
      <c r="Y351" s="260"/>
      <c r="Z351" s="260"/>
      <c r="AA351" s="260"/>
      <c r="AB351" s="260"/>
      <c r="AC351" s="260"/>
      <c r="AD351" s="260"/>
    </row>
    <row r="352" spans="1:30" ht="15" thickBot="1">
      <c r="A352" s="260"/>
      <c r="B352" s="260"/>
      <c r="C352" s="260"/>
      <c r="D352" s="260"/>
      <c r="E352" s="260"/>
      <c r="F352" s="260"/>
      <c r="G352" s="260"/>
      <c r="H352" s="260"/>
      <c r="I352" s="260"/>
      <c r="J352" s="260"/>
      <c r="K352" s="260"/>
      <c r="L352" s="260"/>
      <c r="M352" s="260"/>
      <c r="N352" s="260"/>
      <c r="O352" s="260"/>
      <c r="P352" s="260"/>
      <c r="Q352" s="260"/>
      <c r="R352" s="260"/>
      <c r="S352" s="260"/>
      <c r="T352" s="260"/>
      <c r="U352" s="260"/>
      <c r="V352" s="260"/>
      <c r="W352" s="260"/>
      <c r="X352" s="260"/>
      <c r="Y352" s="260"/>
      <c r="Z352" s="260"/>
      <c r="AA352" s="260"/>
      <c r="AB352" s="260"/>
      <c r="AC352" s="260"/>
      <c r="AD352" s="260"/>
    </row>
    <row r="353" spans="1:30" ht="15" thickBot="1">
      <c r="A353" s="260"/>
      <c r="B353" s="260"/>
      <c r="C353" s="260"/>
      <c r="D353" s="260"/>
      <c r="E353" s="260"/>
      <c r="F353" s="260"/>
      <c r="G353" s="260"/>
      <c r="H353" s="260"/>
      <c r="I353" s="260"/>
      <c r="J353" s="260"/>
      <c r="K353" s="260"/>
      <c r="L353" s="260"/>
      <c r="M353" s="260"/>
      <c r="N353" s="260"/>
      <c r="O353" s="260"/>
      <c r="P353" s="260"/>
      <c r="Q353" s="260"/>
      <c r="R353" s="260"/>
      <c r="S353" s="260"/>
      <c r="T353" s="260"/>
      <c r="U353" s="260"/>
      <c r="V353" s="260"/>
      <c r="W353" s="260"/>
      <c r="X353" s="260"/>
      <c r="Y353" s="260"/>
      <c r="Z353" s="260"/>
      <c r="AA353" s="260"/>
      <c r="AB353" s="260"/>
      <c r="AC353" s="260"/>
      <c r="AD353" s="260"/>
    </row>
    <row r="354" spans="1:30" ht="15" thickBot="1">
      <c r="A354" s="260"/>
      <c r="B354" s="260"/>
      <c r="C354" s="260"/>
      <c r="D354" s="260"/>
      <c r="E354" s="260"/>
      <c r="F354" s="260"/>
      <c r="G354" s="260"/>
      <c r="H354" s="260"/>
      <c r="I354" s="260"/>
      <c r="J354" s="260"/>
      <c r="K354" s="260"/>
      <c r="L354" s="260"/>
      <c r="M354" s="260"/>
      <c r="N354" s="260"/>
      <c r="O354" s="260"/>
      <c r="P354" s="260"/>
      <c r="Q354" s="260"/>
      <c r="R354" s="260"/>
      <c r="S354" s="260"/>
      <c r="T354" s="260"/>
      <c r="U354" s="260"/>
      <c r="V354" s="260"/>
      <c r="W354" s="260"/>
      <c r="X354" s="260"/>
      <c r="Y354" s="260"/>
      <c r="Z354" s="260"/>
      <c r="AA354" s="260"/>
      <c r="AB354" s="260"/>
      <c r="AC354" s="260"/>
      <c r="AD354" s="260"/>
    </row>
    <row r="355" spans="1:30" ht="15" thickBot="1">
      <c r="A355" s="260"/>
      <c r="B355" s="260"/>
      <c r="C355" s="260"/>
      <c r="D355" s="260"/>
      <c r="E355" s="260"/>
      <c r="F355" s="260"/>
      <c r="G355" s="260"/>
      <c r="H355" s="260"/>
      <c r="I355" s="260"/>
      <c r="J355" s="260"/>
      <c r="K355" s="260"/>
      <c r="L355" s="260"/>
      <c r="M355" s="260"/>
      <c r="N355" s="260"/>
      <c r="O355" s="260"/>
      <c r="P355" s="260"/>
      <c r="Q355" s="260"/>
      <c r="R355" s="260"/>
      <c r="S355" s="260"/>
      <c r="T355" s="260"/>
      <c r="U355" s="260"/>
      <c r="V355" s="260"/>
      <c r="W355" s="260"/>
      <c r="X355" s="260"/>
      <c r="Y355" s="260"/>
      <c r="Z355" s="260"/>
      <c r="AA355" s="260"/>
      <c r="AB355" s="260"/>
      <c r="AC355" s="260"/>
      <c r="AD355" s="260"/>
    </row>
    <row r="356" spans="1:30" ht="15" thickBot="1">
      <c r="A356" s="260"/>
      <c r="B356" s="260"/>
      <c r="C356" s="260"/>
      <c r="D356" s="260"/>
      <c r="E356" s="260"/>
      <c r="F356" s="260"/>
      <c r="G356" s="260"/>
      <c r="H356" s="260"/>
      <c r="I356" s="260"/>
      <c r="J356" s="260"/>
      <c r="K356" s="260"/>
      <c r="L356" s="260"/>
      <c r="M356" s="260"/>
      <c r="N356" s="260"/>
      <c r="O356" s="260"/>
      <c r="P356" s="260"/>
      <c r="Q356" s="260"/>
      <c r="R356" s="260"/>
      <c r="S356" s="260"/>
      <c r="T356" s="260"/>
      <c r="U356" s="260"/>
      <c r="V356" s="260"/>
      <c r="W356" s="260"/>
      <c r="X356" s="260"/>
      <c r="Y356" s="260"/>
      <c r="Z356" s="260"/>
      <c r="AA356" s="260"/>
      <c r="AB356" s="260"/>
      <c r="AC356" s="260"/>
      <c r="AD356" s="260"/>
    </row>
    <row r="357" spans="1:30" ht="15" thickBot="1">
      <c r="A357" s="260"/>
      <c r="B357" s="260"/>
      <c r="C357" s="260"/>
      <c r="D357" s="260"/>
      <c r="E357" s="260"/>
      <c r="F357" s="260"/>
      <c r="G357" s="260"/>
      <c r="H357" s="260"/>
      <c r="I357" s="260"/>
      <c r="J357" s="260"/>
      <c r="K357" s="260"/>
      <c r="L357" s="260"/>
      <c r="M357" s="260"/>
      <c r="N357" s="260"/>
      <c r="O357" s="260"/>
      <c r="P357" s="260"/>
      <c r="Q357" s="260"/>
      <c r="R357" s="260"/>
      <c r="S357" s="260"/>
      <c r="T357" s="260"/>
      <c r="U357" s="260"/>
      <c r="V357" s="260"/>
      <c r="W357" s="260"/>
      <c r="X357" s="260"/>
      <c r="Y357" s="260"/>
      <c r="Z357" s="260"/>
      <c r="AA357" s="260"/>
      <c r="AB357" s="260"/>
      <c r="AC357" s="260"/>
      <c r="AD357" s="260"/>
    </row>
    <row r="358" spans="1:30" ht="15" thickBot="1">
      <c r="A358" s="260"/>
      <c r="B358" s="260"/>
      <c r="C358" s="260"/>
      <c r="D358" s="260"/>
      <c r="E358" s="260"/>
      <c r="F358" s="260"/>
      <c r="G358" s="260"/>
      <c r="H358" s="260"/>
      <c r="I358" s="260"/>
      <c r="J358" s="260"/>
      <c r="K358" s="260"/>
      <c r="L358" s="260"/>
      <c r="M358" s="260"/>
      <c r="N358" s="260"/>
      <c r="O358" s="260"/>
      <c r="P358" s="260"/>
      <c r="Q358" s="260"/>
      <c r="R358" s="260"/>
      <c r="S358" s="260"/>
      <c r="T358" s="260"/>
      <c r="U358" s="260"/>
      <c r="V358" s="260"/>
      <c r="W358" s="260"/>
      <c r="X358" s="260"/>
      <c r="Y358" s="260"/>
      <c r="Z358" s="260"/>
      <c r="AA358" s="260"/>
      <c r="AB358" s="260"/>
      <c r="AC358" s="260"/>
      <c r="AD358" s="260"/>
    </row>
    <row r="359" spans="1:30" ht="15" thickBot="1">
      <c r="A359" s="260"/>
      <c r="B359" s="260"/>
      <c r="C359" s="260"/>
      <c r="D359" s="260"/>
      <c r="E359" s="260"/>
      <c r="F359" s="260"/>
      <c r="G359" s="260"/>
      <c r="H359" s="260"/>
      <c r="I359" s="260"/>
      <c r="J359" s="260"/>
      <c r="K359" s="260"/>
      <c r="L359" s="260"/>
      <c r="M359" s="260"/>
      <c r="N359" s="260"/>
      <c r="O359" s="260"/>
      <c r="P359" s="260"/>
      <c r="Q359" s="260"/>
      <c r="R359" s="260"/>
      <c r="S359" s="260"/>
      <c r="T359" s="260"/>
      <c r="U359" s="260"/>
      <c r="V359" s="260"/>
      <c r="W359" s="260"/>
      <c r="X359" s="260"/>
      <c r="Y359" s="260"/>
      <c r="Z359" s="260"/>
      <c r="AA359" s="260"/>
      <c r="AB359" s="260"/>
      <c r="AC359" s="260"/>
      <c r="AD359" s="260"/>
    </row>
    <row r="360" spans="1:30" ht="15" thickBot="1">
      <c r="A360" s="260"/>
      <c r="B360" s="260"/>
      <c r="C360" s="260"/>
      <c r="D360" s="260"/>
      <c r="E360" s="260"/>
      <c r="F360" s="260"/>
      <c r="G360" s="260"/>
      <c r="H360" s="260"/>
      <c r="I360" s="260"/>
      <c r="J360" s="260"/>
      <c r="K360" s="260"/>
      <c r="L360" s="260"/>
      <c r="M360" s="260"/>
      <c r="N360" s="260"/>
      <c r="O360" s="260"/>
      <c r="P360" s="260"/>
      <c r="Q360" s="260"/>
      <c r="R360" s="260"/>
      <c r="S360" s="260"/>
      <c r="T360" s="260"/>
      <c r="U360" s="260"/>
      <c r="V360" s="260"/>
      <c r="W360" s="260"/>
      <c r="X360" s="260"/>
      <c r="Y360" s="260"/>
      <c r="Z360" s="260"/>
      <c r="AA360" s="260"/>
      <c r="AB360" s="260"/>
      <c r="AC360" s="260"/>
      <c r="AD360" s="260"/>
    </row>
    <row r="361" spans="1:30" ht="15" thickBot="1">
      <c r="A361" s="260"/>
      <c r="B361" s="260"/>
      <c r="C361" s="260"/>
      <c r="D361" s="260"/>
      <c r="E361" s="260"/>
      <c r="F361" s="260"/>
      <c r="G361" s="260"/>
      <c r="H361" s="260"/>
      <c r="I361" s="260"/>
      <c r="J361" s="260"/>
      <c r="K361" s="260"/>
      <c r="L361" s="260"/>
      <c r="M361" s="260"/>
      <c r="N361" s="260"/>
      <c r="O361" s="260"/>
      <c r="P361" s="260"/>
      <c r="Q361" s="260"/>
      <c r="R361" s="260"/>
      <c r="S361" s="260"/>
      <c r="T361" s="260"/>
      <c r="U361" s="260"/>
      <c r="V361" s="260"/>
      <c r="W361" s="260"/>
      <c r="X361" s="260"/>
      <c r="Y361" s="260"/>
      <c r="Z361" s="260"/>
      <c r="AA361" s="260"/>
      <c r="AB361" s="260"/>
      <c r="AC361" s="260"/>
      <c r="AD361" s="260"/>
    </row>
    <row r="362" spans="1:30" ht="15" thickBot="1">
      <c r="A362" s="260"/>
      <c r="B362" s="260"/>
      <c r="C362" s="260"/>
      <c r="D362" s="260"/>
      <c r="E362" s="260"/>
      <c r="F362" s="260"/>
      <c r="G362" s="260"/>
      <c r="H362" s="260"/>
      <c r="I362" s="260"/>
      <c r="J362" s="260"/>
      <c r="K362" s="260"/>
      <c r="L362" s="260"/>
      <c r="M362" s="260"/>
      <c r="N362" s="260"/>
      <c r="O362" s="260"/>
      <c r="P362" s="260"/>
      <c r="Q362" s="260"/>
      <c r="R362" s="260"/>
      <c r="S362" s="260"/>
      <c r="T362" s="260"/>
      <c r="U362" s="260"/>
      <c r="V362" s="260"/>
      <c r="W362" s="260"/>
      <c r="X362" s="260"/>
      <c r="Y362" s="260"/>
      <c r="Z362" s="260"/>
      <c r="AA362" s="260"/>
      <c r="AB362" s="260"/>
      <c r="AC362" s="260"/>
      <c r="AD362" s="260"/>
    </row>
    <row r="363" spans="1:30" ht="15" thickBot="1">
      <c r="A363" s="260"/>
      <c r="B363" s="260"/>
      <c r="C363" s="260"/>
      <c r="D363" s="260"/>
      <c r="E363" s="260"/>
      <c r="F363" s="260"/>
      <c r="G363" s="260"/>
      <c r="H363" s="260"/>
      <c r="I363" s="260"/>
      <c r="J363" s="260"/>
      <c r="K363" s="260"/>
      <c r="L363" s="260"/>
      <c r="M363" s="260"/>
      <c r="N363" s="260"/>
      <c r="O363" s="260"/>
      <c r="P363" s="260"/>
      <c r="Q363" s="260"/>
      <c r="R363" s="260"/>
      <c r="S363" s="260"/>
      <c r="T363" s="260"/>
      <c r="U363" s="260"/>
      <c r="V363" s="260"/>
      <c r="W363" s="260"/>
      <c r="X363" s="260"/>
      <c r="Y363" s="260"/>
      <c r="Z363" s="260"/>
      <c r="AA363" s="260"/>
      <c r="AB363" s="260"/>
      <c r="AC363" s="260"/>
      <c r="AD363" s="260"/>
    </row>
    <row r="364" spans="1:30" ht="15" thickBot="1">
      <c r="A364" s="260"/>
      <c r="B364" s="260"/>
      <c r="C364" s="260"/>
      <c r="D364" s="260"/>
      <c r="E364" s="260"/>
      <c r="F364" s="260"/>
      <c r="G364" s="260"/>
      <c r="H364" s="260"/>
      <c r="I364" s="260"/>
      <c r="J364" s="260"/>
      <c r="K364" s="260"/>
      <c r="L364" s="260"/>
      <c r="M364" s="260"/>
      <c r="N364" s="260"/>
      <c r="O364" s="260"/>
      <c r="P364" s="260"/>
      <c r="Q364" s="260"/>
      <c r="R364" s="260"/>
      <c r="S364" s="260"/>
      <c r="T364" s="260"/>
      <c r="U364" s="260"/>
      <c r="V364" s="260"/>
      <c r="W364" s="260"/>
      <c r="X364" s="260"/>
      <c r="Y364" s="260"/>
      <c r="Z364" s="260"/>
      <c r="AA364" s="260"/>
      <c r="AB364" s="260"/>
      <c r="AC364" s="260"/>
      <c r="AD364" s="260"/>
    </row>
    <row r="365" spans="1:30" ht="15" thickBot="1">
      <c r="A365" s="260"/>
      <c r="B365" s="260"/>
      <c r="C365" s="260"/>
      <c r="D365" s="260"/>
      <c r="E365" s="260"/>
      <c r="F365" s="260"/>
      <c r="G365" s="260"/>
      <c r="H365" s="260"/>
      <c r="I365" s="260"/>
      <c r="J365" s="260"/>
      <c r="K365" s="260"/>
      <c r="L365" s="260"/>
      <c r="M365" s="260"/>
      <c r="N365" s="260"/>
      <c r="O365" s="260"/>
      <c r="P365" s="260"/>
      <c r="Q365" s="260"/>
      <c r="R365" s="260"/>
      <c r="S365" s="260"/>
      <c r="T365" s="260"/>
      <c r="U365" s="260"/>
      <c r="V365" s="260"/>
      <c r="W365" s="260"/>
      <c r="X365" s="260"/>
      <c r="Y365" s="260"/>
      <c r="Z365" s="260"/>
      <c r="AA365" s="260"/>
      <c r="AB365" s="260"/>
      <c r="AC365" s="260"/>
      <c r="AD365" s="260"/>
    </row>
    <row r="366" spans="1:30" ht="15" thickBot="1">
      <c r="A366" s="260"/>
      <c r="B366" s="260"/>
      <c r="C366" s="260"/>
      <c r="D366" s="260"/>
      <c r="E366" s="260"/>
      <c r="F366" s="260"/>
      <c r="G366" s="260"/>
      <c r="H366" s="260"/>
      <c r="I366" s="260"/>
      <c r="J366" s="260"/>
      <c r="K366" s="260"/>
      <c r="L366" s="260"/>
      <c r="M366" s="260"/>
      <c r="N366" s="260"/>
      <c r="O366" s="260"/>
      <c r="P366" s="260"/>
      <c r="Q366" s="260"/>
      <c r="R366" s="260"/>
      <c r="S366" s="260"/>
      <c r="T366" s="260"/>
      <c r="U366" s="260"/>
      <c r="V366" s="260"/>
      <c r="W366" s="260"/>
      <c r="X366" s="260"/>
      <c r="Y366" s="260"/>
      <c r="Z366" s="260"/>
      <c r="AA366" s="260"/>
      <c r="AB366" s="260"/>
      <c r="AC366" s="260"/>
      <c r="AD366" s="260"/>
    </row>
    <row r="367" spans="1:30" ht="15" thickBot="1">
      <c r="A367" s="260"/>
      <c r="B367" s="260"/>
      <c r="C367" s="260"/>
      <c r="D367" s="260"/>
      <c r="E367" s="260"/>
      <c r="F367" s="260"/>
      <c r="G367" s="260"/>
      <c r="H367" s="260"/>
      <c r="I367" s="260"/>
      <c r="J367" s="260"/>
      <c r="K367" s="260"/>
      <c r="L367" s="260"/>
      <c r="M367" s="260"/>
      <c r="N367" s="260"/>
      <c r="O367" s="260"/>
      <c r="P367" s="260"/>
      <c r="Q367" s="260"/>
      <c r="R367" s="260"/>
      <c r="S367" s="260"/>
      <c r="T367" s="260"/>
      <c r="U367" s="260"/>
      <c r="V367" s="260"/>
      <c r="W367" s="260"/>
      <c r="X367" s="260"/>
      <c r="Y367" s="260"/>
      <c r="Z367" s="260"/>
      <c r="AA367" s="260"/>
      <c r="AB367" s="260"/>
      <c r="AC367" s="260"/>
      <c r="AD367" s="260"/>
    </row>
    <row r="368" spans="1:30" ht="15" thickBot="1">
      <c r="A368" s="260"/>
      <c r="B368" s="260"/>
      <c r="C368" s="260"/>
      <c r="D368" s="260"/>
      <c r="E368" s="260"/>
      <c r="F368" s="260"/>
      <c r="G368" s="260"/>
      <c r="H368" s="260"/>
      <c r="I368" s="260"/>
      <c r="J368" s="260"/>
      <c r="K368" s="260"/>
      <c r="L368" s="260"/>
      <c r="M368" s="260"/>
      <c r="N368" s="260"/>
      <c r="O368" s="260"/>
      <c r="P368" s="260"/>
      <c r="Q368" s="260"/>
      <c r="R368" s="260"/>
      <c r="S368" s="260"/>
      <c r="T368" s="260"/>
      <c r="U368" s="260"/>
      <c r="V368" s="260"/>
      <c r="W368" s="260"/>
      <c r="X368" s="260"/>
      <c r="Y368" s="260"/>
      <c r="Z368" s="260"/>
      <c r="AA368" s="260"/>
      <c r="AB368" s="260"/>
      <c r="AC368" s="260"/>
      <c r="AD368" s="260"/>
    </row>
    <row r="369" spans="1:30" ht="15" thickBot="1">
      <c r="A369" s="260"/>
      <c r="B369" s="260"/>
      <c r="C369" s="260"/>
      <c r="D369" s="260"/>
      <c r="E369" s="260"/>
      <c r="F369" s="260"/>
      <c r="G369" s="260"/>
      <c r="H369" s="260"/>
      <c r="I369" s="260"/>
      <c r="J369" s="260"/>
      <c r="K369" s="260"/>
      <c r="L369" s="260"/>
      <c r="M369" s="260"/>
      <c r="N369" s="260"/>
      <c r="O369" s="260"/>
      <c r="P369" s="260"/>
      <c r="Q369" s="260"/>
      <c r="R369" s="260"/>
      <c r="S369" s="260"/>
      <c r="T369" s="260"/>
      <c r="U369" s="260"/>
      <c r="V369" s="260"/>
      <c r="W369" s="260"/>
      <c r="X369" s="260"/>
      <c r="Y369" s="260"/>
      <c r="Z369" s="260"/>
      <c r="AA369" s="260"/>
      <c r="AB369" s="260"/>
      <c r="AC369" s="260"/>
      <c r="AD369" s="260"/>
    </row>
    <row r="370" spans="1:30" ht="15" thickBot="1">
      <c r="A370" s="260"/>
      <c r="B370" s="260"/>
      <c r="C370" s="260"/>
      <c r="D370" s="260"/>
      <c r="E370" s="260"/>
      <c r="F370" s="260"/>
      <c r="G370" s="260"/>
      <c r="H370" s="260"/>
      <c r="I370" s="260"/>
      <c r="J370" s="260"/>
      <c r="K370" s="260"/>
      <c r="L370" s="260"/>
      <c r="M370" s="260"/>
      <c r="N370" s="260"/>
      <c r="O370" s="260"/>
      <c r="P370" s="260"/>
      <c r="Q370" s="260"/>
      <c r="R370" s="260"/>
      <c r="S370" s="260"/>
      <c r="T370" s="260"/>
      <c r="U370" s="260"/>
      <c r="V370" s="260"/>
      <c r="W370" s="260"/>
      <c r="X370" s="260"/>
      <c r="Y370" s="260"/>
      <c r="Z370" s="260"/>
      <c r="AA370" s="260"/>
      <c r="AB370" s="260"/>
      <c r="AC370" s="260"/>
      <c r="AD370" s="260"/>
    </row>
    <row r="371" spans="1:30" ht="15" thickBot="1">
      <c r="A371" s="260"/>
      <c r="B371" s="260"/>
      <c r="C371" s="260"/>
      <c r="D371" s="260"/>
      <c r="E371" s="260"/>
      <c r="F371" s="260"/>
      <c r="G371" s="260"/>
      <c r="H371" s="260"/>
      <c r="I371" s="260"/>
      <c r="J371" s="260"/>
      <c r="K371" s="260"/>
      <c r="L371" s="260"/>
      <c r="M371" s="260"/>
      <c r="N371" s="260"/>
      <c r="O371" s="260"/>
      <c r="P371" s="260"/>
      <c r="Q371" s="260"/>
      <c r="R371" s="260"/>
      <c r="S371" s="260"/>
      <c r="T371" s="260"/>
      <c r="U371" s="260"/>
      <c r="V371" s="260"/>
      <c r="W371" s="260"/>
      <c r="X371" s="260"/>
      <c r="Y371" s="260"/>
      <c r="Z371" s="260"/>
      <c r="AA371" s="260"/>
      <c r="AB371" s="260"/>
      <c r="AC371" s="260"/>
      <c r="AD371" s="260"/>
    </row>
    <row r="372" spans="1:30" ht="15" thickBot="1">
      <c r="A372" s="260"/>
      <c r="B372" s="260"/>
      <c r="C372" s="260"/>
      <c r="D372" s="260"/>
      <c r="E372" s="260"/>
      <c r="F372" s="260"/>
      <c r="G372" s="260"/>
      <c r="H372" s="260"/>
      <c r="I372" s="260"/>
      <c r="J372" s="260"/>
      <c r="K372" s="260"/>
      <c r="L372" s="260"/>
      <c r="M372" s="260"/>
      <c r="N372" s="260"/>
      <c r="O372" s="260"/>
      <c r="P372" s="260"/>
      <c r="Q372" s="260"/>
      <c r="R372" s="260"/>
      <c r="S372" s="260"/>
      <c r="T372" s="260"/>
      <c r="U372" s="260"/>
      <c r="V372" s="260"/>
      <c r="W372" s="260"/>
      <c r="X372" s="260"/>
      <c r="Y372" s="260"/>
      <c r="Z372" s="260"/>
      <c r="AA372" s="260"/>
      <c r="AB372" s="260"/>
      <c r="AC372" s="260"/>
      <c r="AD372" s="260"/>
    </row>
    <row r="373" spans="1:30" ht="15" thickBot="1">
      <c r="A373" s="260"/>
      <c r="B373" s="260"/>
      <c r="C373" s="260"/>
      <c r="D373" s="260"/>
      <c r="E373" s="260"/>
      <c r="F373" s="260"/>
      <c r="G373" s="260"/>
      <c r="H373" s="260"/>
      <c r="I373" s="260"/>
      <c r="J373" s="260"/>
      <c r="K373" s="260"/>
      <c r="L373" s="260"/>
      <c r="M373" s="260"/>
      <c r="N373" s="260"/>
      <c r="O373" s="260"/>
      <c r="P373" s="260"/>
      <c r="Q373" s="260"/>
      <c r="R373" s="260"/>
      <c r="S373" s="260"/>
      <c r="T373" s="260"/>
      <c r="U373" s="260"/>
      <c r="V373" s="260"/>
      <c r="W373" s="260"/>
      <c r="X373" s="260"/>
      <c r="Y373" s="260"/>
      <c r="Z373" s="260"/>
      <c r="AA373" s="260"/>
      <c r="AB373" s="260"/>
      <c r="AC373" s="260"/>
      <c r="AD373" s="260"/>
    </row>
    <row r="374" spans="1:30" ht="15" thickBot="1">
      <c r="A374" s="260"/>
      <c r="B374" s="260"/>
      <c r="C374" s="260"/>
      <c r="D374" s="260"/>
      <c r="E374" s="260"/>
      <c r="F374" s="260"/>
      <c r="G374" s="260"/>
      <c r="H374" s="260"/>
      <c r="I374" s="260"/>
      <c r="J374" s="260"/>
      <c r="K374" s="260"/>
      <c r="L374" s="260"/>
      <c r="M374" s="260"/>
      <c r="N374" s="260"/>
      <c r="O374" s="260"/>
      <c r="P374" s="260"/>
      <c r="Q374" s="260"/>
      <c r="R374" s="260"/>
      <c r="S374" s="260"/>
      <c r="T374" s="260"/>
      <c r="U374" s="260"/>
      <c r="V374" s="260"/>
      <c r="W374" s="260"/>
      <c r="X374" s="260"/>
      <c r="Y374" s="260"/>
      <c r="Z374" s="260"/>
      <c r="AA374" s="260"/>
      <c r="AB374" s="260"/>
      <c r="AC374" s="260"/>
      <c r="AD374" s="260"/>
    </row>
    <row r="375" spans="1:30" ht="15" thickBot="1">
      <c r="A375" s="260"/>
      <c r="B375" s="260"/>
      <c r="C375" s="260"/>
      <c r="D375" s="260"/>
      <c r="E375" s="260"/>
      <c r="F375" s="260"/>
      <c r="G375" s="260"/>
      <c r="H375" s="260"/>
      <c r="I375" s="260"/>
      <c r="J375" s="260"/>
      <c r="K375" s="260"/>
      <c r="L375" s="260"/>
      <c r="M375" s="260"/>
      <c r="N375" s="260"/>
      <c r="O375" s="260"/>
      <c r="P375" s="260"/>
      <c r="Q375" s="260"/>
      <c r="R375" s="260"/>
      <c r="S375" s="260"/>
      <c r="T375" s="260"/>
      <c r="U375" s="260"/>
      <c r="V375" s="260"/>
      <c r="W375" s="260"/>
      <c r="X375" s="260"/>
      <c r="Y375" s="260"/>
      <c r="Z375" s="260"/>
      <c r="AA375" s="260"/>
      <c r="AB375" s="260"/>
      <c r="AC375" s="260"/>
      <c r="AD375" s="260"/>
    </row>
    <row r="376" spans="1:30" ht="15" thickBot="1">
      <c r="A376" s="260"/>
      <c r="B376" s="260"/>
      <c r="C376" s="260"/>
      <c r="D376" s="260"/>
      <c r="E376" s="260"/>
      <c r="F376" s="260"/>
      <c r="G376" s="260"/>
      <c r="H376" s="260"/>
      <c r="I376" s="260"/>
      <c r="J376" s="260"/>
      <c r="K376" s="260"/>
      <c r="L376" s="260"/>
      <c r="M376" s="260"/>
      <c r="N376" s="260"/>
      <c r="O376" s="260"/>
      <c r="P376" s="260"/>
      <c r="Q376" s="260"/>
      <c r="R376" s="260"/>
      <c r="S376" s="260"/>
      <c r="T376" s="260"/>
      <c r="U376" s="260"/>
      <c r="V376" s="260"/>
      <c r="W376" s="260"/>
      <c r="X376" s="260"/>
      <c r="Y376" s="260"/>
      <c r="Z376" s="260"/>
      <c r="AA376" s="260"/>
      <c r="AB376" s="260"/>
      <c r="AC376" s="260"/>
      <c r="AD376" s="260"/>
    </row>
    <row r="377" spans="1:30" ht="15" thickBot="1">
      <c r="A377" s="260"/>
      <c r="B377" s="260"/>
      <c r="C377" s="260"/>
      <c r="D377" s="260"/>
      <c r="E377" s="260"/>
      <c r="F377" s="260"/>
      <c r="G377" s="260"/>
      <c r="H377" s="260"/>
      <c r="I377" s="260"/>
      <c r="J377" s="260"/>
      <c r="K377" s="260"/>
      <c r="L377" s="260"/>
      <c r="M377" s="260"/>
      <c r="N377" s="260"/>
      <c r="O377" s="260"/>
      <c r="P377" s="260"/>
      <c r="Q377" s="260"/>
      <c r="R377" s="260"/>
      <c r="S377" s="260"/>
      <c r="T377" s="260"/>
      <c r="U377" s="260"/>
      <c r="V377" s="260"/>
      <c r="W377" s="260"/>
      <c r="X377" s="260"/>
      <c r="Y377" s="260"/>
      <c r="Z377" s="260"/>
      <c r="AA377" s="260"/>
      <c r="AB377" s="260"/>
      <c r="AC377" s="260"/>
      <c r="AD377" s="260"/>
    </row>
    <row r="378" spans="1:30" ht="15" thickBot="1">
      <c r="A378" s="260"/>
      <c r="B378" s="260"/>
      <c r="C378" s="260"/>
      <c r="D378" s="260"/>
      <c r="E378" s="260"/>
      <c r="F378" s="260"/>
      <c r="G378" s="260"/>
      <c r="H378" s="260"/>
      <c r="I378" s="260"/>
      <c r="J378" s="260"/>
      <c r="K378" s="260"/>
      <c r="L378" s="260"/>
      <c r="M378" s="260"/>
      <c r="N378" s="260"/>
      <c r="O378" s="260"/>
      <c r="P378" s="260"/>
      <c r="Q378" s="260"/>
      <c r="R378" s="260"/>
      <c r="S378" s="260"/>
      <c r="T378" s="260"/>
      <c r="U378" s="260"/>
      <c r="V378" s="260"/>
      <c r="W378" s="260"/>
      <c r="X378" s="260"/>
      <c r="Y378" s="260"/>
      <c r="Z378" s="260"/>
      <c r="AA378" s="260"/>
      <c r="AB378" s="260"/>
      <c r="AC378" s="260"/>
      <c r="AD378" s="260"/>
    </row>
    <row r="379" spans="1:30" ht="15" thickBot="1">
      <c r="A379" s="260"/>
      <c r="B379" s="260"/>
      <c r="C379" s="260"/>
      <c r="D379" s="260"/>
      <c r="E379" s="260"/>
      <c r="F379" s="260"/>
      <c r="G379" s="260"/>
      <c r="H379" s="260"/>
      <c r="I379" s="260"/>
      <c r="J379" s="260"/>
      <c r="K379" s="260"/>
      <c r="L379" s="260"/>
      <c r="M379" s="260"/>
      <c r="N379" s="260"/>
      <c r="O379" s="260"/>
      <c r="P379" s="260"/>
      <c r="Q379" s="260"/>
      <c r="R379" s="260"/>
      <c r="S379" s="260"/>
      <c r="T379" s="260"/>
      <c r="U379" s="260"/>
      <c r="V379" s="260"/>
      <c r="W379" s="260"/>
      <c r="X379" s="260"/>
      <c r="Y379" s="260"/>
      <c r="Z379" s="260"/>
      <c r="AA379" s="260"/>
      <c r="AB379" s="260"/>
      <c r="AC379" s="260"/>
      <c r="AD379" s="260"/>
    </row>
    <row r="380" spans="1:30" ht="15" thickBot="1">
      <c r="A380" s="260"/>
      <c r="B380" s="260"/>
      <c r="C380" s="260"/>
      <c r="D380" s="260"/>
      <c r="E380" s="260"/>
      <c r="F380" s="260"/>
      <c r="G380" s="260"/>
      <c r="H380" s="260"/>
      <c r="I380" s="260"/>
      <c r="J380" s="260"/>
      <c r="K380" s="260"/>
      <c r="L380" s="260"/>
      <c r="M380" s="260"/>
      <c r="N380" s="260"/>
      <c r="O380" s="260"/>
      <c r="P380" s="260"/>
      <c r="Q380" s="260"/>
      <c r="R380" s="260"/>
      <c r="S380" s="260"/>
      <c r="T380" s="260"/>
      <c r="U380" s="260"/>
      <c r="V380" s="260"/>
      <c r="W380" s="260"/>
      <c r="X380" s="260"/>
      <c r="Y380" s="260"/>
      <c r="Z380" s="260"/>
      <c r="AA380" s="260"/>
      <c r="AB380" s="260"/>
      <c r="AC380" s="260"/>
      <c r="AD380" s="260"/>
    </row>
    <row r="381" spans="1:30" ht="15" thickBot="1">
      <c r="A381" s="260"/>
      <c r="B381" s="260"/>
      <c r="C381" s="260"/>
      <c r="D381" s="260"/>
      <c r="E381" s="260"/>
      <c r="F381" s="260"/>
      <c r="G381" s="260"/>
      <c r="H381" s="260"/>
      <c r="I381" s="260"/>
      <c r="J381" s="260"/>
      <c r="K381" s="260"/>
      <c r="L381" s="260"/>
      <c r="M381" s="260"/>
      <c r="N381" s="260"/>
      <c r="O381" s="260"/>
      <c r="P381" s="260"/>
      <c r="Q381" s="260"/>
      <c r="R381" s="260"/>
      <c r="S381" s="260"/>
      <c r="T381" s="260"/>
      <c r="U381" s="260"/>
      <c r="V381" s="260"/>
      <c r="W381" s="260"/>
      <c r="X381" s="260"/>
      <c r="Y381" s="260"/>
      <c r="Z381" s="260"/>
      <c r="AA381" s="260"/>
      <c r="AB381" s="260"/>
      <c r="AC381" s="260"/>
      <c r="AD381" s="260"/>
    </row>
    <row r="382" spans="1:30" ht="15" thickBot="1">
      <c r="A382" s="260"/>
      <c r="B382" s="260"/>
      <c r="C382" s="260"/>
      <c r="D382" s="260"/>
      <c r="E382" s="260"/>
      <c r="F382" s="260"/>
      <c r="G382" s="260"/>
      <c r="H382" s="260"/>
      <c r="I382" s="260"/>
      <c r="J382" s="260"/>
      <c r="K382" s="260"/>
      <c r="L382" s="260"/>
      <c r="M382" s="260"/>
      <c r="N382" s="260"/>
      <c r="O382" s="260"/>
      <c r="P382" s="260"/>
      <c r="Q382" s="260"/>
      <c r="R382" s="260"/>
      <c r="S382" s="260"/>
      <c r="T382" s="260"/>
      <c r="U382" s="260"/>
      <c r="V382" s="260"/>
      <c r="W382" s="260"/>
      <c r="X382" s="260"/>
      <c r="Y382" s="260"/>
      <c r="Z382" s="260"/>
      <c r="AA382" s="260"/>
      <c r="AB382" s="260"/>
      <c r="AC382" s="260"/>
      <c r="AD382" s="260"/>
    </row>
    <row r="383" spans="1:30" ht="15" thickBot="1">
      <c r="A383" s="260"/>
      <c r="B383" s="260"/>
      <c r="C383" s="260"/>
      <c r="D383" s="260"/>
      <c r="E383" s="260"/>
      <c r="F383" s="260"/>
      <c r="G383" s="260"/>
      <c r="H383" s="260"/>
      <c r="I383" s="260"/>
      <c r="J383" s="260"/>
      <c r="K383" s="260"/>
      <c r="L383" s="260"/>
      <c r="M383" s="260"/>
      <c r="N383" s="260"/>
      <c r="O383" s="260"/>
      <c r="P383" s="260"/>
      <c r="Q383" s="260"/>
      <c r="R383" s="260"/>
      <c r="S383" s="260"/>
      <c r="T383" s="260"/>
      <c r="U383" s="260"/>
      <c r="V383" s="260"/>
      <c r="W383" s="260"/>
      <c r="X383" s="260"/>
      <c r="Y383" s="260"/>
      <c r="Z383" s="260"/>
      <c r="AA383" s="260"/>
      <c r="AB383" s="260"/>
      <c r="AC383" s="260"/>
      <c r="AD383" s="260"/>
    </row>
    <row r="384" spans="1:30" ht="15" thickBot="1">
      <c r="A384" s="260"/>
      <c r="B384" s="260"/>
      <c r="C384" s="260"/>
      <c r="D384" s="260"/>
      <c r="E384" s="260"/>
      <c r="F384" s="260"/>
      <c r="G384" s="260"/>
      <c r="H384" s="260"/>
      <c r="I384" s="260"/>
      <c r="J384" s="260"/>
      <c r="K384" s="260"/>
      <c r="L384" s="260"/>
      <c r="M384" s="260"/>
      <c r="N384" s="260"/>
      <c r="O384" s="260"/>
      <c r="P384" s="260"/>
      <c r="Q384" s="260"/>
      <c r="R384" s="260"/>
      <c r="S384" s="260"/>
      <c r="T384" s="260"/>
      <c r="U384" s="260"/>
      <c r="V384" s="260"/>
      <c r="W384" s="260"/>
      <c r="X384" s="260"/>
      <c r="Y384" s="260"/>
      <c r="Z384" s="260"/>
      <c r="AA384" s="260"/>
      <c r="AB384" s="260"/>
      <c r="AC384" s="260"/>
      <c r="AD384" s="260"/>
    </row>
    <row r="385" spans="1:30" ht="15" thickBot="1">
      <c r="A385" s="260"/>
      <c r="B385" s="260"/>
      <c r="C385" s="260"/>
      <c r="D385" s="260"/>
      <c r="E385" s="260"/>
      <c r="F385" s="260"/>
      <c r="G385" s="260"/>
      <c r="H385" s="260"/>
      <c r="I385" s="260"/>
      <c r="J385" s="260"/>
      <c r="K385" s="260"/>
      <c r="L385" s="260"/>
      <c r="M385" s="260"/>
      <c r="N385" s="260"/>
      <c r="O385" s="260"/>
      <c r="P385" s="260"/>
      <c r="Q385" s="260"/>
      <c r="R385" s="260"/>
      <c r="S385" s="260"/>
      <c r="T385" s="260"/>
      <c r="U385" s="260"/>
      <c r="V385" s="260"/>
      <c r="W385" s="260"/>
      <c r="X385" s="260"/>
      <c r="Y385" s="260"/>
      <c r="Z385" s="260"/>
      <c r="AA385" s="260"/>
      <c r="AB385" s="260"/>
      <c r="AC385" s="260"/>
      <c r="AD385" s="260"/>
    </row>
    <row r="386" spans="1:30" ht="15" thickBot="1">
      <c r="A386" s="260"/>
      <c r="B386" s="260"/>
      <c r="C386" s="260"/>
      <c r="D386" s="260"/>
      <c r="E386" s="260"/>
      <c r="F386" s="260"/>
      <c r="G386" s="260"/>
      <c r="H386" s="260"/>
      <c r="I386" s="260"/>
      <c r="J386" s="260"/>
      <c r="K386" s="260"/>
      <c r="L386" s="260"/>
      <c r="M386" s="260"/>
      <c r="N386" s="260"/>
      <c r="O386" s="260"/>
      <c r="P386" s="260"/>
      <c r="Q386" s="260"/>
      <c r="R386" s="260"/>
      <c r="S386" s="260"/>
      <c r="T386" s="260"/>
      <c r="U386" s="260"/>
      <c r="V386" s="260"/>
      <c r="W386" s="260"/>
      <c r="X386" s="260"/>
      <c r="Y386" s="260"/>
      <c r="Z386" s="260"/>
      <c r="AA386" s="260"/>
      <c r="AB386" s="260"/>
      <c r="AC386" s="260"/>
      <c r="AD386" s="260"/>
    </row>
    <row r="387" spans="1:30" ht="15" thickBot="1">
      <c r="A387" s="260"/>
      <c r="B387" s="260"/>
      <c r="C387" s="260"/>
      <c r="D387" s="260"/>
      <c r="E387" s="260"/>
      <c r="F387" s="260"/>
      <c r="G387" s="260"/>
      <c r="H387" s="260"/>
      <c r="I387" s="260"/>
      <c r="J387" s="260"/>
      <c r="K387" s="260"/>
      <c r="L387" s="260"/>
      <c r="M387" s="260"/>
      <c r="N387" s="260"/>
      <c r="O387" s="260"/>
      <c r="P387" s="260"/>
      <c r="Q387" s="260"/>
      <c r="R387" s="260"/>
      <c r="S387" s="260"/>
      <c r="T387" s="260"/>
      <c r="U387" s="260"/>
      <c r="V387" s="260"/>
      <c r="W387" s="260"/>
      <c r="X387" s="260"/>
      <c r="Y387" s="260"/>
      <c r="Z387" s="260"/>
      <c r="AA387" s="260"/>
      <c r="AB387" s="260"/>
      <c r="AC387" s="260"/>
      <c r="AD387" s="260"/>
    </row>
    <row r="388" spans="1:30" ht="15" thickBot="1">
      <c r="A388" s="260"/>
      <c r="B388" s="260"/>
      <c r="C388" s="260"/>
      <c r="D388" s="260"/>
      <c r="E388" s="260"/>
      <c r="F388" s="260"/>
      <c r="G388" s="260"/>
      <c r="H388" s="260"/>
      <c r="I388" s="260"/>
      <c r="J388" s="260"/>
      <c r="K388" s="260"/>
      <c r="L388" s="260"/>
      <c r="M388" s="260"/>
      <c r="N388" s="260"/>
      <c r="O388" s="260"/>
      <c r="P388" s="260"/>
      <c r="Q388" s="260"/>
      <c r="R388" s="260"/>
      <c r="S388" s="260"/>
      <c r="T388" s="260"/>
      <c r="U388" s="260"/>
      <c r="V388" s="260"/>
      <c r="W388" s="260"/>
      <c r="X388" s="260"/>
      <c r="Y388" s="260"/>
      <c r="Z388" s="260"/>
      <c r="AA388" s="260"/>
      <c r="AB388" s="260"/>
      <c r="AC388" s="260"/>
      <c r="AD388" s="260"/>
    </row>
    <row r="389" spans="1:30" ht="15" thickBot="1">
      <c r="A389" s="260"/>
      <c r="B389" s="260"/>
      <c r="C389" s="260"/>
      <c r="D389" s="260"/>
      <c r="E389" s="260"/>
      <c r="F389" s="260"/>
      <c r="G389" s="260"/>
      <c r="H389" s="260"/>
      <c r="I389" s="260"/>
      <c r="J389" s="260"/>
      <c r="K389" s="260"/>
      <c r="L389" s="260"/>
      <c r="M389" s="260"/>
      <c r="N389" s="260"/>
      <c r="O389" s="260"/>
      <c r="P389" s="260"/>
      <c r="Q389" s="260"/>
      <c r="R389" s="260"/>
      <c r="S389" s="260"/>
      <c r="T389" s="260"/>
      <c r="U389" s="260"/>
      <c r="V389" s="260"/>
      <c r="W389" s="260"/>
      <c r="X389" s="260"/>
      <c r="Y389" s="260"/>
      <c r="Z389" s="260"/>
      <c r="AA389" s="260"/>
      <c r="AB389" s="260"/>
      <c r="AC389" s="260"/>
      <c r="AD389" s="260"/>
    </row>
    <row r="390" spans="1:30" ht="15" thickBot="1">
      <c r="A390" s="260"/>
      <c r="B390" s="260"/>
      <c r="C390" s="260"/>
      <c r="D390" s="260"/>
      <c r="E390" s="260"/>
      <c r="F390" s="260"/>
      <c r="G390" s="260"/>
      <c r="H390" s="260"/>
      <c r="I390" s="260"/>
      <c r="J390" s="260"/>
      <c r="K390" s="260"/>
      <c r="L390" s="260"/>
      <c r="M390" s="260"/>
      <c r="N390" s="260"/>
      <c r="O390" s="260"/>
      <c r="P390" s="260"/>
      <c r="Q390" s="260"/>
      <c r="R390" s="260"/>
      <c r="S390" s="260"/>
      <c r="T390" s="260"/>
      <c r="U390" s="260"/>
      <c r="V390" s="260"/>
      <c r="W390" s="260"/>
      <c r="X390" s="260"/>
      <c r="Y390" s="260"/>
      <c r="Z390" s="260"/>
      <c r="AA390" s="260"/>
      <c r="AB390" s="260"/>
      <c r="AC390" s="260"/>
      <c r="AD390" s="260"/>
    </row>
    <row r="391" spans="1:30" ht="15" thickBot="1">
      <c r="A391" s="260"/>
      <c r="B391" s="260"/>
      <c r="C391" s="260"/>
      <c r="D391" s="260"/>
      <c r="E391" s="260"/>
      <c r="F391" s="260"/>
      <c r="G391" s="260"/>
      <c r="H391" s="260"/>
      <c r="I391" s="260"/>
      <c r="J391" s="260"/>
      <c r="K391" s="260"/>
      <c r="L391" s="260"/>
      <c r="M391" s="260"/>
      <c r="N391" s="260"/>
      <c r="O391" s="260"/>
      <c r="P391" s="260"/>
      <c r="Q391" s="260"/>
      <c r="R391" s="260"/>
      <c r="S391" s="260"/>
      <c r="T391" s="260"/>
      <c r="U391" s="260"/>
      <c r="V391" s="260"/>
      <c r="W391" s="260"/>
      <c r="X391" s="260"/>
      <c r="Y391" s="260"/>
      <c r="Z391" s="260"/>
      <c r="AA391" s="260"/>
      <c r="AB391" s="260"/>
      <c r="AC391" s="260"/>
      <c r="AD391" s="260"/>
    </row>
    <row r="392" spans="1:30" ht="15" thickBot="1">
      <c r="A392" s="260"/>
      <c r="B392" s="260"/>
      <c r="C392" s="260"/>
      <c r="D392" s="260"/>
      <c r="E392" s="260"/>
      <c r="F392" s="260"/>
      <c r="G392" s="260"/>
      <c r="H392" s="260"/>
      <c r="I392" s="260"/>
      <c r="J392" s="260"/>
      <c r="K392" s="260"/>
      <c r="L392" s="260"/>
      <c r="M392" s="260"/>
      <c r="N392" s="260"/>
      <c r="O392" s="260"/>
      <c r="P392" s="260"/>
      <c r="Q392" s="260"/>
      <c r="R392" s="260"/>
      <c r="S392" s="260"/>
      <c r="T392" s="260"/>
      <c r="U392" s="260"/>
      <c r="V392" s="260"/>
      <c r="W392" s="260"/>
      <c r="X392" s="260"/>
      <c r="Y392" s="260"/>
      <c r="Z392" s="260"/>
      <c r="AA392" s="260"/>
      <c r="AB392" s="260"/>
      <c r="AC392" s="260"/>
      <c r="AD392" s="260"/>
    </row>
    <row r="393" spans="1:30" ht="15" thickBot="1">
      <c r="A393" s="260"/>
      <c r="B393" s="260"/>
      <c r="C393" s="260"/>
      <c r="D393" s="260"/>
      <c r="E393" s="260"/>
      <c r="F393" s="260"/>
      <c r="G393" s="260"/>
      <c r="H393" s="260"/>
      <c r="I393" s="260"/>
      <c r="J393" s="260"/>
      <c r="K393" s="260"/>
      <c r="L393" s="260"/>
      <c r="M393" s="260"/>
      <c r="N393" s="260"/>
      <c r="O393" s="260"/>
      <c r="P393" s="260"/>
      <c r="Q393" s="260"/>
      <c r="R393" s="260"/>
      <c r="S393" s="260"/>
      <c r="T393" s="260"/>
      <c r="U393" s="260"/>
      <c r="V393" s="260"/>
      <c r="W393" s="260"/>
      <c r="X393" s="260"/>
      <c r="Y393" s="260"/>
      <c r="Z393" s="260"/>
      <c r="AA393" s="260"/>
      <c r="AB393" s="260"/>
      <c r="AC393" s="260"/>
      <c r="AD393" s="260"/>
    </row>
    <row r="394" spans="1:30" ht="15" thickBot="1">
      <c r="A394" s="260"/>
      <c r="B394" s="260"/>
      <c r="C394" s="260"/>
      <c r="D394" s="260"/>
      <c r="E394" s="260"/>
      <c r="F394" s="260"/>
      <c r="G394" s="260"/>
      <c r="H394" s="260"/>
      <c r="I394" s="260"/>
      <c r="J394" s="260"/>
      <c r="K394" s="260"/>
      <c r="L394" s="260"/>
      <c r="M394" s="260"/>
      <c r="N394" s="260"/>
      <c r="O394" s="260"/>
      <c r="P394" s="260"/>
      <c r="Q394" s="260"/>
      <c r="R394" s="260"/>
      <c r="S394" s="260"/>
      <c r="T394" s="260"/>
      <c r="U394" s="260"/>
      <c r="V394" s="260"/>
      <c r="W394" s="260"/>
      <c r="X394" s="260"/>
      <c r="Y394" s="260"/>
      <c r="Z394" s="260"/>
      <c r="AA394" s="260"/>
      <c r="AB394" s="260"/>
      <c r="AC394" s="260"/>
      <c r="AD394" s="260"/>
    </row>
    <row r="395" spans="1:30" ht="15" thickBot="1">
      <c r="A395" s="260"/>
      <c r="B395" s="260"/>
      <c r="C395" s="260"/>
      <c r="D395" s="260"/>
      <c r="E395" s="260"/>
      <c r="F395" s="260"/>
      <c r="G395" s="260"/>
      <c r="H395" s="260"/>
      <c r="I395" s="260"/>
      <c r="J395" s="260"/>
      <c r="K395" s="260"/>
      <c r="L395" s="260"/>
      <c r="M395" s="260"/>
      <c r="N395" s="260"/>
      <c r="O395" s="260"/>
      <c r="P395" s="260"/>
      <c r="Q395" s="260"/>
      <c r="R395" s="260"/>
      <c r="S395" s="260"/>
      <c r="T395" s="260"/>
      <c r="U395" s="260"/>
      <c r="V395" s="260"/>
      <c r="W395" s="260"/>
      <c r="X395" s="260"/>
      <c r="Y395" s="260"/>
      <c r="Z395" s="260"/>
      <c r="AA395" s="260"/>
      <c r="AB395" s="260"/>
      <c r="AC395" s="260"/>
      <c r="AD395" s="260"/>
    </row>
    <row r="396" spans="1:30" ht="15" thickBot="1">
      <c r="A396" s="260"/>
      <c r="B396" s="260"/>
      <c r="C396" s="260"/>
      <c r="D396" s="260"/>
      <c r="E396" s="260"/>
      <c r="F396" s="260"/>
      <c r="G396" s="260"/>
      <c r="H396" s="260"/>
      <c r="I396" s="260"/>
      <c r="J396" s="260"/>
      <c r="K396" s="260"/>
      <c r="L396" s="260"/>
      <c r="M396" s="260"/>
      <c r="N396" s="260"/>
      <c r="O396" s="260"/>
      <c r="P396" s="260"/>
      <c r="Q396" s="260"/>
      <c r="R396" s="260"/>
      <c r="S396" s="260"/>
      <c r="T396" s="260"/>
      <c r="U396" s="260"/>
      <c r="V396" s="260"/>
      <c r="W396" s="260"/>
      <c r="X396" s="260"/>
      <c r="Y396" s="260"/>
      <c r="Z396" s="260"/>
      <c r="AA396" s="260"/>
      <c r="AB396" s="260"/>
      <c r="AC396" s="260"/>
      <c r="AD396" s="260"/>
    </row>
    <row r="397" spans="1:30" ht="15" thickBot="1">
      <c r="A397" s="260"/>
      <c r="B397" s="260"/>
      <c r="C397" s="260"/>
      <c r="D397" s="260"/>
      <c r="E397" s="260"/>
      <c r="F397" s="260"/>
      <c r="G397" s="260"/>
      <c r="H397" s="260"/>
      <c r="I397" s="260"/>
      <c r="J397" s="260"/>
      <c r="K397" s="260"/>
      <c r="L397" s="260"/>
      <c r="M397" s="260"/>
      <c r="N397" s="260"/>
      <c r="O397" s="260"/>
      <c r="P397" s="260"/>
      <c r="Q397" s="260"/>
      <c r="R397" s="260"/>
      <c r="S397" s="260"/>
      <c r="T397" s="260"/>
      <c r="U397" s="260"/>
      <c r="V397" s="260"/>
      <c r="W397" s="260"/>
      <c r="X397" s="260"/>
      <c r="Y397" s="260"/>
      <c r="Z397" s="260"/>
      <c r="AA397" s="260"/>
      <c r="AB397" s="260"/>
      <c r="AC397" s="260"/>
      <c r="AD397" s="260"/>
    </row>
    <row r="398" spans="1:30" ht="15" thickBot="1">
      <c r="A398" s="260"/>
      <c r="B398" s="260"/>
      <c r="C398" s="260"/>
      <c r="D398" s="260"/>
      <c r="E398" s="260"/>
      <c r="F398" s="260"/>
      <c r="G398" s="260"/>
      <c r="H398" s="260"/>
      <c r="I398" s="260"/>
      <c r="J398" s="260"/>
      <c r="K398" s="260"/>
      <c r="L398" s="260"/>
      <c r="M398" s="260"/>
      <c r="N398" s="260"/>
      <c r="O398" s="260"/>
      <c r="P398" s="260"/>
      <c r="Q398" s="260"/>
      <c r="R398" s="260"/>
      <c r="S398" s="260"/>
      <c r="T398" s="260"/>
      <c r="U398" s="260"/>
      <c r="V398" s="260"/>
      <c r="W398" s="260"/>
      <c r="X398" s="260"/>
      <c r="Y398" s="260"/>
      <c r="Z398" s="260"/>
      <c r="AA398" s="260"/>
      <c r="AB398" s="260"/>
      <c r="AC398" s="260"/>
      <c r="AD398" s="260"/>
    </row>
    <row r="399" spans="1:30" ht="15" thickBot="1">
      <c r="A399" s="260"/>
      <c r="B399" s="260"/>
      <c r="C399" s="260"/>
      <c r="D399" s="260"/>
      <c r="E399" s="260"/>
      <c r="F399" s="260"/>
      <c r="G399" s="260"/>
      <c r="H399" s="260"/>
      <c r="I399" s="260"/>
      <c r="J399" s="260"/>
      <c r="K399" s="260"/>
      <c r="L399" s="260"/>
      <c r="M399" s="260"/>
      <c r="N399" s="260"/>
      <c r="O399" s="260"/>
      <c r="P399" s="260"/>
      <c r="Q399" s="260"/>
      <c r="R399" s="260"/>
      <c r="S399" s="260"/>
      <c r="T399" s="260"/>
      <c r="U399" s="260"/>
      <c r="V399" s="260"/>
      <c r="W399" s="260"/>
      <c r="X399" s="260"/>
      <c r="Y399" s="260"/>
      <c r="Z399" s="260"/>
      <c r="AA399" s="260"/>
      <c r="AB399" s="260"/>
      <c r="AC399" s="260"/>
      <c r="AD399" s="260"/>
    </row>
    <row r="400" spans="1:30" ht="15" thickBot="1">
      <c r="A400" s="260"/>
      <c r="B400" s="260"/>
      <c r="C400" s="260"/>
      <c r="D400" s="260"/>
      <c r="E400" s="260"/>
      <c r="F400" s="260"/>
      <c r="G400" s="260"/>
      <c r="H400" s="260"/>
      <c r="I400" s="260"/>
      <c r="J400" s="260"/>
      <c r="K400" s="260"/>
      <c r="L400" s="260"/>
      <c r="M400" s="260"/>
      <c r="N400" s="260"/>
      <c r="O400" s="260"/>
      <c r="P400" s="260"/>
      <c r="Q400" s="260"/>
      <c r="R400" s="260"/>
      <c r="S400" s="260"/>
      <c r="T400" s="260"/>
      <c r="U400" s="260"/>
      <c r="V400" s="260"/>
      <c r="W400" s="260"/>
      <c r="X400" s="260"/>
      <c r="Y400" s="260"/>
      <c r="Z400" s="260"/>
      <c r="AA400" s="260"/>
      <c r="AB400" s="260"/>
      <c r="AC400" s="260"/>
      <c r="AD400" s="260"/>
    </row>
    <row r="401" spans="1:30" ht="15" thickBot="1">
      <c r="A401" s="260"/>
      <c r="B401" s="260"/>
      <c r="C401" s="260"/>
      <c r="D401" s="260"/>
      <c r="E401" s="260"/>
      <c r="F401" s="260"/>
      <c r="G401" s="260"/>
      <c r="H401" s="260"/>
      <c r="I401" s="260"/>
      <c r="J401" s="260"/>
      <c r="K401" s="260"/>
      <c r="L401" s="260"/>
      <c r="M401" s="260"/>
      <c r="N401" s="260"/>
      <c r="O401" s="260"/>
      <c r="P401" s="260"/>
      <c r="Q401" s="260"/>
      <c r="R401" s="260"/>
      <c r="S401" s="260"/>
      <c r="T401" s="260"/>
      <c r="U401" s="260"/>
      <c r="V401" s="260"/>
      <c r="W401" s="260"/>
      <c r="X401" s="260"/>
      <c r="Y401" s="260"/>
      <c r="Z401" s="260"/>
      <c r="AA401" s="260"/>
      <c r="AB401" s="260"/>
      <c r="AC401" s="260"/>
      <c r="AD401" s="260"/>
    </row>
    <row r="402" spans="1:30" ht="15" thickBot="1">
      <c r="A402" s="260"/>
      <c r="B402" s="260"/>
      <c r="C402" s="260"/>
      <c r="D402" s="260"/>
      <c r="E402" s="260"/>
      <c r="F402" s="260"/>
      <c r="G402" s="260"/>
      <c r="H402" s="260"/>
      <c r="I402" s="260"/>
      <c r="J402" s="260"/>
      <c r="K402" s="260"/>
      <c r="L402" s="260"/>
      <c r="M402" s="260"/>
      <c r="N402" s="260"/>
      <c r="O402" s="260"/>
      <c r="P402" s="260"/>
      <c r="Q402" s="260"/>
      <c r="R402" s="260"/>
      <c r="S402" s="260"/>
      <c r="T402" s="260"/>
      <c r="U402" s="260"/>
      <c r="V402" s="260"/>
      <c r="W402" s="260"/>
      <c r="X402" s="260"/>
      <c r="Y402" s="260"/>
      <c r="Z402" s="260"/>
      <c r="AA402" s="260"/>
      <c r="AB402" s="260"/>
      <c r="AC402" s="260"/>
      <c r="AD402" s="260"/>
    </row>
    <row r="403" spans="1:30" ht="15" thickBot="1">
      <c r="A403" s="260"/>
      <c r="B403" s="260"/>
      <c r="C403" s="260"/>
      <c r="D403" s="260"/>
      <c r="E403" s="260"/>
      <c r="F403" s="260"/>
      <c r="G403" s="260"/>
      <c r="H403" s="260"/>
      <c r="I403" s="260"/>
      <c r="J403" s="260"/>
      <c r="K403" s="260"/>
      <c r="L403" s="260"/>
      <c r="M403" s="260"/>
      <c r="N403" s="260"/>
      <c r="O403" s="260"/>
      <c r="P403" s="260"/>
      <c r="Q403" s="260"/>
      <c r="R403" s="260"/>
      <c r="S403" s="260"/>
      <c r="T403" s="260"/>
      <c r="U403" s="260"/>
      <c r="V403" s="260"/>
      <c r="W403" s="260"/>
      <c r="X403" s="260"/>
      <c r="Y403" s="260"/>
      <c r="Z403" s="260"/>
      <c r="AA403" s="260"/>
      <c r="AB403" s="260"/>
      <c r="AC403" s="260"/>
      <c r="AD403" s="260"/>
    </row>
    <row r="404" spans="1:30" ht="15" thickBot="1">
      <c r="A404" s="260"/>
      <c r="B404" s="260"/>
      <c r="C404" s="260"/>
      <c r="D404" s="260"/>
      <c r="E404" s="260"/>
      <c r="F404" s="260"/>
      <c r="G404" s="260"/>
      <c r="H404" s="260"/>
      <c r="I404" s="260"/>
      <c r="J404" s="260"/>
      <c r="K404" s="260"/>
      <c r="L404" s="260"/>
      <c r="M404" s="260"/>
      <c r="N404" s="260"/>
      <c r="O404" s="260"/>
      <c r="P404" s="260"/>
      <c r="Q404" s="260"/>
      <c r="R404" s="260"/>
      <c r="S404" s="260"/>
      <c r="T404" s="260"/>
      <c r="U404" s="260"/>
      <c r="V404" s="260"/>
      <c r="W404" s="260"/>
      <c r="X404" s="260"/>
      <c r="Y404" s="260"/>
      <c r="Z404" s="260"/>
      <c r="AA404" s="260"/>
      <c r="AB404" s="260"/>
      <c r="AC404" s="260"/>
      <c r="AD404" s="260"/>
    </row>
    <row r="405" spans="1:30" ht="15" thickBot="1">
      <c r="A405" s="260"/>
      <c r="B405" s="260"/>
      <c r="C405" s="260"/>
      <c r="D405" s="260"/>
      <c r="E405" s="260"/>
      <c r="F405" s="260"/>
      <c r="G405" s="260"/>
      <c r="H405" s="260"/>
      <c r="I405" s="260"/>
      <c r="J405" s="260"/>
      <c r="K405" s="260"/>
      <c r="L405" s="260"/>
      <c r="M405" s="260"/>
      <c r="N405" s="260"/>
      <c r="O405" s="260"/>
      <c r="P405" s="260"/>
      <c r="Q405" s="260"/>
      <c r="R405" s="260"/>
      <c r="S405" s="260"/>
      <c r="T405" s="260"/>
      <c r="U405" s="260"/>
      <c r="V405" s="260"/>
      <c r="W405" s="260"/>
      <c r="X405" s="260"/>
      <c r="Y405" s="260"/>
      <c r="Z405" s="260"/>
      <c r="AA405" s="260"/>
      <c r="AB405" s="260"/>
      <c r="AC405" s="260"/>
      <c r="AD405" s="260"/>
    </row>
    <row r="406" spans="1:30" ht="15" thickBot="1">
      <c r="A406" s="260"/>
      <c r="B406" s="260"/>
      <c r="C406" s="260"/>
      <c r="D406" s="260"/>
      <c r="E406" s="260"/>
      <c r="F406" s="260"/>
      <c r="G406" s="260"/>
      <c r="H406" s="260"/>
      <c r="I406" s="260"/>
      <c r="J406" s="260"/>
      <c r="K406" s="260"/>
      <c r="L406" s="260"/>
      <c r="M406" s="260"/>
      <c r="N406" s="260"/>
      <c r="O406" s="260"/>
      <c r="P406" s="260"/>
      <c r="Q406" s="260"/>
      <c r="R406" s="260"/>
      <c r="S406" s="260"/>
      <c r="T406" s="260"/>
      <c r="U406" s="260"/>
      <c r="V406" s="260"/>
      <c r="W406" s="260"/>
      <c r="X406" s="260"/>
      <c r="Y406" s="260"/>
      <c r="Z406" s="260"/>
      <c r="AA406" s="260"/>
      <c r="AB406" s="260"/>
      <c r="AC406" s="260"/>
      <c r="AD406" s="260"/>
    </row>
    <row r="407" spans="1:30" ht="15" thickBot="1">
      <c r="A407" s="260"/>
      <c r="B407" s="260"/>
      <c r="C407" s="260"/>
      <c r="D407" s="260"/>
      <c r="E407" s="260"/>
      <c r="F407" s="260"/>
      <c r="G407" s="260"/>
      <c r="H407" s="260"/>
      <c r="I407" s="260"/>
      <c r="J407" s="260"/>
      <c r="K407" s="260"/>
      <c r="L407" s="260"/>
      <c r="M407" s="260"/>
      <c r="N407" s="260"/>
      <c r="O407" s="260"/>
      <c r="P407" s="260"/>
      <c r="Q407" s="260"/>
      <c r="R407" s="260"/>
      <c r="S407" s="260"/>
      <c r="T407" s="260"/>
      <c r="U407" s="260"/>
      <c r="V407" s="260"/>
      <c r="W407" s="260"/>
      <c r="X407" s="260"/>
      <c r="Y407" s="260"/>
      <c r="Z407" s="260"/>
      <c r="AA407" s="260"/>
      <c r="AB407" s="260"/>
      <c r="AC407" s="260"/>
      <c r="AD407" s="260"/>
    </row>
    <row r="408" spans="1:30" ht="15" thickBot="1">
      <c r="A408" s="260"/>
      <c r="B408" s="260"/>
      <c r="C408" s="260"/>
      <c r="D408" s="260"/>
      <c r="E408" s="260"/>
      <c r="F408" s="260"/>
      <c r="G408" s="260"/>
      <c r="H408" s="260"/>
      <c r="I408" s="260"/>
      <c r="J408" s="260"/>
      <c r="K408" s="260"/>
      <c r="L408" s="260"/>
      <c r="M408" s="260"/>
      <c r="N408" s="260"/>
      <c r="O408" s="260"/>
      <c r="P408" s="260"/>
      <c r="Q408" s="260"/>
      <c r="R408" s="260"/>
      <c r="S408" s="260"/>
      <c r="T408" s="260"/>
      <c r="U408" s="260"/>
      <c r="V408" s="260"/>
      <c r="W408" s="260"/>
      <c r="X408" s="260"/>
      <c r="Y408" s="260"/>
      <c r="Z408" s="260"/>
      <c r="AA408" s="260"/>
      <c r="AB408" s="260"/>
      <c r="AC408" s="260"/>
      <c r="AD408" s="260"/>
    </row>
    <row r="409" spans="1:30" ht="15" thickBot="1">
      <c r="A409" s="260"/>
      <c r="B409" s="260"/>
      <c r="C409" s="260"/>
      <c r="D409" s="260"/>
      <c r="E409" s="260"/>
      <c r="F409" s="260"/>
      <c r="G409" s="260"/>
      <c r="H409" s="260"/>
      <c r="I409" s="260"/>
      <c r="J409" s="260"/>
      <c r="K409" s="260"/>
      <c r="L409" s="260"/>
      <c r="M409" s="260"/>
      <c r="N409" s="260"/>
      <c r="O409" s="260"/>
      <c r="P409" s="260"/>
      <c r="Q409" s="260"/>
      <c r="R409" s="260"/>
      <c r="S409" s="260"/>
      <c r="T409" s="260"/>
      <c r="U409" s="260"/>
      <c r="V409" s="260"/>
      <c r="W409" s="260"/>
      <c r="X409" s="260"/>
      <c r="Y409" s="260"/>
      <c r="Z409" s="260"/>
      <c r="AA409" s="260"/>
      <c r="AB409" s="260"/>
      <c r="AC409" s="260"/>
      <c r="AD409" s="260"/>
    </row>
    <row r="410" spans="1:30" ht="15" thickBot="1">
      <c r="A410" s="260"/>
      <c r="B410" s="260"/>
      <c r="C410" s="260"/>
      <c r="D410" s="260"/>
      <c r="E410" s="260"/>
      <c r="F410" s="260"/>
      <c r="G410" s="260"/>
      <c r="H410" s="260"/>
      <c r="I410" s="260"/>
      <c r="J410" s="260"/>
      <c r="K410" s="260"/>
      <c r="L410" s="260"/>
      <c r="M410" s="260"/>
      <c r="N410" s="260"/>
      <c r="O410" s="260"/>
      <c r="P410" s="260"/>
      <c r="Q410" s="260"/>
      <c r="R410" s="260"/>
      <c r="S410" s="260"/>
      <c r="T410" s="260"/>
      <c r="U410" s="260"/>
      <c r="V410" s="260"/>
      <c r="W410" s="260"/>
      <c r="X410" s="260"/>
      <c r="Y410" s="260"/>
      <c r="Z410" s="260"/>
      <c r="AA410" s="260"/>
      <c r="AB410" s="260"/>
      <c r="AC410" s="260"/>
      <c r="AD410" s="260"/>
    </row>
    <row r="411" spans="1:30" ht="15" thickBot="1">
      <c r="A411" s="260"/>
      <c r="B411" s="260"/>
      <c r="C411" s="260"/>
      <c r="D411" s="260"/>
      <c r="E411" s="260"/>
      <c r="F411" s="260"/>
      <c r="G411" s="260"/>
      <c r="H411" s="260"/>
      <c r="I411" s="260"/>
      <c r="J411" s="260"/>
      <c r="K411" s="260"/>
      <c r="L411" s="260"/>
      <c r="M411" s="260"/>
      <c r="N411" s="260"/>
      <c r="O411" s="260"/>
      <c r="P411" s="260"/>
      <c r="Q411" s="260"/>
      <c r="R411" s="260"/>
      <c r="S411" s="260"/>
      <c r="T411" s="260"/>
      <c r="U411" s="260"/>
      <c r="V411" s="260"/>
      <c r="W411" s="260"/>
      <c r="X411" s="260"/>
      <c r="Y411" s="260"/>
      <c r="Z411" s="260"/>
      <c r="AA411" s="260"/>
      <c r="AB411" s="260"/>
      <c r="AC411" s="260"/>
      <c r="AD411" s="260"/>
    </row>
    <row r="412" spans="1:30" ht="15" thickBot="1">
      <c r="A412" s="260"/>
      <c r="B412" s="260"/>
      <c r="C412" s="260"/>
      <c r="D412" s="260"/>
      <c r="E412" s="260"/>
      <c r="F412" s="260"/>
      <c r="G412" s="260"/>
      <c r="H412" s="260"/>
      <c r="I412" s="260"/>
      <c r="J412" s="260"/>
      <c r="K412" s="260"/>
      <c r="L412" s="260"/>
      <c r="M412" s="260"/>
      <c r="N412" s="260"/>
      <c r="O412" s="260"/>
      <c r="P412" s="260"/>
      <c r="Q412" s="260"/>
      <c r="R412" s="260"/>
      <c r="S412" s="260"/>
      <c r="T412" s="260"/>
      <c r="U412" s="260"/>
      <c r="V412" s="260"/>
      <c r="W412" s="260"/>
      <c r="X412" s="260"/>
      <c r="Y412" s="260"/>
      <c r="Z412" s="260"/>
      <c r="AA412" s="260"/>
      <c r="AB412" s="260"/>
      <c r="AC412" s="260"/>
      <c r="AD412" s="260"/>
    </row>
    <row r="413" spans="1:30" ht="15" thickBot="1">
      <c r="A413" s="260"/>
      <c r="B413" s="260"/>
      <c r="C413" s="260"/>
      <c r="D413" s="260"/>
      <c r="E413" s="260"/>
      <c r="F413" s="260"/>
      <c r="G413" s="260"/>
      <c r="H413" s="260"/>
      <c r="I413" s="260"/>
      <c r="J413" s="260"/>
      <c r="K413" s="260"/>
      <c r="L413" s="260"/>
      <c r="M413" s="260"/>
      <c r="N413" s="260"/>
      <c r="O413" s="260"/>
      <c r="P413" s="260"/>
      <c r="Q413" s="260"/>
      <c r="R413" s="260"/>
      <c r="S413" s="260"/>
      <c r="T413" s="260"/>
      <c r="U413" s="260"/>
      <c r="V413" s="260"/>
      <c r="W413" s="260"/>
      <c r="X413" s="260"/>
      <c r="Y413" s="260"/>
      <c r="Z413" s="260"/>
      <c r="AA413" s="260"/>
      <c r="AB413" s="260"/>
      <c r="AC413" s="260"/>
      <c r="AD413" s="260"/>
    </row>
    <row r="414" spans="1:30" ht="15" thickBot="1">
      <c r="A414" s="260"/>
      <c r="B414" s="260"/>
      <c r="C414" s="260"/>
      <c r="D414" s="260"/>
      <c r="E414" s="260"/>
      <c r="F414" s="260"/>
      <c r="G414" s="260"/>
      <c r="H414" s="260"/>
      <c r="I414" s="260"/>
      <c r="J414" s="260"/>
      <c r="K414" s="260"/>
      <c r="L414" s="260"/>
      <c r="M414" s="260"/>
      <c r="N414" s="260"/>
      <c r="O414" s="260"/>
      <c r="P414" s="260"/>
      <c r="Q414" s="260"/>
      <c r="R414" s="260"/>
      <c r="S414" s="260"/>
      <c r="T414" s="260"/>
      <c r="U414" s="260"/>
      <c r="V414" s="260"/>
      <c r="W414" s="260"/>
      <c r="X414" s="260"/>
      <c r="Y414" s="260"/>
      <c r="Z414" s="260"/>
      <c r="AA414" s="260"/>
      <c r="AB414" s="260"/>
      <c r="AC414" s="260"/>
      <c r="AD414" s="260"/>
    </row>
    <row r="415" spans="1:30" ht="15" thickBot="1">
      <c r="A415" s="260"/>
      <c r="B415" s="260"/>
      <c r="C415" s="260"/>
      <c r="D415" s="260"/>
      <c r="E415" s="260"/>
      <c r="F415" s="260"/>
      <c r="G415" s="260"/>
      <c r="H415" s="260"/>
      <c r="I415" s="260"/>
      <c r="J415" s="260"/>
      <c r="K415" s="260"/>
      <c r="L415" s="260"/>
      <c r="M415" s="260"/>
      <c r="N415" s="260"/>
      <c r="O415" s="260"/>
      <c r="P415" s="260"/>
      <c r="Q415" s="260"/>
      <c r="R415" s="260"/>
      <c r="S415" s="260"/>
      <c r="T415" s="260"/>
      <c r="U415" s="260"/>
      <c r="V415" s="260"/>
      <c r="W415" s="260"/>
      <c r="X415" s="260"/>
      <c r="Y415" s="260"/>
      <c r="Z415" s="260"/>
      <c r="AA415" s="260"/>
      <c r="AB415" s="260"/>
      <c r="AC415" s="260"/>
      <c r="AD415" s="260"/>
    </row>
    <row r="416" spans="1:30" ht="15" thickBot="1">
      <c r="A416" s="260"/>
      <c r="B416" s="260"/>
      <c r="C416" s="260"/>
      <c r="D416" s="260"/>
      <c r="E416" s="260"/>
      <c r="F416" s="260"/>
      <c r="G416" s="260"/>
      <c r="H416" s="260"/>
      <c r="I416" s="260"/>
      <c r="J416" s="260"/>
      <c r="K416" s="260"/>
      <c r="L416" s="260"/>
      <c r="M416" s="260"/>
      <c r="N416" s="260"/>
      <c r="O416" s="260"/>
      <c r="P416" s="260"/>
      <c r="Q416" s="260"/>
      <c r="R416" s="260"/>
      <c r="S416" s="260"/>
      <c r="T416" s="260"/>
      <c r="U416" s="260"/>
      <c r="V416" s="260"/>
      <c r="W416" s="260"/>
      <c r="X416" s="260"/>
      <c r="Y416" s="260"/>
      <c r="Z416" s="260"/>
      <c r="AA416" s="260"/>
      <c r="AB416" s="260"/>
      <c r="AC416" s="260"/>
      <c r="AD416" s="260"/>
    </row>
    <row r="417" spans="1:30" ht="15" thickBot="1">
      <c r="A417" s="260"/>
      <c r="B417" s="260"/>
      <c r="C417" s="260"/>
      <c r="D417" s="260"/>
      <c r="E417" s="260"/>
      <c r="F417" s="260"/>
      <c r="G417" s="260"/>
      <c r="H417" s="260"/>
      <c r="I417" s="260"/>
      <c r="J417" s="260"/>
      <c r="K417" s="260"/>
      <c r="L417" s="260"/>
      <c r="M417" s="260"/>
      <c r="N417" s="260"/>
      <c r="O417" s="260"/>
      <c r="P417" s="260"/>
      <c r="Q417" s="260"/>
      <c r="R417" s="260"/>
      <c r="S417" s="260"/>
      <c r="T417" s="260"/>
      <c r="U417" s="260"/>
      <c r="V417" s="260"/>
      <c r="W417" s="260"/>
      <c r="X417" s="260"/>
      <c r="Y417" s="260"/>
      <c r="Z417" s="260"/>
      <c r="AA417" s="260"/>
      <c r="AB417" s="260"/>
      <c r="AC417" s="260"/>
      <c r="AD417" s="260"/>
    </row>
    <row r="418" spans="1:30" ht="15" thickBot="1">
      <c r="A418" s="260"/>
      <c r="B418" s="260"/>
      <c r="C418" s="260"/>
      <c r="D418" s="260"/>
      <c r="E418" s="260"/>
      <c r="F418" s="260"/>
      <c r="G418" s="260"/>
      <c r="H418" s="260"/>
      <c r="I418" s="260"/>
      <c r="J418" s="260"/>
      <c r="K418" s="260"/>
      <c r="L418" s="260"/>
      <c r="M418" s="260"/>
      <c r="N418" s="260"/>
      <c r="O418" s="260"/>
      <c r="P418" s="260"/>
      <c r="Q418" s="260"/>
      <c r="R418" s="260"/>
      <c r="S418" s="260"/>
      <c r="T418" s="260"/>
      <c r="U418" s="260"/>
      <c r="V418" s="260"/>
      <c r="W418" s="260"/>
      <c r="X418" s="260"/>
      <c r="Y418" s="260"/>
      <c r="Z418" s="260"/>
      <c r="AA418" s="260"/>
      <c r="AB418" s="260"/>
      <c r="AC418" s="260"/>
      <c r="AD418" s="260"/>
    </row>
    <row r="419" spans="1:30" ht="15" thickBot="1">
      <c r="A419" s="260"/>
      <c r="B419" s="260"/>
      <c r="C419" s="260"/>
      <c r="D419" s="260"/>
      <c r="E419" s="260"/>
      <c r="F419" s="260"/>
      <c r="G419" s="260"/>
      <c r="H419" s="260"/>
      <c r="I419" s="260"/>
      <c r="J419" s="260"/>
      <c r="K419" s="260"/>
      <c r="L419" s="260"/>
      <c r="M419" s="260"/>
      <c r="N419" s="260"/>
      <c r="O419" s="260"/>
      <c r="P419" s="260"/>
      <c r="Q419" s="260"/>
      <c r="R419" s="260"/>
      <c r="S419" s="260"/>
      <c r="T419" s="260"/>
      <c r="U419" s="260"/>
      <c r="V419" s="260"/>
      <c r="W419" s="260"/>
      <c r="X419" s="260"/>
      <c r="Y419" s="260"/>
      <c r="Z419" s="260"/>
      <c r="AA419" s="260"/>
      <c r="AB419" s="260"/>
      <c r="AC419" s="260"/>
      <c r="AD419" s="260"/>
    </row>
    <row r="420" spans="1:30" ht="15" thickBot="1">
      <c r="A420" s="260"/>
      <c r="B420" s="260"/>
      <c r="C420" s="260"/>
      <c r="D420" s="260"/>
      <c r="E420" s="260"/>
      <c r="F420" s="260"/>
      <c r="G420" s="260"/>
      <c r="H420" s="260"/>
      <c r="I420" s="260"/>
      <c r="J420" s="260"/>
      <c r="K420" s="260"/>
      <c r="L420" s="260"/>
      <c r="M420" s="260"/>
      <c r="N420" s="260"/>
      <c r="O420" s="260"/>
      <c r="P420" s="260"/>
      <c r="Q420" s="260"/>
      <c r="R420" s="260"/>
      <c r="S420" s="260"/>
      <c r="T420" s="260"/>
      <c r="U420" s="260"/>
      <c r="V420" s="260"/>
      <c r="W420" s="260"/>
      <c r="X420" s="260"/>
      <c r="Y420" s="260"/>
      <c r="Z420" s="260"/>
      <c r="AA420" s="260"/>
      <c r="AB420" s="260"/>
      <c r="AC420" s="260"/>
      <c r="AD420" s="260"/>
    </row>
    <row r="421" spans="1:30" ht="15" thickBot="1">
      <c r="A421" s="260"/>
      <c r="B421" s="260"/>
      <c r="C421" s="260"/>
      <c r="D421" s="260"/>
      <c r="E421" s="260"/>
      <c r="F421" s="260"/>
      <c r="G421" s="260"/>
      <c r="H421" s="260"/>
      <c r="I421" s="260"/>
      <c r="J421" s="260"/>
      <c r="K421" s="260"/>
      <c r="L421" s="260"/>
      <c r="M421" s="260"/>
      <c r="N421" s="260"/>
      <c r="O421" s="260"/>
      <c r="P421" s="260"/>
      <c r="Q421" s="260"/>
      <c r="R421" s="260"/>
      <c r="S421" s="260"/>
      <c r="T421" s="260"/>
      <c r="U421" s="260"/>
      <c r="V421" s="260"/>
      <c r="W421" s="260"/>
      <c r="X421" s="260"/>
      <c r="Y421" s="260"/>
      <c r="Z421" s="260"/>
      <c r="AA421" s="260"/>
      <c r="AB421" s="260"/>
      <c r="AC421" s="260"/>
      <c r="AD421" s="260"/>
    </row>
    <row r="422" spans="1:30" ht="15" thickBot="1">
      <c r="A422" s="260"/>
      <c r="B422" s="260"/>
      <c r="C422" s="260"/>
      <c r="D422" s="260"/>
      <c r="E422" s="260"/>
      <c r="F422" s="260"/>
      <c r="G422" s="260"/>
      <c r="H422" s="260"/>
      <c r="I422" s="260"/>
      <c r="J422" s="260"/>
      <c r="K422" s="260"/>
      <c r="L422" s="260"/>
      <c r="M422" s="260"/>
      <c r="N422" s="260"/>
      <c r="O422" s="260"/>
      <c r="P422" s="260"/>
      <c r="Q422" s="260"/>
      <c r="R422" s="260"/>
      <c r="S422" s="260"/>
      <c r="T422" s="260"/>
      <c r="U422" s="260"/>
      <c r="V422" s="260"/>
      <c r="W422" s="260"/>
      <c r="X422" s="260"/>
      <c r="Y422" s="260"/>
      <c r="Z422" s="260"/>
      <c r="AA422" s="260"/>
      <c r="AB422" s="260"/>
      <c r="AC422" s="260"/>
      <c r="AD422" s="260"/>
    </row>
    <row r="423" spans="1:30" ht="15" thickBot="1">
      <c r="A423" s="260"/>
      <c r="B423" s="260"/>
      <c r="C423" s="260"/>
      <c r="D423" s="260"/>
      <c r="E423" s="260"/>
      <c r="F423" s="260"/>
      <c r="G423" s="260"/>
      <c r="H423" s="260"/>
      <c r="I423" s="260"/>
      <c r="J423" s="260"/>
      <c r="K423" s="260"/>
      <c r="L423" s="260"/>
      <c r="M423" s="260"/>
      <c r="N423" s="260"/>
      <c r="O423" s="260"/>
      <c r="P423" s="260"/>
      <c r="Q423" s="260"/>
      <c r="R423" s="260"/>
      <c r="S423" s="260"/>
      <c r="T423" s="260"/>
      <c r="U423" s="260"/>
      <c r="V423" s="260"/>
      <c r="W423" s="260"/>
      <c r="X423" s="260"/>
      <c r="Y423" s="260"/>
      <c r="Z423" s="260"/>
      <c r="AA423" s="260"/>
      <c r="AB423" s="260"/>
      <c r="AC423" s="260"/>
      <c r="AD423" s="260"/>
    </row>
    <row r="424" spans="1:30" ht="15" thickBot="1">
      <c r="A424" s="260"/>
      <c r="B424" s="260"/>
      <c r="C424" s="260"/>
      <c r="D424" s="260"/>
      <c r="E424" s="260"/>
      <c r="F424" s="260"/>
      <c r="G424" s="260"/>
      <c r="H424" s="260"/>
      <c r="I424" s="260"/>
      <c r="J424" s="260"/>
      <c r="K424" s="260"/>
      <c r="L424" s="260"/>
      <c r="M424" s="260"/>
      <c r="N424" s="260"/>
      <c r="O424" s="260"/>
      <c r="P424" s="260"/>
      <c r="Q424" s="260"/>
      <c r="R424" s="260"/>
      <c r="S424" s="260"/>
      <c r="T424" s="260"/>
      <c r="U424" s="260"/>
      <c r="V424" s="260"/>
      <c r="W424" s="260"/>
      <c r="X424" s="260"/>
      <c r="Y424" s="260"/>
      <c r="Z424" s="260"/>
      <c r="AA424" s="260"/>
      <c r="AB424" s="260"/>
      <c r="AC424" s="260"/>
      <c r="AD424" s="260"/>
    </row>
    <row r="425" spans="1:30" ht="15" thickBot="1">
      <c r="A425" s="260"/>
      <c r="B425" s="260"/>
      <c r="C425" s="260"/>
      <c r="D425" s="260"/>
      <c r="E425" s="260"/>
      <c r="F425" s="260"/>
      <c r="G425" s="260"/>
      <c r="H425" s="260"/>
      <c r="I425" s="260"/>
      <c r="J425" s="260"/>
      <c r="K425" s="260"/>
      <c r="L425" s="260"/>
      <c r="M425" s="260"/>
      <c r="N425" s="260"/>
      <c r="O425" s="260"/>
      <c r="P425" s="260"/>
      <c r="Q425" s="260"/>
      <c r="R425" s="260"/>
      <c r="S425" s="260"/>
      <c r="T425" s="260"/>
      <c r="U425" s="260"/>
      <c r="V425" s="260"/>
      <c r="W425" s="260"/>
      <c r="X425" s="260"/>
      <c r="Y425" s="260"/>
      <c r="Z425" s="260"/>
      <c r="AA425" s="260"/>
      <c r="AB425" s="260"/>
      <c r="AC425" s="260"/>
      <c r="AD425" s="260"/>
    </row>
    <row r="426" spans="1:30" ht="15" thickBot="1">
      <c r="A426" s="260"/>
      <c r="B426" s="260"/>
      <c r="C426" s="260"/>
      <c r="D426" s="260"/>
      <c r="E426" s="260"/>
      <c r="F426" s="260"/>
      <c r="G426" s="260"/>
      <c r="H426" s="260"/>
      <c r="I426" s="260"/>
      <c r="J426" s="260"/>
      <c r="K426" s="260"/>
      <c r="L426" s="260"/>
      <c r="M426" s="260"/>
      <c r="N426" s="260"/>
      <c r="O426" s="260"/>
      <c r="P426" s="260"/>
      <c r="Q426" s="260"/>
      <c r="R426" s="260"/>
      <c r="S426" s="260"/>
      <c r="T426" s="260"/>
      <c r="U426" s="260"/>
      <c r="V426" s="260"/>
      <c r="W426" s="260"/>
      <c r="X426" s="260"/>
      <c r="Y426" s="260"/>
      <c r="Z426" s="260"/>
      <c r="AA426" s="260"/>
      <c r="AB426" s="260"/>
      <c r="AC426" s="260"/>
      <c r="AD426" s="260"/>
    </row>
    <row r="427" spans="1:30" ht="15" thickBot="1">
      <c r="A427" s="260"/>
      <c r="B427" s="260"/>
      <c r="C427" s="260"/>
      <c r="D427" s="260"/>
      <c r="E427" s="260"/>
      <c r="F427" s="260"/>
      <c r="G427" s="260"/>
      <c r="H427" s="260"/>
      <c r="I427" s="260"/>
      <c r="J427" s="260"/>
      <c r="K427" s="260"/>
      <c r="L427" s="260"/>
      <c r="M427" s="260"/>
      <c r="N427" s="260"/>
      <c r="O427" s="260"/>
      <c r="P427" s="260"/>
      <c r="Q427" s="260"/>
      <c r="R427" s="260"/>
      <c r="S427" s="260"/>
      <c r="T427" s="260"/>
      <c r="U427" s="260"/>
      <c r="V427" s="260"/>
      <c r="W427" s="260"/>
      <c r="X427" s="260"/>
      <c r="Y427" s="260"/>
      <c r="Z427" s="260"/>
      <c r="AA427" s="260"/>
      <c r="AB427" s="260"/>
      <c r="AC427" s="260"/>
      <c r="AD427" s="260"/>
    </row>
    <row r="428" spans="1:30" ht="15" thickBot="1">
      <c r="A428" s="260"/>
      <c r="B428" s="260"/>
      <c r="C428" s="260"/>
      <c r="D428" s="260"/>
      <c r="E428" s="260"/>
      <c r="F428" s="260"/>
      <c r="G428" s="260"/>
      <c r="H428" s="260"/>
      <c r="I428" s="260"/>
      <c r="J428" s="260"/>
      <c r="K428" s="260"/>
      <c r="L428" s="260"/>
      <c r="M428" s="260"/>
      <c r="N428" s="260"/>
      <c r="O428" s="260"/>
      <c r="P428" s="260"/>
      <c r="Q428" s="260"/>
      <c r="R428" s="260"/>
      <c r="S428" s="260"/>
      <c r="T428" s="260"/>
      <c r="U428" s="260"/>
      <c r="V428" s="260"/>
      <c r="W428" s="260"/>
      <c r="X428" s="260"/>
      <c r="Y428" s="260"/>
      <c r="Z428" s="260"/>
      <c r="AA428" s="260"/>
      <c r="AB428" s="260"/>
      <c r="AC428" s="260"/>
      <c r="AD428" s="260"/>
    </row>
    <row r="429" spans="1:30" ht="15" thickBot="1">
      <c r="A429" s="260"/>
      <c r="B429" s="260"/>
      <c r="C429" s="260"/>
      <c r="D429" s="260"/>
      <c r="E429" s="260"/>
      <c r="F429" s="260"/>
      <c r="G429" s="260"/>
      <c r="H429" s="260"/>
      <c r="I429" s="260"/>
      <c r="J429" s="260"/>
      <c r="K429" s="260"/>
      <c r="L429" s="260"/>
      <c r="M429" s="260"/>
      <c r="N429" s="260"/>
      <c r="O429" s="260"/>
      <c r="P429" s="260"/>
      <c r="Q429" s="260"/>
      <c r="R429" s="260"/>
      <c r="S429" s="260"/>
      <c r="T429" s="260"/>
      <c r="U429" s="260"/>
      <c r="V429" s="260"/>
      <c r="W429" s="260"/>
      <c r="X429" s="260"/>
      <c r="Y429" s="260"/>
      <c r="Z429" s="260"/>
      <c r="AA429" s="260"/>
      <c r="AB429" s="260"/>
      <c r="AC429" s="260"/>
      <c r="AD429" s="260"/>
    </row>
    <row r="430" spans="1:30" ht="15" thickBot="1">
      <c r="A430" s="260"/>
      <c r="B430" s="260"/>
      <c r="C430" s="260"/>
      <c r="D430" s="260"/>
      <c r="E430" s="260"/>
      <c r="F430" s="260"/>
      <c r="G430" s="260"/>
      <c r="H430" s="260"/>
      <c r="I430" s="260"/>
      <c r="J430" s="260"/>
      <c r="K430" s="260"/>
      <c r="L430" s="260"/>
      <c r="M430" s="260"/>
      <c r="N430" s="260"/>
      <c r="O430" s="260"/>
      <c r="P430" s="260"/>
      <c r="Q430" s="260"/>
      <c r="R430" s="260"/>
      <c r="S430" s="260"/>
      <c r="T430" s="260"/>
      <c r="U430" s="260"/>
      <c r="V430" s="260"/>
      <c r="W430" s="260"/>
      <c r="X430" s="260"/>
      <c r="Y430" s="260"/>
      <c r="Z430" s="260"/>
      <c r="AA430" s="260"/>
      <c r="AB430" s="260"/>
      <c r="AC430" s="260"/>
      <c r="AD430" s="260"/>
    </row>
    <row r="431" spans="1:30" ht="15" thickBot="1">
      <c r="A431" s="260"/>
      <c r="B431" s="260"/>
      <c r="C431" s="260"/>
      <c r="D431" s="260"/>
      <c r="E431" s="260"/>
      <c r="F431" s="260"/>
      <c r="G431" s="260"/>
      <c r="H431" s="260"/>
      <c r="I431" s="260"/>
      <c r="J431" s="260"/>
      <c r="K431" s="260"/>
      <c r="L431" s="260"/>
      <c r="M431" s="260"/>
      <c r="N431" s="260"/>
      <c r="O431" s="260"/>
      <c r="P431" s="260"/>
      <c r="Q431" s="260"/>
      <c r="R431" s="260"/>
      <c r="S431" s="260"/>
      <c r="T431" s="260"/>
      <c r="U431" s="260"/>
      <c r="V431" s="260"/>
      <c r="W431" s="260"/>
      <c r="X431" s="260"/>
      <c r="Y431" s="260"/>
      <c r="Z431" s="260"/>
      <c r="AA431" s="260"/>
      <c r="AB431" s="260"/>
      <c r="AC431" s="260"/>
      <c r="AD431" s="260"/>
    </row>
    <row r="432" spans="1:30" ht="15" thickBot="1">
      <c r="A432" s="260"/>
      <c r="B432" s="260"/>
      <c r="C432" s="260"/>
      <c r="D432" s="260"/>
      <c r="E432" s="260"/>
      <c r="F432" s="260"/>
      <c r="G432" s="260"/>
      <c r="H432" s="260"/>
      <c r="I432" s="260"/>
      <c r="J432" s="260"/>
      <c r="K432" s="260"/>
      <c r="L432" s="260"/>
      <c r="M432" s="260"/>
      <c r="N432" s="260"/>
      <c r="O432" s="260"/>
      <c r="P432" s="260"/>
      <c r="Q432" s="260"/>
      <c r="R432" s="260"/>
      <c r="S432" s="260"/>
      <c r="T432" s="260"/>
      <c r="U432" s="260"/>
      <c r="V432" s="260"/>
      <c r="W432" s="260"/>
      <c r="X432" s="260"/>
      <c r="Y432" s="260"/>
      <c r="Z432" s="260"/>
      <c r="AA432" s="260"/>
      <c r="AB432" s="260"/>
      <c r="AC432" s="260"/>
      <c r="AD432" s="260"/>
    </row>
    <row r="433" spans="1:30" ht="15" thickBot="1">
      <c r="A433" s="260"/>
      <c r="B433" s="260"/>
      <c r="C433" s="260"/>
      <c r="D433" s="260"/>
      <c r="E433" s="260"/>
      <c r="F433" s="260"/>
      <c r="G433" s="260"/>
      <c r="H433" s="260"/>
      <c r="I433" s="260"/>
      <c r="J433" s="260"/>
      <c r="K433" s="260"/>
      <c r="L433" s="260"/>
      <c r="M433" s="260"/>
      <c r="N433" s="260"/>
      <c r="O433" s="260"/>
      <c r="P433" s="260"/>
      <c r="Q433" s="260"/>
      <c r="R433" s="260"/>
      <c r="S433" s="260"/>
      <c r="T433" s="260"/>
      <c r="U433" s="260"/>
      <c r="V433" s="260"/>
      <c r="W433" s="260"/>
      <c r="X433" s="260"/>
      <c r="Y433" s="260"/>
      <c r="Z433" s="260"/>
      <c r="AA433" s="260"/>
      <c r="AB433" s="260"/>
      <c r="AC433" s="260"/>
      <c r="AD433" s="260"/>
    </row>
    <row r="434" spans="1:30" ht="15" thickBot="1">
      <c r="A434" s="260"/>
      <c r="B434" s="260"/>
      <c r="C434" s="260"/>
      <c r="D434" s="260"/>
      <c r="E434" s="260"/>
      <c r="F434" s="260"/>
      <c r="G434" s="260"/>
      <c r="H434" s="260"/>
      <c r="I434" s="260"/>
      <c r="J434" s="260"/>
      <c r="K434" s="260"/>
      <c r="L434" s="260"/>
      <c r="M434" s="260"/>
      <c r="N434" s="260"/>
      <c r="O434" s="260"/>
      <c r="P434" s="260"/>
      <c r="Q434" s="260"/>
      <c r="R434" s="260"/>
      <c r="S434" s="260"/>
      <c r="T434" s="260"/>
      <c r="U434" s="260"/>
      <c r="V434" s="260"/>
      <c r="W434" s="260"/>
      <c r="X434" s="260"/>
      <c r="Y434" s="260"/>
      <c r="Z434" s="260"/>
      <c r="AA434" s="260"/>
      <c r="AB434" s="260"/>
      <c r="AC434" s="260"/>
      <c r="AD434" s="260"/>
    </row>
    <row r="435" spans="1:30" ht="15" thickBot="1">
      <c r="A435" s="260"/>
      <c r="B435" s="260"/>
      <c r="C435" s="260"/>
      <c r="D435" s="260"/>
      <c r="E435" s="260"/>
      <c r="F435" s="260"/>
      <c r="G435" s="260"/>
      <c r="H435" s="260"/>
      <c r="I435" s="260"/>
      <c r="J435" s="260"/>
      <c r="K435" s="260"/>
      <c r="L435" s="260"/>
      <c r="M435" s="260"/>
      <c r="N435" s="260"/>
      <c r="O435" s="260"/>
      <c r="P435" s="260"/>
      <c r="Q435" s="260"/>
      <c r="R435" s="260"/>
      <c r="S435" s="260"/>
      <c r="T435" s="260"/>
      <c r="U435" s="260"/>
      <c r="V435" s="260"/>
      <c r="W435" s="260"/>
      <c r="X435" s="260"/>
      <c r="Y435" s="260"/>
      <c r="Z435" s="260"/>
      <c r="AA435" s="260"/>
      <c r="AB435" s="260"/>
      <c r="AC435" s="260"/>
      <c r="AD435" s="260"/>
    </row>
    <row r="436" spans="1:30" ht="15" thickBot="1">
      <c r="A436" s="260"/>
      <c r="B436" s="260"/>
      <c r="C436" s="260"/>
      <c r="D436" s="260"/>
      <c r="E436" s="260"/>
      <c r="F436" s="260"/>
      <c r="G436" s="260"/>
      <c r="H436" s="260"/>
      <c r="I436" s="260"/>
      <c r="J436" s="260"/>
      <c r="K436" s="260"/>
      <c r="L436" s="260"/>
      <c r="M436" s="260"/>
      <c r="N436" s="260"/>
      <c r="O436" s="260"/>
      <c r="P436" s="260"/>
      <c r="Q436" s="260"/>
      <c r="R436" s="260"/>
      <c r="S436" s="260"/>
      <c r="T436" s="260"/>
      <c r="U436" s="260"/>
      <c r="V436" s="260"/>
      <c r="W436" s="260"/>
      <c r="X436" s="260"/>
      <c r="Y436" s="260"/>
      <c r="Z436" s="260"/>
      <c r="AA436" s="260"/>
      <c r="AB436" s="260"/>
      <c r="AC436" s="260"/>
      <c r="AD436" s="260"/>
    </row>
    <row r="437" spans="1:30" ht="15" thickBot="1">
      <c r="A437" s="260"/>
      <c r="B437" s="260"/>
      <c r="C437" s="260"/>
      <c r="D437" s="260"/>
      <c r="E437" s="260"/>
      <c r="F437" s="260"/>
      <c r="G437" s="260"/>
      <c r="H437" s="260"/>
      <c r="I437" s="260"/>
      <c r="J437" s="260"/>
      <c r="K437" s="260"/>
      <c r="L437" s="260"/>
      <c r="M437" s="260"/>
      <c r="N437" s="260"/>
      <c r="O437" s="260"/>
      <c r="P437" s="260"/>
      <c r="Q437" s="260"/>
      <c r="R437" s="260"/>
      <c r="S437" s="260"/>
      <c r="T437" s="260"/>
      <c r="U437" s="260"/>
      <c r="V437" s="260"/>
      <c r="W437" s="260"/>
      <c r="X437" s="260"/>
      <c r="Y437" s="260"/>
      <c r="Z437" s="260"/>
      <c r="AA437" s="260"/>
      <c r="AB437" s="260"/>
      <c r="AC437" s="260"/>
      <c r="AD437" s="260"/>
    </row>
    <row r="438" spans="1:30" ht="15" thickBot="1">
      <c r="A438" s="260"/>
      <c r="B438" s="260"/>
      <c r="C438" s="260"/>
      <c r="D438" s="260"/>
      <c r="E438" s="260"/>
      <c r="F438" s="260"/>
      <c r="G438" s="260"/>
      <c r="H438" s="260"/>
      <c r="I438" s="260"/>
      <c r="J438" s="260"/>
      <c r="K438" s="260"/>
      <c r="L438" s="260"/>
      <c r="M438" s="260"/>
      <c r="N438" s="260"/>
      <c r="O438" s="260"/>
      <c r="P438" s="260"/>
      <c r="Q438" s="260"/>
      <c r="R438" s="260"/>
      <c r="S438" s="260"/>
      <c r="T438" s="260"/>
      <c r="U438" s="260"/>
      <c r="V438" s="260"/>
      <c r="W438" s="260"/>
      <c r="X438" s="260"/>
      <c r="Y438" s="260"/>
      <c r="Z438" s="260"/>
      <c r="AA438" s="260"/>
      <c r="AB438" s="260"/>
      <c r="AC438" s="260"/>
      <c r="AD438" s="260"/>
    </row>
    <row r="439" spans="1:30" ht="15" thickBot="1">
      <c r="A439" s="260"/>
      <c r="B439" s="260"/>
      <c r="C439" s="260"/>
      <c r="D439" s="260"/>
      <c r="E439" s="260"/>
      <c r="F439" s="260"/>
      <c r="G439" s="260"/>
      <c r="H439" s="260"/>
      <c r="I439" s="260"/>
      <c r="J439" s="260"/>
      <c r="K439" s="260"/>
      <c r="L439" s="260"/>
      <c r="M439" s="260"/>
      <c r="N439" s="260"/>
      <c r="O439" s="260"/>
      <c r="P439" s="260"/>
      <c r="Q439" s="260"/>
      <c r="R439" s="260"/>
      <c r="S439" s="260"/>
      <c r="T439" s="260"/>
      <c r="U439" s="260"/>
      <c r="V439" s="260"/>
      <c r="W439" s="260"/>
      <c r="X439" s="260"/>
      <c r="Y439" s="260"/>
      <c r="Z439" s="260"/>
      <c r="AA439" s="260"/>
      <c r="AB439" s="260"/>
      <c r="AC439" s="260"/>
      <c r="AD439" s="260"/>
    </row>
    <row r="440" spans="1:30" ht="15" thickBot="1">
      <c r="A440" s="260"/>
      <c r="B440" s="260"/>
      <c r="C440" s="260"/>
      <c r="D440" s="260"/>
      <c r="E440" s="260"/>
      <c r="F440" s="260"/>
      <c r="G440" s="260"/>
      <c r="H440" s="260"/>
      <c r="I440" s="260"/>
      <c r="J440" s="260"/>
      <c r="K440" s="260"/>
      <c r="L440" s="260"/>
      <c r="M440" s="260"/>
      <c r="N440" s="260"/>
      <c r="O440" s="260"/>
      <c r="P440" s="260"/>
      <c r="Q440" s="260"/>
      <c r="R440" s="260"/>
      <c r="S440" s="260"/>
      <c r="T440" s="260"/>
      <c r="U440" s="260"/>
      <c r="V440" s="260"/>
      <c r="W440" s="260"/>
      <c r="X440" s="260"/>
      <c r="Y440" s="260"/>
      <c r="Z440" s="260"/>
      <c r="AA440" s="260"/>
      <c r="AB440" s="260"/>
      <c r="AC440" s="260"/>
      <c r="AD440" s="260"/>
    </row>
    <row r="441" spans="1:30" ht="15" thickBot="1">
      <c r="A441" s="260"/>
      <c r="B441" s="260"/>
      <c r="C441" s="260"/>
      <c r="D441" s="260"/>
      <c r="E441" s="260"/>
      <c r="F441" s="260"/>
      <c r="G441" s="260"/>
      <c r="H441" s="260"/>
      <c r="I441" s="260"/>
      <c r="J441" s="260"/>
      <c r="K441" s="260"/>
      <c r="L441" s="260"/>
      <c r="M441" s="260"/>
      <c r="N441" s="260"/>
      <c r="O441" s="260"/>
      <c r="P441" s="260"/>
      <c r="Q441" s="260"/>
      <c r="R441" s="260"/>
      <c r="S441" s="260"/>
      <c r="T441" s="260"/>
      <c r="U441" s="260"/>
      <c r="V441" s="260"/>
      <c r="W441" s="260"/>
      <c r="X441" s="260"/>
      <c r="Y441" s="260"/>
      <c r="Z441" s="260"/>
      <c r="AA441" s="260"/>
      <c r="AB441" s="260"/>
      <c r="AC441" s="260"/>
      <c r="AD441" s="260"/>
    </row>
    <row r="442" spans="1:30" ht="15" thickBot="1">
      <c r="A442" s="260"/>
      <c r="B442" s="260"/>
      <c r="C442" s="260"/>
      <c r="D442" s="260"/>
      <c r="E442" s="260"/>
      <c r="F442" s="260"/>
      <c r="G442" s="260"/>
      <c r="H442" s="260"/>
      <c r="I442" s="260"/>
      <c r="J442" s="260"/>
      <c r="K442" s="260"/>
      <c r="L442" s="260"/>
      <c r="M442" s="260"/>
      <c r="N442" s="260"/>
      <c r="O442" s="260"/>
      <c r="P442" s="260"/>
      <c r="Q442" s="260"/>
      <c r="R442" s="260"/>
      <c r="S442" s="260"/>
      <c r="T442" s="260"/>
      <c r="U442" s="260"/>
      <c r="V442" s="260"/>
      <c r="W442" s="260"/>
      <c r="X442" s="260"/>
      <c r="Y442" s="260"/>
      <c r="Z442" s="260"/>
      <c r="AA442" s="260"/>
      <c r="AB442" s="260"/>
      <c r="AC442" s="260"/>
      <c r="AD442" s="260"/>
    </row>
    <row r="443" spans="1:30" ht="15" thickBot="1">
      <c r="A443" s="260"/>
      <c r="B443" s="260"/>
      <c r="C443" s="260"/>
      <c r="D443" s="260"/>
      <c r="E443" s="260"/>
      <c r="F443" s="260"/>
      <c r="G443" s="260"/>
      <c r="H443" s="260"/>
      <c r="I443" s="260"/>
      <c r="J443" s="260"/>
      <c r="K443" s="260"/>
      <c r="L443" s="260"/>
      <c r="M443" s="260"/>
      <c r="N443" s="260"/>
      <c r="O443" s="260"/>
      <c r="P443" s="260"/>
      <c r="Q443" s="260"/>
      <c r="R443" s="260"/>
      <c r="S443" s="260"/>
      <c r="T443" s="260"/>
      <c r="U443" s="260"/>
      <c r="V443" s="260"/>
      <c r="W443" s="260"/>
      <c r="X443" s="260"/>
      <c r="Y443" s="260"/>
      <c r="Z443" s="260"/>
      <c r="AA443" s="260"/>
      <c r="AB443" s="260"/>
      <c r="AC443" s="260"/>
      <c r="AD443" s="260"/>
    </row>
    <row r="444" spans="1:30" ht="15" thickBot="1">
      <c r="A444" s="260"/>
      <c r="B444" s="260"/>
      <c r="C444" s="260"/>
      <c r="D444" s="260"/>
      <c r="E444" s="260"/>
      <c r="F444" s="260"/>
      <c r="G444" s="260"/>
      <c r="H444" s="260"/>
      <c r="I444" s="260"/>
      <c r="J444" s="260"/>
      <c r="K444" s="260"/>
      <c r="L444" s="260"/>
      <c r="M444" s="260"/>
      <c r="N444" s="260"/>
      <c r="O444" s="260"/>
      <c r="P444" s="260"/>
      <c r="Q444" s="260"/>
      <c r="R444" s="260"/>
      <c r="S444" s="260"/>
      <c r="T444" s="260"/>
      <c r="U444" s="260"/>
      <c r="V444" s="260"/>
      <c r="W444" s="260"/>
      <c r="X444" s="260"/>
      <c r="Y444" s="260"/>
      <c r="Z444" s="260"/>
      <c r="AA444" s="260"/>
      <c r="AB444" s="260"/>
      <c r="AC444" s="260"/>
      <c r="AD444" s="260"/>
    </row>
    <row r="445" spans="1:30" ht="15" thickBot="1">
      <c r="A445" s="260"/>
      <c r="B445" s="260"/>
      <c r="C445" s="260"/>
      <c r="D445" s="260"/>
      <c r="E445" s="260"/>
      <c r="F445" s="260"/>
      <c r="G445" s="260"/>
      <c r="H445" s="260"/>
      <c r="I445" s="260"/>
      <c r="J445" s="260"/>
      <c r="K445" s="260"/>
      <c r="L445" s="260"/>
      <c r="M445" s="260"/>
      <c r="N445" s="260"/>
      <c r="O445" s="260"/>
      <c r="P445" s="260"/>
      <c r="Q445" s="260"/>
      <c r="R445" s="260"/>
      <c r="S445" s="260"/>
      <c r="T445" s="260"/>
      <c r="U445" s="260"/>
      <c r="V445" s="260"/>
      <c r="W445" s="260"/>
      <c r="X445" s="260"/>
      <c r="Y445" s="260"/>
      <c r="Z445" s="260"/>
      <c r="AA445" s="260"/>
      <c r="AB445" s="260"/>
      <c r="AC445" s="260"/>
      <c r="AD445" s="260"/>
    </row>
    <row r="446" spans="1:30" ht="15" thickBot="1">
      <c r="A446" s="260"/>
      <c r="B446" s="260"/>
      <c r="C446" s="260"/>
      <c r="D446" s="260"/>
      <c r="E446" s="260"/>
      <c r="F446" s="260"/>
      <c r="G446" s="260"/>
      <c r="H446" s="260"/>
      <c r="I446" s="260"/>
      <c r="J446" s="260"/>
      <c r="K446" s="260"/>
      <c r="L446" s="260"/>
      <c r="M446" s="260"/>
      <c r="N446" s="260"/>
      <c r="O446" s="260"/>
      <c r="P446" s="260"/>
      <c r="Q446" s="260"/>
      <c r="R446" s="260"/>
      <c r="S446" s="260"/>
      <c r="T446" s="260"/>
      <c r="U446" s="260"/>
      <c r="V446" s="260"/>
      <c r="W446" s="260"/>
      <c r="X446" s="260"/>
      <c r="Y446" s="260"/>
      <c r="Z446" s="260"/>
      <c r="AA446" s="260"/>
      <c r="AB446" s="260"/>
      <c r="AC446" s="260"/>
      <c r="AD446" s="260"/>
    </row>
    <row r="447" spans="1:30" ht="15" thickBot="1">
      <c r="A447" s="260"/>
      <c r="B447" s="260"/>
      <c r="C447" s="260"/>
      <c r="D447" s="260"/>
      <c r="E447" s="260"/>
      <c r="F447" s="260"/>
      <c r="G447" s="260"/>
      <c r="H447" s="260"/>
      <c r="I447" s="260"/>
      <c r="J447" s="260"/>
      <c r="K447" s="260"/>
      <c r="L447" s="260"/>
      <c r="M447" s="260"/>
      <c r="N447" s="260"/>
      <c r="O447" s="260"/>
      <c r="P447" s="260"/>
      <c r="Q447" s="260"/>
      <c r="R447" s="260"/>
      <c r="S447" s="260"/>
      <c r="T447" s="260"/>
      <c r="U447" s="260"/>
      <c r="V447" s="260"/>
      <c r="W447" s="260"/>
      <c r="X447" s="260"/>
      <c r="Y447" s="260"/>
      <c r="Z447" s="260"/>
      <c r="AA447" s="260"/>
      <c r="AB447" s="260"/>
      <c r="AC447" s="260"/>
      <c r="AD447" s="260"/>
    </row>
    <row r="448" spans="1:30" ht="15" thickBot="1">
      <c r="A448" s="260"/>
      <c r="B448" s="260"/>
      <c r="C448" s="260"/>
      <c r="D448" s="260"/>
      <c r="E448" s="260"/>
      <c r="F448" s="260"/>
      <c r="G448" s="260"/>
      <c r="H448" s="260"/>
      <c r="I448" s="260"/>
      <c r="J448" s="260"/>
      <c r="K448" s="260"/>
      <c r="L448" s="260"/>
      <c r="M448" s="260"/>
      <c r="N448" s="260"/>
      <c r="O448" s="260"/>
      <c r="P448" s="260"/>
      <c r="Q448" s="260"/>
      <c r="R448" s="260"/>
      <c r="S448" s="260"/>
      <c r="T448" s="260"/>
      <c r="U448" s="260"/>
      <c r="V448" s="260"/>
      <c r="W448" s="260"/>
      <c r="X448" s="260"/>
      <c r="Y448" s="260"/>
      <c r="Z448" s="260"/>
      <c r="AA448" s="260"/>
      <c r="AB448" s="260"/>
      <c r="AC448" s="260"/>
      <c r="AD448" s="260"/>
    </row>
    <row r="449" spans="1:30" ht="15" thickBot="1">
      <c r="A449" s="260"/>
      <c r="B449" s="260"/>
      <c r="C449" s="260"/>
      <c r="D449" s="260"/>
      <c r="E449" s="260"/>
      <c r="F449" s="260"/>
      <c r="G449" s="260"/>
      <c r="H449" s="260"/>
      <c r="I449" s="260"/>
      <c r="J449" s="260"/>
      <c r="K449" s="260"/>
      <c r="L449" s="260"/>
      <c r="M449" s="260"/>
      <c r="N449" s="260"/>
      <c r="O449" s="260"/>
      <c r="P449" s="260"/>
      <c r="Q449" s="260"/>
      <c r="R449" s="260"/>
      <c r="S449" s="260"/>
      <c r="T449" s="260"/>
      <c r="U449" s="260"/>
      <c r="V449" s="260"/>
      <c r="W449" s="260"/>
      <c r="X449" s="260"/>
      <c r="Y449" s="260"/>
      <c r="Z449" s="260"/>
      <c r="AA449" s="260"/>
      <c r="AB449" s="260"/>
      <c r="AC449" s="260"/>
      <c r="AD449" s="260"/>
    </row>
    <row r="450" spans="1:30" ht="15" thickBot="1">
      <c r="A450" s="260"/>
      <c r="B450" s="260"/>
      <c r="C450" s="260"/>
      <c r="D450" s="260"/>
      <c r="E450" s="260"/>
      <c r="F450" s="260"/>
      <c r="G450" s="260"/>
      <c r="H450" s="260"/>
      <c r="I450" s="260"/>
      <c r="J450" s="260"/>
      <c r="K450" s="260"/>
      <c r="L450" s="260"/>
      <c r="M450" s="260"/>
      <c r="N450" s="260"/>
      <c r="O450" s="260"/>
      <c r="P450" s="260"/>
      <c r="Q450" s="260"/>
      <c r="R450" s="260"/>
      <c r="S450" s="260"/>
      <c r="T450" s="260"/>
      <c r="U450" s="260"/>
      <c r="V450" s="260"/>
      <c r="W450" s="260"/>
      <c r="X450" s="260"/>
      <c r="Y450" s="260"/>
      <c r="Z450" s="260"/>
      <c r="AA450" s="260"/>
      <c r="AB450" s="260"/>
      <c r="AC450" s="260"/>
      <c r="AD450" s="260"/>
    </row>
    <row r="451" spans="1:30" ht="15" thickBot="1">
      <c r="A451" s="260"/>
      <c r="B451" s="260"/>
      <c r="C451" s="260"/>
      <c r="D451" s="260"/>
      <c r="E451" s="260"/>
      <c r="F451" s="260"/>
      <c r="G451" s="260"/>
      <c r="H451" s="260"/>
      <c r="I451" s="260"/>
      <c r="J451" s="260"/>
      <c r="K451" s="260"/>
      <c r="L451" s="260"/>
      <c r="M451" s="260"/>
      <c r="N451" s="260"/>
      <c r="O451" s="260"/>
      <c r="P451" s="260"/>
      <c r="Q451" s="260"/>
      <c r="R451" s="260"/>
      <c r="S451" s="260"/>
      <c r="T451" s="260"/>
      <c r="U451" s="260"/>
      <c r="V451" s="260"/>
      <c r="W451" s="260"/>
      <c r="X451" s="260"/>
      <c r="Y451" s="260"/>
      <c r="Z451" s="260"/>
      <c r="AA451" s="260"/>
      <c r="AB451" s="260"/>
      <c r="AC451" s="260"/>
      <c r="AD451" s="260"/>
    </row>
    <row r="452" spans="1:30" ht="15" thickBot="1">
      <c r="A452" s="260"/>
      <c r="B452" s="260"/>
      <c r="C452" s="260"/>
      <c r="D452" s="260"/>
      <c r="E452" s="260"/>
      <c r="F452" s="260"/>
      <c r="G452" s="260"/>
      <c r="H452" s="260"/>
      <c r="I452" s="260"/>
      <c r="J452" s="260"/>
      <c r="K452" s="260"/>
      <c r="L452" s="260"/>
      <c r="M452" s="260"/>
      <c r="N452" s="260"/>
      <c r="O452" s="260"/>
      <c r="P452" s="260"/>
      <c r="Q452" s="260"/>
      <c r="R452" s="260"/>
      <c r="S452" s="260"/>
      <c r="T452" s="260"/>
      <c r="U452" s="260"/>
      <c r="V452" s="260"/>
      <c r="W452" s="260"/>
      <c r="X452" s="260"/>
      <c r="Y452" s="260"/>
      <c r="Z452" s="260"/>
      <c r="AA452" s="260"/>
      <c r="AB452" s="260"/>
      <c r="AC452" s="260"/>
      <c r="AD452" s="260"/>
    </row>
    <row r="453" spans="1:30" ht="15" thickBot="1">
      <c r="A453" s="260"/>
      <c r="B453" s="260"/>
      <c r="C453" s="260"/>
      <c r="D453" s="260"/>
      <c r="E453" s="260"/>
      <c r="F453" s="260"/>
      <c r="G453" s="260"/>
      <c r="H453" s="260"/>
      <c r="I453" s="260"/>
      <c r="J453" s="260"/>
      <c r="K453" s="260"/>
      <c r="L453" s="260"/>
      <c r="M453" s="260"/>
      <c r="N453" s="260"/>
      <c r="O453" s="260"/>
      <c r="P453" s="260"/>
      <c r="Q453" s="260"/>
      <c r="R453" s="260"/>
      <c r="S453" s="260"/>
      <c r="T453" s="260"/>
      <c r="U453" s="260"/>
      <c r="V453" s="260"/>
      <c r="W453" s="260"/>
      <c r="X453" s="260"/>
      <c r="Y453" s="260"/>
      <c r="Z453" s="260"/>
      <c r="AA453" s="260"/>
      <c r="AB453" s="260"/>
      <c r="AC453" s="260"/>
      <c r="AD453" s="260"/>
    </row>
    <row r="454" spans="1:30" ht="15" thickBot="1">
      <c r="A454" s="260"/>
      <c r="B454" s="260"/>
      <c r="C454" s="260"/>
      <c r="D454" s="260"/>
      <c r="E454" s="260"/>
      <c r="F454" s="260"/>
      <c r="G454" s="260"/>
      <c r="H454" s="260"/>
      <c r="I454" s="260"/>
      <c r="J454" s="260"/>
      <c r="K454" s="260"/>
      <c r="L454" s="260"/>
      <c r="M454" s="260"/>
      <c r="N454" s="260"/>
      <c r="O454" s="260"/>
      <c r="P454" s="260"/>
      <c r="Q454" s="260"/>
      <c r="R454" s="260"/>
      <c r="S454" s="260"/>
      <c r="T454" s="260"/>
      <c r="U454" s="260"/>
      <c r="V454" s="260"/>
      <c r="W454" s="260"/>
      <c r="X454" s="260"/>
      <c r="Y454" s="260"/>
      <c r="Z454" s="260"/>
      <c r="AA454" s="260"/>
      <c r="AB454" s="260"/>
      <c r="AC454" s="260"/>
      <c r="AD454" s="260"/>
    </row>
    <row r="455" spans="1:30" ht="15" thickBot="1">
      <c r="A455" s="260"/>
      <c r="B455" s="260"/>
      <c r="C455" s="260"/>
      <c r="D455" s="260"/>
      <c r="E455" s="260"/>
      <c r="F455" s="260"/>
      <c r="G455" s="260"/>
      <c r="H455" s="260"/>
      <c r="I455" s="260"/>
      <c r="J455" s="260"/>
      <c r="K455" s="260"/>
      <c r="L455" s="260"/>
      <c r="M455" s="260"/>
      <c r="N455" s="260"/>
      <c r="O455" s="260"/>
      <c r="P455" s="260"/>
      <c r="Q455" s="260"/>
      <c r="R455" s="260"/>
      <c r="S455" s="260"/>
      <c r="T455" s="260"/>
      <c r="U455" s="260"/>
      <c r="V455" s="260"/>
      <c r="W455" s="260"/>
      <c r="X455" s="260"/>
      <c r="Y455" s="260"/>
      <c r="Z455" s="260"/>
      <c r="AA455" s="260"/>
      <c r="AB455" s="260"/>
      <c r="AC455" s="260"/>
      <c r="AD455" s="260"/>
    </row>
    <row r="456" spans="1:30" ht="15" thickBot="1">
      <c r="A456" s="260"/>
      <c r="B456" s="260"/>
      <c r="C456" s="260"/>
      <c r="D456" s="260"/>
      <c r="E456" s="260"/>
      <c r="F456" s="260"/>
      <c r="G456" s="260"/>
      <c r="H456" s="260"/>
      <c r="I456" s="260"/>
      <c r="J456" s="260"/>
      <c r="K456" s="260"/>
      <c r="L456" s="260"/>
      <c r="M456" s="260"/>
      <c r="N456" s="260"/>
      <c r="O456" s="260"/>
      <c r="P456" s="260"/>
      <c r="Q456" s="260"/>
      <c r="R456" s="260"/>
      <c r="S456" s="260"/>
      <c r="T456" s="260"/>
      <c r="U456" s="260"/>
      <c r="V456" s="260"/>
      <c r="W456" s="260"/>
      <c r="X456" s="260"/>
      <c r="Y456" s="260"/>
      <c r="Z456" s="260"/>
      <c r="AA456" s="260"/>
      <c r="AB456" s="260"/>
      <c r="AC456" s="260"/>
      <c r="AD456" s="260"/>
    </row>
    <row r="457" spans="1:30" ht="15" thickBot="1">
      <c r="A457" s="260"/>
      <c r="B457" s="260"/>
      <c r="C457" s="260"/>
      <c r="D457" s="260"/>
      <c r="E457" s="260"/>
      <c r="F457" s="260"/>
      <c r="G457" s="260"/>
      <c r="H457" s="260"/>
      <c r="I457" s="260"/>
      <c r="J457" s="260"/>
      <c r="K457" s="260"/>
      <c r="L457" s="260"/>
      <c r="M457" s="260"/>
      <c r="N457" s="260"/>
      <c r="O457" s="260"/>
      <c r="P457" s="260"/>
      <c r="Q457" s="260"/>
      <c r="R457" s="260"/>
      <c r="S457" s="260"/>
      <c r="T457" s="260"/>
      <c r="U457" s="260"/>
      <c r="V457" s="260"/>
      <c r="W457" s="260"/>
      <c r="X457" s="260"/>
      <c r="Y457" s="260"/>
      <c r="Z457" s="260"/>
      <c r="AA457" s="260"/>
      <c r="AB457" s="260"/>
      <c r="AC457" s="260"/>
      <c r="AD457" s="260"/>
    </row>
    <row r="458" spans="1:30" ht="15" thickBot="1">
      <c r="A458" s="260"/>
      <c r="B458" s="260"/>
      <c r="C458" s="260"/>
      <c r="D458" s="260"/>
      <c r="E458" s="260"/>
      <c r="F458" s="260"/>
      <c r="G458" s="260"/>
      <c r="H458" s="260"/>
      <c r="I458" s="260"/>
      <c r="J458" s="260"/>
      <c r="K458" s="260"/>
      <c r="L458" s="260"/>
      <c r="M458" s="260"/>
      <c r="N458" s="260"/>
      <c r="O458" s="260"/>
      <c r="P458" s="260"/>
      <c r="Q458" s="260"/>
      <c r="R458" s="260"/>
      <c r="S458" s="260"/>
      <c r="T458" s="260"/>
      <c r="U458" s="260"/>
      <c r="V458" s="260"/>
      <c r="W458" s="260"/>
      <c r="X458" s="260"/>
      <c r="Y458" s="260"/>
      <c r="Z458" s="260"/>
      <c r="AA458" s="260"/>
      <c r="AB458" s="260"/>
      <c r="AC458" s="260"/>
      <c r="AD458" s="260"/>
    </row>
    <row r="459" spans="1:30" ht="15" thickBot="1">
      <c r="A459" s="260"/>
      <c r="B459" s="260"/>
      <c r="C459" s="260"/>
      <c r="D459" s="260"/>
      <c r="E459" s="260"/>
      <c r="F459" s="260"/>
      <c r="G459" s="260"/>
      <c r="H459" s="260"/>
      <c r="I459" s="260"/>
      <c r="J459" s="260"/>
      <c r="K459" s="260"/>
      <c r="L459" s="260"/>
      <c r="M459" s="260"/>
      <c r="N459" s="260"/>
      <c r="O459" s="260"/>
      <c r="P459" s="260"/>
      <c r="Q459" s="260"/>
      <c r="R459" s="260"/>
      <c r="S459" s="260"/>
      <c r="T459" s="260"/>
      <c r="U459" s="260"/>
      <c r="V459" s="260"/>
      <c r="W459" s="260"/>
      <c r="X459" s="260"/>
      <c r="Y459" s="260"/>
      <c r="Z459" s="260"/>
      <c r="AA459" s="260"/>
      <c r="AB459" s="260"/>
      <c r="AC459" s="260"/>
      <c r="AD459" s="260"/>
    </row>
    <row r="460" spans="1:30" ht="15" thickBot="1">
      <c r="A460" s="260"/>
      <c r="B460" s="260"/>
      <c r="C460" s="260"/>
      <c r="D460" s="260"/>
      <c r="E460" s="260"/>
      <c r="F460" s="260"/>
      <c r="G460" s="260"/>
      <c r="H460" s="260"/>
      <c r="I460" s="260"/>
      <c r="J460" s="260"/>
      <c r="K460" s="260"/>
      <c r="L460" s="260"/>
      <c r="M460" s="260"/>
      <c r="N460" s="260"/>
      <c r="O460" s="260"/>
      <c r="P460" s="260"/>
      <c r="Q460" s="260"/>
      <c r="R460" s="260"/>
      <c r="S460" s="260"/>
      <c r="T460" s="260"/>
      <c r="U460" s="260"/>
      <c r="V460" s="260"/>
      <c r="W460" s="260"/>
      <c r="X460" s="260"/>
      <c r="Y460" s="260"/>
      <c r="Z460" s="260"/>
      <c r="AA460" s="260"/>
      <c r="AB460" s="260"/>
      <c r="AC460" s="260"/>
      <c r="AD460" s="260"/>
    </row>
    <row r="461" spans="1:30" ht="15" thickBot="1">
      <c r="A461" s="260"/>
      <c r="B461" s="260"/>
      <c r="C461" s="260"/>
      <c r="D461" s="260"/>
      <c r="E461" s="260"/>
      <c r="F461" s="260"/>
      <c r="G461" s="260"/>
      <c r="H461" s="260"/>
      <c r="I461" s="260"/>
      <c r="J461" s="260"/>
      <c r="K461" s="260"/>
      <c r="L461" s="260"/>
      <c r="M461" s="260"/>
      <c r="N461" s="260"/>
      <c r="O461" s="260"/>
      <c r="P461" s="260"/>
      <c r="Q461" s="260"/>
      <c r="R461" s="260"/>
      <c r="S461" s="260"/>
      <c r="T461" s="260"/>
      <c r="U461" s="260"/>
      <c r="V461" s="260"/>
      <c r="W461" s="260"/>
      <c r="X461" s="260"/>
      <c r="Y461" s="260"/>
      <c r="Z461" s="260"/>
      <c r="AA461" s="260"/>
      <c r="AB461" s="260"/>
      <c r="AC461" s="260"/>
      <c r="AD461" s="260"/>
    </row>
    <row r="462" spans="1:30" ht="15" thickBot="1">
      <c r="A462" s="260"/>
      <c r="B462" s="260"/>
      <c r="C462" s="260"/>
      <c r="D462" s="260"/>
      <c r="E462" s="260"/>
      <c r="F462" s="260"/>
      <c r="G462" s="260"/>
      <c r="H462" s="260"/>
      <c r="I462" s="260"/>
      <c r="J462" s="260"/>
      <c r="K462" s="260"/>
      <c r="L462" s="260"/>
      <c r="M462" s="260"/>
      <c r="N462" s="260"/>
      <c r="O462" s="260"/>
      <c r="P462" s="260"/>
      <c r="Q462" s="260"/>
      <c r="R462" s="260"/>
      <c r="S462" s="260"/>
      <c r="T462" s="260"/>
      <c r="U462" s="260"/>
      <c r="V462" s="260"/>
      <c r="W462" s="260"/>
      <c r="X462" s="260"/>
      <c r="Y462" s="260"/>
      <c r="Z462" s="260"/>
      <c r="AA462" s="260"/>
      <c r="AB462" s="260"/>
      <c r="AC462" s="260"/>
      <c r="AD462" s="260"/>
    </row>
    <row r="463" spans="1:30" ht="15" thickBot="1">
      <c r="A463" s="260"/>
      <c r="B463" s="260"/>
      <c r="C463" s="260"/>
      <c r="D463" s="260"/>
      <c r="E463" s="260"/>
      <c r="F463" s="260"/>
      <c r="G463" s="260"/>
      <c r="H463" s="260"/>
      <c r="I463" s="260"/>
      <c r="J463" s="260"/>
      <c r="K463" s="260"/>
      <c r="L463" s="260"/>
      <c r="M463" s="260"/>
      <c r="N463" s="260"/>
      <c r="O463" s="260"/>
      <c r="P463" s="260"/>
      <c r="Q463" s="260"/>
      <c r="R463" s="260"/>
      <c r="S463" s="260"/>
      <c r="T463" s="260"/>
      <c r="U463" s="260"/>
      <c r="V463" s="260"/>
      <c r="W463" s="260"/>
      <c r="X463" s="260"/>
      <c r="Y463" s="260"/>
      <c r="Z463" s="260"/>
      <c r="AA463" s="260"/>
      <c r="AB463" s="260"/>
      <c r="AC463" s="260"/>
      <c r="AD463" s="260"/>
    </row>
    <row r="464" spans="1:30" ht="15" thickBot="1">
      <c r="A464" s="260"/>
      <c r="B464" s="260"/>
      <c r="C464" s="260"/>
      <c r="D464" s="260"/>
      <c r="E464" s="260"/>
      <c r="F464" s="260"/>
      <c r="G464" s="260"/>
      <c r="H464" s="260"/>
      <c r="I464" s="260"/>
      <c r="J464" s="260"/>
      <c r="K464" s="260"/>
      <c r="L464" s="260"/>
      <c r="M464" s="260"/>
      <c r="N464" s="260"/>
      <c r="O464" s="260"/>
      <c r="P464" s="260"/>
      <c r="Q464" s="260"/>
      <c r="R464" s="260"/>
      <c r="S464" s="260"/>
      <c r="T464" s="260"/>
      <c r="U464" s="260"/>
      <c r="V464" s="260"/>
      <c r="W464" s="260"/>
      <c r="X464" s="260"/>
      <c r="Y464" s="260"/>
      <c r="Z464" s="260"/>
      <c r="AA464" s="260"/>
      <c r="AB464" s="260"/>
      <c r="AC464" s="260"/>
      <c r="AD464" s="260"/>
    </row>
    <row r="465" spans="1:30" ht="15" thickBot="1">
      <c r="A465" s="260"/>
      <c r="B465" s="260"/>
      <c r="C465" s="260"/>
      <c r="D465" s="260"/>
      <c r="E465" s="260"/>
      <c r="F465" s="260"/>
      <c r="G465" s="260"/>
      <c r="H465" s="260"/>
      <c r="I465" s="260"/>
      <c r="J465" s="260"/>
      <c r="K465" s="260"/>
      <c r="L465" s="260"/>
      <c r="M465" s="260"/>
      <c r="N465" s="260"/>
      <c r="O465" s="260"/>
      <c r="P465" s="260"/>
      <c r="Q465" s="260"/>
      <c r="R465" s="260"/>
      <c r="S465" s="260"/>
      <c r="T465" s="260"/>
      <c r="U465" s="260"/>
      <c r="V465" s="260"/>
      <c r="W465" s="260"/>
      <c r="X465" s="260"/>
      <c r="Y465" s="260"/>
      <c r="Z465" s="260"/>
      <c r="AA465" s="260"/>
      <c r="AB465" s="260"/>
      <c r="AC465" s="260"/>
      <c r="AD465" s="260"/>
    </row>
    <row r="466" spans="1:30" ht="15" thickBot="1">
      <c r="A466" s="260"/>
      <c r="B466" s="260"/>
      <c r="C466" s="260"/>
      <c r="D466" s="260"/>
      <c r="E466" s="260"/>
      <c r="F466" s="260"/>
      <c r="G466" s="260"/>
      <c r="H466" s="260"/>
      <c r="I466" s="260"/>
      <c r="J466" s="260"/>
      <c r="K466" s="260"/>
      <c r="L466" s="260"/>
      <c r="M466" s="260"/>
      <c r="N466" s="260"/>
      <c r="O466" s="260"/>
      <c r="P466" s="260"/>
      <c r="Q466" s="260"/>
      <c r="R466" s="260"/>
      <c r="S466" s="260"/>
      <c r="T466" s="260"/>
      <c r="U466" s="260"/>
      <c r="V466" s="260"/>
      <c r="W466" s="260"/>
      <c r="X466" s="260"/>
      <c r="Y466" s="260"/>
      <c r="Z466" s="260"/>
      <c r="AA466" s="260"/>
      <c r="AB466" s="260"/>
      <c r="AC466" s="260"/>
      <c r="AD466" s="260"/>
    </row>
    <row r="467" spans="1:30" ht="15" thickBot="1">
      <c r="A467" s="260"/>
      <c r="B467" s="260"/>
      <c r="C467" s="260"/>
      <c r="D467" s="260"/>
      <c r="E467" s="260"/>
      <c r="F467" s="260"/>
      <c r="G467" s="260"/>
      <c r="H467" s="260"/>
      <c r="I467" s="260"/>
      <c r="J467" s="260"/>
      <c r="K467" s="260"/>
      <c r="L467" s="260"/>
      <c r="M467" s="260"/>
      <c r="N467" s="260"/>
      <c r="O467" s="260"/>
      <c r="P467" s="260"/>
      <c r="Q467" s="260"/>
      <c r="R467" s="260"/>
      <c r="S467" s="260"/>
      <c r="T467" s="260"/>
      <c r="U467" s="260"/>
      <c r="V467" s="260"/>
      <c r="W467" s="260"/>
      <c r="X467" s="260"/>
      <c r="Y467" s="260"/>
      <c r="Z467" s="260"/>
      <c r="AA467" s="260"/>
      <c r="AB467" s="260"/>
      <c r="AC467" s="260"/>
      <c r="AD467" s="260"/>
    </row>
    <row r="468" spans="1:30" ht="15" thickBot="1">
      <c r="A468" s="260"/>
      <c r="B468" s="260"/>
      <c r="C468" s="260"/>
      <c r="D468" s="260"/>
      <c r="E468" s="260"/>
      <c r="F468" s="260"/>
      <c r="G468" s="260"/>
      <c r="H468" s="260"/>
      <c r="I468" s="260"/>
      <c r="J468" s="260"/>
      <c r="K468" s="260"/>
      <c r="L468" s="260"/>
      <c r="M468" s="260"/>
      <c r="N468" s="260"/>
      <c r="O468" s="260"/>
      <c r="P468" s="260"/>
      <c r="Q468" s="260"/>
      <c r="R468" s="260"/>
      <c r="S468" s="260"/>
      <c r="T468" s="260"/>
      <c r="U468" s="260"/>
      <c r="V468" s="260"/>
      <c r="W468" s="260"/>
      <c r="X468" s="260"/>
      <c r="Y468" s="260"/>
      <c r="Z468" s="260"/>
      <c r="AA468" s="260"/>
      <c r="AB468" s="260"/>
      <c r="AC468" s="260"/>
      <c r="AD468" s="260"/>
    </row>
    <row r="469" spans="1:30" ht="15" thickBot="1">
      <c r="A469" s="260"/>
      <c r="B469" s="260"/>
      <c r="C469" s="260"/>
      <c r="D469" s="260"/>
      <c r="E469" s="260"/>
      <c r="F469" s="260"/>
      <c r="G469" s="260"/>
      <c r="H469" s="260"/>
      <c r="I469" s="260"/>
      <c r="J469" s="260"/>
      <c r="K469" s="260"/>
      <c r="L469" s="260"/>
      <c r="M469" s="260"/>
      <c r="N469" s="260"/>
      <c r="O469" s="260"/>
      <c r="P469" s="260"/>
      <c r="Q469" s="260"/>
      <c r="R469" s="260"/>
      <c r="S469" s="260"/>
      <c r="T469" s="260"/>
      <c r="U469" s="260"/>
      <c r="V469" s="260"/>
      <c r="W469" s="260"/>
      <c r="X469" s="260"/>
      <c r="Y469" s="260"/>
      <c r="Z469" s="260"/>
      <c r="AA469" s="260"/>
      <c r="AB469" s="260"/>
      <c r="AC469" s="260"/>
      <c r="AD469" s="260"/>
    </row>
    <row r="470" spans="1:30" ht="15" thickBot="1">
      <c r="A470" s="260"/>
      <c r="B470" s="260"/>
      <c r="C470" s="260"/>
      <c r="D470" s="260"/>
      <c r="E470" s="260"/>
      <c r="F470" s="260"/>
      <c r="G470" s="260"/>
      <c r="H470" s="260"/>
      <c r="I470" s="260"/>
      <c r="J470" s="260"/>
      <c r="K470" s="260"/>
      <c r="L470" s="260"/>
      <c r="M470" s="260"/>
      <c r="N470" s="260"/>
      <c r="O470" s="260"/>
      <c r="P470" s="260"/>
      <c r="Q470" s="260"/>
      <c r="R470" s="260"/>
      <c r="S470" s="260"/>
      <c r="T470" s="260"/>
      <c r="U470" s="260"/>
      <c r="V470" s="260"/>
      <c r="W470" s="260"/>
      <c r="X470" s="260"/>
      <c r="Y470" s="260"/>
      <c r="Z470" s="260"/>
      <c r="AA470" s="260"/>
      <c r="AB470" s="260"/>
      <c r="AC470" s="260"/>
      <c r="AD470" s="260"/>
    </row>
    <row r="471" spans="1:30" ht="15" thickBot="1">
      <c r="A471" s="260"/>
      <c r="B471" s="260"/>
      <c r="C471" s="260"/>
      <c r="D471" s="260"/>
      <c r="E471" s="260"/>
      <c r="F471" s="260"/>
      <c r="G471" s="260"/>
      <c r="H471" s="260"/>
      <c r="I471" s="260"/>
      <c r="J471" s="260"/>
      <c r="K471" s="260"/>
      <c r="L471" s="260"/>
      <c r="M471" s="260"/>
      <c r="N471" s="260"/>
      <c r="O471" s="260"/>
      <c r="P471" s="260"/>
      <c r="Q471" s="260"/>
      <c r="R471" s="260"/>
      <c r="S471" s="260"/>
      <c r="T471" s="260"/>
      <c r="U471" s="260"/>
      <c r="V471" s="260"/>
      <c r="W471" s="260"/>
      <c r="X471" s="260"/>
      <c r="Y471" s="260"/>
      <c r="Z471" s="260"/>
      <c r="AA471" s="260"/>
      <c r="AB471" s="260"/>
      <c r="AC471" s="260"/>
      <c r="AD471" s="260"/>
    </row>
    <row r="472" spans="1:30" ht="15" thickBot="1">
      <c r="A472" s="260"/>
      <c r="B472" s="260"/>
      <c r="C472" s="260"/>
      <c r="D472" s="260"/>
      <c r="E472" s="260"/>
      <c r="F472" s="260"/>
      <c r="G472" s="260"/>
      <c r="H472" s="260"/>
      <c r="I472" s="260"/>
      <c r="J472" s="260"/>
      <c r="K472" s="260"/>
      <c r="L472" s="260"/>
      <c r="M472" s="260"/>
      <c r="N472" s="260"/>
      <c r="O472" s="260"/>
      <c r="P472" s="260"/>
      <c r="Q472" s="260"/>
      <c r="R472" s="260"/>
      <c r="S472" s="260"/>
      <c r="T472" s="260"/>
      <c r="U472" s="260"/>
      <c r="V472" s="260"/>
      <c r="W472" s="260"/>
      <c r="X472" s="260"/>
      <c r="Y472" s="260"/>
      <c r="Z472" s="260"/>
      <c r="AA472" s="260"/>
      <c r="AB472" s="260"/>
      <c r="AC472" s="260"/>
      <c r="AD472" s="260"/>
    </row>
    <row r="473" spans="1:30" ht="15" thickBot="1">
      <c r="A473" s="260"/>
      <c r="B473" s="260"/>
      <c r="C473" s="260"/>
      <c r="D473" s="260"/>
      <c r="E473" s="260"/>
      <c r="F473" s="260"/>
      <c r="G473" s="260"/>
      <c r="H473" s="260"/>
      <c r="I473" s="260"/>
      <c r="J473" s="260"/>
      <c r="K473" s="260"/>
      <c r="L473" s="260"/>
      <c r="M473" s="260"/>
      <c r="N473" s="260"/>
      <c r="O473" s="260"/>
      <c r="P473" s="260"/>
      <c r="Q473" s="260"/>
      <c r="R473" s="260"/>
      <c r="S473" s="260"/>
      <c r="T473" s="260"/>
      <c r="U473" s="260"/>
      <c r="V473" s="260"/>
      <c r="W473" s="260"/>
      <c r="X473" s="260"/>
      <c r="Y473" s="260"/>
      <c r="Z473" s="260"/>
      <c r="AA473" s="260"/>
      <c r="AB473" s="260"/>
      <c r="AC473" s="260"/>
      <c r="AD473" s="260"/>
    </row>
    <row r="474" spans="1:30" ht="15" thickBot="1">
      <c r="A474" s="260"/>
      <c r="B474" s="260"/>
      <c r="C474" s="260"/>
      <c r="D474" s="260"/>
      <c r="E474" s="260"/>
      <c r="F474" s="260"/>
      <c r="G474" s="260"/>
      <c r="H474" s="260"/>
      <c r="I474" s="260"/>
      <c r="J474" s="260"/>
      <c r="K474" s="260"/>
      <c r="L474" s="260"/>
      <c r="M474" s="260"/>
      <c r="N474" s="260"/>
      <c r="O474" s="260"/>
      <c r="P474" s="260"/>
      <c r="Q474" s="260"/>
      <c r="R474" s="260"/>
      <c r="S474" s="260"/>
      <c r="T474" s="260"/>
      <c r="U474" s="260"/>
      <c r="V474" s="260"/>
      <c r="W474" s="260"/>
      <c r="X474" s="260"/>
      <c r="Y474" s="260"/>
      <c r="Z474" s="260"/>
      <c r="AA474" s="260"/>
      <c r="AB474" s="260"/>
      <c r="AC474" s="260"/>
      <c r="AD474" s="260"/>
    </row>
    <row r="475" spans="1:30" ht="15" thickBot="1">
      <c r="A475" s="260"/>
      <c r="B475" s="260"/>
      <c r="C475" s="260"/>
      <c r="D475" s="260"/>
      <c r="E475" s="260"/>
      <c r="F475" s="260"/>
      <c r="G475" s="260"/>
      <c r="H475" s="260"/>
      <c r="I475" s="260"/>
      <c r="J475" s="260"/>
      <c r="K475" s="260"/>
      <c r="L475" s="260"/>
      <c r="M475" s="260"/>
      <c r="N475" s="260"/>
      <c r="O475" s="260"/>
      <c r="P475" s="260"/>
      <c r="Q475" s="260"/>
      <c r="R475" s="260"/>
      <c r="S475" s="260"/>
      <c r="T475" s="260"/>
      <c r="U475" s="260"/>
      <c r="V475" s="260"/>
      <c r="W475" s="260"/>
      <c r="X475" s="260"/>
      <c r="Y475" s="260"/>
      <c r="Z475" s="260"/>
      <c r="AA475" s="260"/>
      <c r="AB475" s="260"/>
      <c r="AC475" s="260"/>
      <c r="AD475" s="260"/>
    </row>
    <row r="476" spans="1:30" ht="15" thickBot="1">
      <c r="A476" s="260"/>
      <c r="B476" s="260"/>
      <c r="C476" s="260"/>
      <c r="D476" s="260"/>
      <c r="E476" s="260"/>
      <c r="F476" s="260"/>
      <c r="G476" s="260"/>
      <c r="H476" s="260"/>
      <c r="I476" s="260"/>
      <c r="J476" s="260"/>
      <c r="K476" s="260"/>
      <c r="L476" s="260"/>
      <c r="M476" s="260"/>
      <c r="N476" s="260"/>
      <c r="O476" s="260"/>
      <c r="P476" s="260"/>
      <c r="Q476" s="260"/>
      <c r="R476" s="260"/>
      <c r="S476" s="260"/>
      <c r="T476" s="260"/>
      <c r="U476" s="260"/>
      <c r="V476" s="260"/>
      <c r="W476" s="260"/>
      <c r="X476" s="260"/>
      <c r="Y476" s="260"/>
      <c r="Z476" s="260"/>
      <c r="AA476" s="260"/>
      <c r="AB476" s="260"/>
      <c r="AC476" s="260"/>
      <c r="AD476" s="260"/>
    </row>
    <row r="477" spans="1:30" ht="15" thickBot="1">
      <c r="A477" s="260"/>
      <c r="B477" s="260"/>
      <c r="C477" s="260"/>
      <c r="D477" s="260"/>
      <c r="E477" s="260"/>
      <c r="F477" s="260"/>
      <c r="G477" s="260"/>
      <c r="H477" s="260"/>
      <c r="I477" s="260"/>
      <c r="J477" s="260"/>
      <c r="K477" s="260"/>
      <c r="L477" s="260"/>
      <c r="M477" s="260"/>
      <c r="N477" s="260"/>
      <c r="O477" s="260"/>
      <c r="P477" s="260"/>
      <c r="Q477" s="260"/>
      <c r="R477" s="260"/>
      <c r="S477" s="260"/>
      <c r="T477" s="260"/>
      <c r="U477" s="260"/>
      <c r="V477" s="260"/>
      <c r="W477" s="260"/>
      <c r="X477" s="260"/>
      <c r="Y477" s="260"/>
      <c r="Z477" s="260"/>
      <c r="AA477" s="260"/>
      <c r="AB477" s="260"/>
      <c r="AC477" s="260"/>
      <c r="AD477" s="260"/>
    </row>
    <row r="478" spans="1:30" ht="15" thickBot="1">
      <c r="A478" s="260"/>
      <c r="B478" s="260"/>
      <c r="C478" s="260"/>
      <c r="D478" s="260"/>
      <c r="E478" s="260"/>
      <c r="F478" s="260"/>
      <c r="G478" s="260"/>
      <c r="H478" s="260"/>
      <c r="I478" s="260"/>
      <c r="J478" s="260"/>
      <c r="K478" s="260"/>
      <c r="L478" s="260"/>
      <c r="M478" s="260"/>
      <c r="N478" s="260"/>
      <c r="O478" s="260"/>
      <c r="P478" s="260"/>
      <c r="Q478" s="260"/>
      <c r="R478" s="260"/>
      <c r="S478" s="260"/>
      <c r="T478" s="260"/>
      <c r="U478" s="260"/>
      <c r="V478" s="260"/>
      <c r="W478" s="260"/>
      <c r="X478" s="260"/>
      <c r="Y478" s="260"/>
      <c r="Z478" s="260"/>
      <c r="AA478" s="260"/>
      <c r="AB478" s="260"/>
      <c r="AC478" s="260"/>
      <c r="AD478" s="260"/>
    </row>
    <row r="479" spans="1:30" ht="15" thickBot="1">
      <c r="A479" s="260"/>
      <c r="B479" s="260"/>
      <c r="C479" s="260"/>
      <c r="D479" s="260"/>
      <c r="E479" s="260"/>
      <c r="F479" s="260"/>
      <c r="G479" s="260"/>
      <c r="H479" s="260"/>
      <c r="I479" s="260"/>
      <c r="J479" s="260"/>
      <c r="K479" s="260"/>
      <c r="L479" s="260"/>
      <c r="M479" s="260"/>
      <c r="N479" s="260"/>
      <c r="O479" s="260"/>
      <c r="P479" s="260"/>
      <c r="Q479" s="260"/>
      <c r="R479" s="260"/>
      <c r="S479" s="260"/>
      <c r="T479" s="260"/>
      <c r="U479" s="260"/>
      <c r="V479" s="260"/>
      <c r="W479" s="260"/>
      <c r="X479" s="260"/>
      <c r="Y479" s="260"/>
      <c r="Z479" s="260"/>
      <c r="AA479" s="260"/>
      <c r="AB479" s="260"/>
      <c r="AC479" s="260"/>
      <c r="AD479" s="260"/>
    </row>
    <row r="480" spans="1:30" ht="15" thickBot="1">
      <c r="A480" s="260"/>
      <c r="B480" s="260"/>
      <c r="C480" s="260"/>
      <c r="D480" s="260"/>
      <c r="E480" s="260"/>
      <c r="F480" s="260"/>
      <c r="G480" s="260"/>
      <c r="H480" s="260"/>
      <c r="I480" s="260"/>
      <c r="J480" s="260"/>
      <c r="K480" s="260"/>
      <c r="L480" s="260"/>
      <c r="M480" s="260"/>
      <c r="N480" s="260"/>
      <c r="O480" s="260"/>
      <c r="P480" s="260"/>
      <c r="Q480" s="260"/>
      <c r="R480" s="260"/>
      <c r="S480" s="260"/>
      <c r="T480" s="260"/>
      <c r="U480" s="260"/>
      <c r="V480" s="260"/>
      <c r="W480" s="260"/>
      <c r="X480" s="260"/>
      <c r="Y480" s="260"/>
      <c r="Z480" s="260"/>
      <c r="AA480" s="260"/>
      <c r="AB480" s="260"/>
      <c r="AC480" s="260"/>
      <c r="AD480" s="260"/>
    </row>
    <row r="481" spans="1:30" ht="15" thickBot="1">
      <c r="A481" s="260"/>
      <c r="B481" s="260"/>
      <c r="C481" s="260"/>
      <c r="D481" s="260"/>
      <c r="E481" s="260"/>
      <c r="F481" s="260"/>
      <c r="G481" s="260"/>
      <c r="H481" s="260"/>
      <c r="I481" s="260"/>
      <c r="J481" s="260"/>
      <c r="K481" s="260"/>
      <c r="L481" s="260"/>
      <c r="M481" s="260"/>
      <c r="N481" s="260"/>
      <c r="O481" s="260"/>
      <c r="P481" s="260"/>
      <c r="Q481" s="260"/>
      <c r="R481" s="260"/>
      <c r="S481" s="260"/>
      <c r="T481" s="260"/>
      <c r="U481" s="260"/>
      <c r="V481" s="260"/>
      <c r="W481" s="260"/>
      <c r="X481" s="260"/>
      <c r="Y481" s="260"/>
      <c r="Z481" s="260"/>
      <c r="AA481" s="260"/>
      <c r="AB481" s="260"/>
      <c r="AC481" s="260"/>
      <c r="AD481" s="260"/>
    </row>
    <row r="482" spans="1:30" ht="15" thickBot="1">
      <c r="A482" s="260"/>
      <c r="B482" s="260"/>
      <c r="C482" s="260"/>
      <c r="D482" s="260"/>
      <c r="E482" s="260"/>
      <c r="F482" s="260"/>
      <c r="G482" s="260"/>
      <c r="H482" s="260"/>
      <c r="I482" s="260"/>
      <c r="J482" s="260"/>
      <c r="K482" s="260"/>
      <c r="L482" s="260"/>
      <c r="M482" s="260"/>
      <c r="N482" s="260"/>
      <c r="O482" s="260"/>
      <c r="P482" s="260"/>
      <c r="Q482" s="260"/>
      <c r="R482" s="260"/>
      <c r="S482" s="260"/>
      <c r="T482" s="260"/>
      <c r="U482" s="260"/>
      <c r="V482" s="260"/>
      <c r="W482" s="260"/>
      <c r="X482" s="260"/>
      <c r="Y482" s="260"/>
      <c r="Z482" s="260"/>
      <c r="AA482" s="260"/>
      <c r="AB482" s="260"/>
      <c r="AC482" s="260"/>
      <c r="AD482" s="260"/>
    </row>
    <row r="483" spans="1:30" ht="15" thickBot="1">
      <c r="A483" s="260"/>
      <c r="B483" s="260"/>
      <c r="C483" s="260"/>
      <c r="D483" s="260"/>
      <c r="E483" s="260"/>
      <c r="F483" s="260"/>
      <c r="G483" s="260"/>
      <c r="H483" s="260"/>
      <c r="I483" s="260"/>
      <c r="J483" s="260"/>
      <c r="K483" s="260"/>
      <c r="L483" s="260"/>
      <c r="M483" s="260"/>
      <c r="N483" s="260"/>
      <c r="O483" s="260"/>
      <c r="P483" s="260"/>
      <c r="Q483" s="260"/>
      <c r="R483" s="260"/>
      <c r="S483" s="260"/>
      <c r="T483" s="260"/>
      <c r="U483" s="260"/>
      <c r="V483" s="260"/>
      <c r="W483" s="260"/>
      <c r="X483" s="260"/>
      <c r="Y483" s="260"/>
      <c r="Z483" s="260"/>
      <c r="AA483" s="260"/>
      <c r="AB483" s="260"/>
      <c r="AC483" s="260"/>
      <c r="AD483" s="260"/>
    </row>
    <row r="484" spans="1:30" ht="15" thickBot="1">
      <c r="A484" s="260"/>
      <c r="B484" s="260"/>
      <c r="C484" s="260"/>
      <c r="D484" s="260"/>
      <c r="E484" s="260"/>
      <c r="F484" s="260"/>
      <c r="G484" s="260"/>
      <c r="H484" s="260"/>
      <c r="I484" s="260"/>
      <c r="J484" s="260"/>
      <c r="K484" s="260"/>
      <c r="L484" s="260"/>
      <c r="M484" s="260"/>
      <c r="N484" s="260"/>
      <c r="O484" s="260"/>
      <c r="P484" s="260"/>
      <c r="Q484" s="260"/>
      <c r="R484" s="260"/>
      <c r="S484" s="260"/>
      <c r="T484" s="260"/>
      <c r="U484" s="260"/>
      <c r="V484" s="260"/>
      <c r="W484" s="260"/>
      <c r="X484" s="260"/>
      <c r="Y484" s="260"/>
      <c r="Z484" s="260"/>
      <c r="AA484" s="260"/>
      <c r="AB484" s="260"/>
      <c r="AC484" s="260"/>
      <c r="AD484" s="260"/>
    </row>
    <row r="485" spans="1:30" ht="15" thickBot="1">
      <c r="A485" s="260"/>
      <c r="B485" s="260"/>
      <c r="C485" s="260"/>
      <c r="D485" s="260"/>
      <c r="E485" s="260"/>
      <c r="F485" s="260"/>
      <c r="G485" s="260"/>
      <c r="H485" s="260"/>
      <c r="I485" s="260"/>
      <c r="J485" s="260"/>
      <c r="K485" s="260"/>
      <c r="L485" s="260"/>
      <c r="M485" s="260"/>
      <c r="N485" s="260"/>
      <c r="O485" s="260"/>
      <c r="P485" s="260"/>
      <c r="Q485" s="260"/>
      <c r="R485" s="260"/>
      <c r="S485" s="260"/>
      <c r="T485" s="260"/>
      <c r="U485" s="260"/>
      <c r="V485" s="260"/>
      <c r="W485" s="260"/>
      <c r="X485" s="260"/>
      <c r="Y485" s="260"/>
      <c r="Z485" s="260"/>
      <c r="AA485" s="260"/>
      <c r="AB485" s="260"/>
      <c r="AC485" s="260"/>
      <c r="AD485" s="260"/>
    </row>
    <row r="486" spans="1:30" ht="15" thickBot="1">
      <c r="A486" s="260"/>
      <c r="B486" s="260"/>
      <c r="C486" s="260"/>
      <c r="D486" s="260"/>
      <c r="E486" s="260"/>
      <c r="F486" s="260"/>
      <c r="G486" s="260"/>
      <c r="H486" s="260"/>
      <c r="I486" s="260"/>
      <c r="J486" s="260"/>
      <c r="K486" s="260"/>
      <c r="L486" s="260"/>
      <c r="M486" s="260"/>
      <c r="N486" s="260"/>
      <c r="O486" s="260"/>
      <c r="P486" s="260"/>
      <c r="Q486" s="260"/>
      <c r="R486" s="260"/>
      <c r="S486" s="260"/>
      <c r="T486" s="260"/>
      <c r="U486" s="260"/>
      <c r="V486" s="260"/>
      <c r="W486" s="260"/>
      <c r="X486" s="260"/>
      <c r="Y486" s="260"/>
      <c r="Z486" s="260"/>
      <c r="AA486" s="260"/>
      <c r="AB486" s="260"/>
      <c r="AC486" s="260"/>
      <c r="AD486" s="260"/>
    </row>
    <row r="487" spans="1:30" ht="15" thickBot="1">
      <c r="A487" s="260"/>
      <c r="B487" s="260"/>
      <c r="C487" s="260"/>
      <c r="D487" s="260"/>
      <c r="E487" s="260"/>
      <c r="F487" s="260"/>
      <c r="G487" s="260"/>
      <c r="H487" s="260"/>
      <c r="I487" s="260"/>
      <c r="J487" s="260"/>
      <c r="K487" s="260"/>
      <c r="L487" s="260"/>
      <c r="M487" s="260"/>
      <c r="N487" s="260"/>
      <c r="O487" s="260"/>
      <c r="P487" s="260"/>
      <c r="Q487" s="260"/>
      <c r="R487" s="260"/>
      <c r="S487" s="260"/>
      <c r="T487" s="260"/>
      <c r="U487" s="260"/>
      <c r="V487" s="260"/>
      <c r="W487" s="260"/>
      <c r="X487" s="260"/>
      <c r="Y487" s="260"/>
      <c r="Z487" s="260"/>
      <c r="AA487" s="260"/>
      <c r="AB487" s="260"/>
      <c r="AC487" s="260"/>
      <c r="AD487" s="260"/>
    </row>
    <row r="488" spans="1:30" ht="15" thickBot="1">
      <c r="A488" s="260"/>
      <c r="B488" s="260"/>
      <c r="C488" s="260"/>
      <c r="D488" s="260"/>
      <c r="E488" s="260"/>
      <c r="F488" s="260"/>
      <c r="G488" s="260"/>
      <c r="H488" s="260"/>
      <c r="I488" s="260"/>
      <c r="J488" s="260"/>
      <c r="K488" s="260"/>
      <c r="L488" s="260"/>
      <c r="M488" s="260"/>
      <c r="N488" s="260"/>
      <c r="O488" s="260"/>
      <c r="P488" s="260"/>
      <c r="Q488" s="260"/>
      <c r="R488" s="260"/>
      <c r="S488" s="260"/>
      <c r="T488" s="260"/>
      <c r="U488" s="260"/>
      <c r="V488" s="260"/>
      <c r="W488" s="260"/>
      <c r="X488" s="260"/>
      <c r="Y488" s="260"/>
      <c r="Z488" s="260"/>
      <c r="AA488" s="260"/>
      <c r="AB488" s="260"/>
      <c r="AC488" s="260"/>
      <c r="AD488" s="260"/>
    </row>
    <row r="489" spans="1:30" ht="15" thickBot="1">
      <c r="A489" s="260"/>
      <c r="B489" s="260"/>
      <c r="C489" s="260"/>
      <c r="D489" s="260"/>
      <c r="E489" s="260"/>
      <c r="F489" s="260"/>
      <c r="G489" s="260"/>
      <c r="H489" s="260"/>
      <c r="I489" s="260"/>
      <c r="J489" s="260"/>
      <c r="K489" s="260"/>
      <c r="L489" s="260"/>
      <c r="M489" s="260"/>
      <c r="N489" s="260"/>
      <c r="O489" s="260"/>
      <c r="P489" s="260"/>
      <c r="Q489" s="260"/>
      <c r="R489" s="260"/>
      <c r="S489" s="260"/>
      <c r="T489" s="260"/>
      <c r="U489" s="260"/>
      <c r="V489" s="260"/>
      <c r="W489" s="260"/>
      <c r="X489" s="260"/>
      <c r="Y489" s="260"/>
      <c r="Z489" s="260"/>
      <c r="AA489" s="260"/>
      <c r="AB489" s="260"/>
      <c r="AC489" s="260"/>
      <c r="AD489" s="260"/>
    </row>
    <row r="490" spans="1:30" ht="15" thickBot="1">
      <c r="A490" s="260"/>
      <c r="B490" s="260"/>
      <c r="C490" s="260"/>
      <c r="D490" s="260"/>
      <c r="E490" s="260"/>
      <c r="F490" s="260"/>
      <c r="G490" s="260"/>
      <c r="H490" s="260"/>
      <c r="I490" s="260"/>
      <c r="J490" s="260"/>
      <c r="K490" s="260"/>
      <c r="L490" s="260"/>
      <c r="M490" s="260"/>
      <c r="N490" s="260"/>
      <c r="O490" s="260"/>
      <c r="P490" s="260"/>
      <c r="Q490" s="260"/>
      <c r="R490" s="260"/>
      <c r="S490" s="260"/>
      <c r="T490" s="260"/>
      <c r="U490" s="260"/>
      <c r="V490" s="260"/>
      <c r="W490" s="260"/>
      <c r="X490" s="260"/>
      <c r="Y490" s="260"/>
      <c r="Z490" s="260"/>
      <c r="AA490" s="260"/>
      <c r="AB490" s="260"/>
      <c r="AC490" s="260"/>
      <c r="AD490" s="260"/>
    </row>
    <row r="491" spans="1:30" ht="15" thickBot="1">
      <c r="A491" s="260"/>
      <c r="B491" s="260"/>
      <c r="C491" s="260"/>
      <c r="D491" s="260"/>
      <c r="E491" s="260"/>
      <c r="F491" s="260"/>
      <c r="G491" s="260"/>
      <c r="H491" s="260"/>
      <c r="I491" s="260"/>
      <c r="J491" s="260"/>
      <c r="K491" s="260"/>
      <c r="L491" s="260"/>
      <c r="M491" s="260"/>
      <c r="N491" s="260"/>
      <c r="O491" s="260"/>
      <c r="P491" s="260"/>
      <c r="Q491" s="260"/>
      <c r="R491" s="260"/>
      <c r="S491" s="260"/>
      <c r="T491" s="260"/>
      <c r="U491" s="260"/>
      <c r="V491" s="260"/>
      <c r="W491" s="260"/>
      <c r="X491" s="260"/>
      <c r="Y491" s="260"/>
      <c r="Z491" s="260"/>
      <c r="AA491" s="260"/>
      <c r="AB491" s="260"/>
      <c r="AC491" s="260"/>
      <c r="AD491" s="260"/>
    </row>
    <row r="492" spans="1:30" ht="15" thickBot="1">
      <c r="A492" s="260"/>
      <c r="B492" s="260"/>
      <c r="C492" s="260"/>
      <c r="D492" s="260"/>
      <c r="E492" s="260"/>
      <c r="F492" s="260"/>
      <c r="G492" s="260"/>
      <c r="H492" s="260"/>
      <c r="I492" s="260"/>
      <c r="J492" s="260"/>
      <c r="K492" s="260"/>
      <c r="L492" s="260"/>
      <c r="M492" s="260"/>
      <c r="N492" s="260"/>
      <c r="O492" s="260"/>
      <c r="P492" s="260"/>
      <c r="Q492" s="260"/>
      <c r="R492" s="260"/>
      <c r="S492" s="260"/>
      <c r="T492" s="260"/>
      <c r="U492" s="260"/>
      <c r="V492" s="260"/>
      <c r="W492" s="260"/>
      <c r="X492" s="260"/>
      <c r="Y492" s="260"/>
      <c r="Z492" s="260"/>
      <c r="AA492" s="260"/>
      <c r="AB492" s="260"/>
      <c r="AC492" s="260"/>
      <c r="AD492" s="260"/>
    </row>
    <row r="493" spans="1:30" ht="15" thickBot="1">
      <c r="A493" s="260"/>
      <c r="B493" s="260"/>
      <c r="C493" s="260"/>
      <c r="D493" s="260"/>
      <c r="E493" s="260"/>
      <c r="F493" s="260"/>
      <c r="G493" s="260"/>
      <c r="H493" s="260"/>
      <c r="I493" s="260"/>
      <c r="J493" s="260"/>
      <c r="K493" s="260"/>
      <c r="L493" s="260"/>
      <c r="M493" s="260"/>
      <c r="N493" s="260"/>
      <c r="O493" s="260"/>
      <c r="P493" s="260"/>
      <c r="Q493" s="260"/>
      <c r="R493" s="260"/>
      <c r="S493" s="260"/>
      <c r="T493" s="260"/>
      <c r="U493" s="260"/>
      <c r="V493" s="260"/>
      <c r="W493" s="260"/>
      <c r="X493" s="260"/>
      <c r="Y493" s="260"/>
      <c r="Z493" s="260"/>
      <c r="AA493" s="260"/>
      <c r="AB493" s="260"/>
      <c r="AC493" s="260"/>
      <c r="AD493" s="260"/>
    </row>
    <row r="494" spans="1:30" ht="15" thickBot="1">
      <c r="A494" s="260"/>
      <c r="B494" s="260"/>
      <c r="C494" s="260"/>
      <c r="D494" s="260"/>
      <c r="E494" s="260"/>
      <c r="F494" s="260"/>
      <c r="G494" s="260"/>
      <c r="H494" s="260"/>
      <c r="I494" s="260"/>
      <c r="J494" s="260"/>
      <c r="K494" s="260"/>
      <c r="L494" s="260"/>
      <c r="M494" s="260"/>
      <c r="N494" s="260"/>
      <c r="O494" s="260"/>
      <c r="P494" s="260"/>
      <c r="Q494" s="260"/>
      <c r="R494" s="260"/>
      <c r="S494" s="260"/>
      <c r="T494" s="260"/>
      <c r="U494" s="260"/>
      <c r="V494" s="260"/>
      <c r="W494" s="260"/>
      <c r="X494" s="260"/>
      <c r="Y494" s="260"/>
      <c r="Z494" s="260"/>
      <c r="AA494" s="260"/>
      <c r="AB494" s="260"/>
      <c r="AC494" s="260"/>
      <c r="AD494" s="260"/>
    </row>
    <row r="495" spans="1:30" ht="15" thickBot="1">
      <c r="A495" s="260"/>
      <c r="B495" s="260"/>
      <c r="C495" s="260"/>
      <c r="D495" s="260"/>
      <c r="E495" s="260"/>
      <c r="F495" s="260"/>
      <c r="G495" s="260"/>
      <c r="H495" s="260"/>
      <c r="I495" s="260"/>
      <c r="J495" s="260"/>
      <c r="K495" s="260"/>
      <c r="L495" s="260"/>
      <c r="M495" s="260"/>
      <c r="N495" s="260"/>
      <c r="O495" s="260"/>
      <c r="P495" s="260"/>
      <c r="Q495" s="260"/>
      <c r="R495" s="260"/>
      <c r="S495" s="260"/>
      <c r="T495" s="260"/>
      <c r="U495" s="260"/>
      <c r="V495" s="260"/>
      <c r="W495" s="260"/>
      <c r="X495" s="260"/>
      <c r="Y495" s="260"/>
      <c r="Z495" s="260"/>
      <c r="AA495" s="260"/>
      <c r="AB495" s="260"/>
      <c r="AC495" s="260"/>
      <c r="AD495" s="260"/>
    </row>
    <row r="496" spans="1:30" ht="15" thickBot="1">
      <c r="A496" s="260"/>
      <c r="B496" s="260"/>
      <c r="C496" s="260"/>
      <c r="D496" s="260"/>
      <c r="E496" s="260"/>
      <c r="F496" s="260"/>
      <c r="G496" s="260"/>
      <c r="H496" s="260"/>
      <c r="I496" s="260"/>
      <c r="J496" s="260"/>
      <c r="K496" s="260"/>
      <c r="L496" s="260"/>
      <c r="M496" s="260"/>
      <c r="N496" s="260"/>
      <c r="O496" s="260"/>
      <c r="P496" s="260"/>
      <c r="Q496" s="260"/>
      <c r="R496" s="260"/>
      <c r="S496" s="260"/>
      <c r="T496" s="260"/>
      <c r="U496" s="260"/>
      <c r="V496" s="260"/>
      <c r="W496" s="260"/>
      <c r="X496" s="260"/>
      <c r="Y496" s="260"/>
      <c r="Z496" s="260"/>
      <c r="AA496" s="260"/>
      <c r="AB496" s="260"/>
      <c r="AC496" s="260"/>
      <c r="AD496" s="260"/>
    </row>
    <row r="497" spans="1:30" ht="15" thickBot="1">
      <c r="A497" s="260"/>
      <c r="B497" s="260"/>
      <c r="C497" s="260"/>
      <c r="D497" s="260"/>
      <c r="E497" s="260"/>
      <c r="F497" s="260"/>
      <c r="G497" s="260"/>
      <c r="H497" s="260"/>
      <c r="I497" s="260"/>
      <c r="J497" s="260"/>
      <c r="K497" s="260"/>
      <c r="L497" s="260"/>
      <c r="M497" s="260"/>
      <c r="N497" s="260"/>
      <c r="O497" s="260"/>
      <c r="P497" s="260"/>
      <c r="Q497" s="260"/>
      <c r="R497" s="260"/>
      <c r="S497" s="260"/>
      <c r="T497" s="260"/>
      <c r="U497" s="260"/>
      <c r="V497" s="260"/>
      <c r="W497" s="260"/>
      <c r="X497" s="260"/>
      <c r="Y497" s="260"/>
      <c r="Z497" s="260"/>
      <c r="AA497" s="260"/>
      <c r="AB497" s="260"/>
      <c r="AC497" s="260"/>
      <c r="AD497" s="260"/>
    </row>
    <row r="498" spans="1:30" ht="15" thickBot="1">
      <c r="A498" s="260"/>
      <c r="B498" s="260"/>
      <c r="C498" s="260"/>
      <c r="D498" s="260"/>
      <c r="E498" s="260"/>
      <c r="F498" s="260"/>
      <c r="G498" s="260"/>
      <c r="H498" s="260"/>
      <c r="I498" s="260"/>
      <c r="J498" s="260"/>
      <c r="K498" s="260"/>
      <c r="L498" s="260"/>
      <c r="M498" s="260"/>
      <c r="N498" s="260"/>
      <c r="O498" s="260"/>
      <c r="P498" s="260"/>
      <c r="Q498" s="260"/>
      <c r="R498" s="260"/>
      <c r="S498" s="260"/>
      <c r="T498" s="260"/>
      <c r="U498" s="260"/>
      <c r="V498" s="260"/>
      <c r="W498" s="260"/>
      <c r="X498" s="260"/>
      <c r="Y498" s="260"/>
      <c r="Z498" s="260"/>
      <c r="AA498" s="260"/>
      <c r="AB498" s="260"/>
      <c r="AC498" s="260"/>
      <c r="AD498" s="260"/>
    </row>
    <row r="499" spans="1:30" ht="15" thickBot="1">
      <c r="A499" s="260"/>
      <c r="B499" s="260"/>
      <c r="C499" s="260"/>
      <c r="D499" s="260"/>
      <c r="E499" s="260"/>
      <c r="F499" s="260"/>
      <c r="G499" s="260"/>
      <c r="H499" s="260"/>
      <c r="I499" s="260"/>
      <c r="J499" s="260"/>
      <c r="K499" s="260"/>
      <c r="L499" s="260"/>
      <c r="M499" s="260"/>
      <c r="N499" s="260"/>
      <c r="O499" s="260"/>
      <c r="P499" s="260"/>
      <c r="Q499" s="260"/>
      <c r="R499" s="260"/>
      <c r="S499" s="260"/>
      <c r="T499" s="260"/>
      <c r="U499" s="260"/>
      <c r="V499" s="260"/>
      <c r="W499" s="260"/>
      <c r="X499" s="260"/>
      <c r="Y499" s="260"/>
      <c r="Z499" s="260"/>
      <c r="AA499" s="260"/>
      <c r="AB499" s="260"/>
      <c r="AC499" s="260"/>
      <c r="AD499" s="260"/>
    </row>
    <row r="500" spans="1:30" ht="15" thickBot="1">
      <c r="A500" s="260"/>
      <c r="B500" s="260"/>
      <c r="C500" s="260"/>
      <c r="D500" s="260"/>
      <c r="E500" s="260"/>
      <c r="F500" s="260"/>
      <c r="G500" s="260"/>
      <c r="H500" s="260"/>
      <c r="I500" s="260"/>
      <c r="J500" s="260"/>
      <c r="K500" s="260"/>
      <c r="L500" s="260"/>
      <c r="M500" s="260"/>
      <c r="N500" s="260"/>
      <c r="O500" s="260"/>
      <c r="P500" s="260"/>
      <c r="Q500" s="260"/>
      <c r="R500" s="260"/>
      <c r="S500" s="260"/>
      <c r="T500" s="260"/>
      <c r="U500" s="260"/>
      <c r="V500" s="260"/>
      <c r="W500" s="260"/>
      <c r="X500" s="260"/>
      <c r="Y500" s="260"/>
      <c r="Z500" s="260"/>
      <c r="AA500" s="260"/>
      <c r="AB500" s="260"/>
      <c r="AC500" s="260"/>
      <c r="AD500" s="260"/>
    </row>
    <row r="501" spans="1:30" ht="15" thickBot="1">
      <c r="A501" s="260"/>
      <c r="B501" s="260"/>
      <c r="C501" s="260"/>
      <c r="D501" s="260"/>
      <c r="E501" s="260"/>
      <c r="F501" s="260"/>
      <c r="G501" s="260"/>
      <c r="H501" s="260"/>
      <c r="I501" s="260"/>
      <c r="J501" s="260"/>
      <c r="K501" s="260"/>
      <c r="L501" s="260"/>
      <c r="M501" s="260"/>
      <c r="N501" s="260"/>
      <c r="O501" s="260"/>
      <c r="P501" s="260"/>
      <c r="Q501" s="260"/>
      <c r="R501" s="260"/>
      <c r="S501" s="260"/>
      <c r="T501" s="260"/>
      <c r="U501" s="260"/>
      <c r="V501" s="260"/>
      <c r="W501" s="260"/>
      <c r="X501" s="260"/>
      <c r="Y501" s="260"/>
      <c r="Z501" s="260"/>
      <c r="AA501" s="260"/>
      <c r="AB501" s="260"/>
      <c r="AC501" s="260"/>
      <c r="AD501" s="260"/>
    </row>
    <row r="502" spans="1:30" ht="15" thickBot="1">
      <c r="A502" s="260"/>
      <c r="B502" s="260"/>
      <c r="C502" s="260"/>
      <c r="D502" s="260"/>
      <c r="E502" s="260"/>
      <c r="F502" s="260"/>
      <c r="G502" s="260"/>
      <c r="H502" s="260"/>
      <c r="I502" s="260"/>
      <c r="J502" s="260"/>
      <c r="K502" s="260"/>
      <c r="L502" s="260"/>
      <c r="M502" s="260"/>
      <c r="N502" s="260"/>
      <c r="O502" s="260"/>
      <c r="P502" s="260"/>
      <c r="Q502" s="260"/>
      <c r="R502" s="260"/>
      <c r="S502" s="260"/>
      <c r="T502" s="260"/>
      <c r="U502" s="260"/>
      <c r="V502" s="260"/>
      <c r="W502" s="260"/>
      <c r="X502" s="260"/>
      <c r="Y502" s="260"/>
      <c r="Z502" s="260"/>
      <c r="AA502" s="260"/>
      <c r="AB502" s="260"/>
      <c r="AC502" s="260"/>
      <c r="AD502" s="260"/>
    </row>
    <row r="503" spans="1:30" ht="15" thickBot="1">
      <c r="A503" s="260"/>
      <c r="B503" s="260"/>
      <c r="C503" s="260"/>
      <c r="D503" s="260"/>
      <c r="E503" s="260"/>
      <c r="F503" s="260"/>
      <c r="G503" s="260"/>
      <c r="H503" s="260"/>
      <c r="I503" s="260"/>
      <c r="J503" s="260"/>
      <c r="K503" s="260"/>
      <c r="L503" s="260"/>
      <c r="M503" s="260"/>
      <c r="N503" s="260"/>
      <c r="O503" s="260"/>
      <c r="P503" s="260"/>
      <c r="Q503" s="260"/>
      <c r="R503" s="260"/>
      <c r="S503" s="260"/>
      <c r="T503" s="260"/>
      <c r="U503" s="260"/>
      <c r="V503" s="260"/>
      <c r="W503" s="260"/>
      <c r="X503" s="260"/>
      <c r="Y503" s="260"/>
      <c r="Z503" s="260"/>
      <c r="AA503" s="260"/>
      <c r="AB503" s="260"/>
      <c r="AC503" s="260"/>
      <c r="AD503" s="260"/>
    </row>
    <row r="504" spans="1:30" ht="15" thickBot="1">
      <c r="A504" s="260"/>
      <c r="B504" s="260"/>
      <c r="C504" s="260"/>
      <c r="D504" s="260"/>
      <c r="E504" s="260"/>
      <c r="F504" s="260"/>
      <c r="G504" s="260"/>
      <c r="H504" s="260"/>
      <c r="I504" s="260"/>
      <c r="J504" s="260"/>
      <c r="K504" s="260"/>
      <c r="L504" s="260"/>
      <c r="M504" s="260"/>
      <c r="N504" s="260"/>
      <c r="O504" s="260"/>
      <c r="P504" s="260"/>
      <c r="Q504" s="260"/>
      <c r="R504" s="260"/>
      <c r="S504" s="260"/>
      <c r="T504" s="260"/>
      <c r="U504" s="260"/>
      <c r="V504" s="260"/>
      <c r="W504" s="260"/>
      <c r="X504" s="260"/>
      <c r="Y504" s="260"/>
      <c r="Z504" s="260"/>
      <c r="AA504" s="260"/>
      <c r="AB504" s="260"/>
      <c r="AC504" s="260"/>
      <c r="AD504" s="260"/>
    </row>
    <row r="505" spans="1:30" ht="15" thickBot="1">
      <c r="A505" s="260"/>
      <c r="B505" s="260"/>
      <c r="C505" s="260"/>
      <c r="D505" s="260"/>
      <c r="E505" s="260"/>
      <c r="F505" s="260"/>
      <c r="G505" s="260"/>
      <c r="H505" s="260"/>
      <c r="I505" s="260"/>
      <c r="J505" s="260"/>
      <c r="K505" s="260"/>
      <c r="L505" s="260"/>
      <c r="M505" s="260"/>
      <c r="N505" s="260"/>
      <c r="O505" s="260"/>
      <c r="P505" s="260"/>
      <c r="Q505" s="260"/>
      <c r="R505" s="260"/>
      <c r="S505" s="260"/>
      <c r="T505" s="260"/>
      <c r="U505" s="260"/>
      <c r="V505" s="260"/>
      <c r="W505" s="260"/>
      <c r="X505" s="260"/>
      <c r="Y505" s="260"/>
      <c r="Z505" s="260"/>
      <c r="AA505" s="260"/>
      <c r="AB505" s="260"/>
      <c r="AC505" s="260"/>
      <c r="AD505" s="260"/>
    </row>
    <row r="506" spans="1:30" ht="15" thickBot="1">
      <c r="A506" s="260"/>
      <c r="B506" s="260"/>
      <c r="C506" s="260"/>
      <c r="D506" s="260"/>
      <c r="E506" s="260"/>
      <c r="F506" s="260"/>
      <c r="G506" s="260"/>
      <c r="H506" s="260"/>
      <c r="I506" s="260"/>
      <c r="J506" s="260"/>
      <c r="K506" s="260"/>
      <c r="L506" s="260"/>
      <c r="M506" s="260"/>
      <c r="N506" s="260"/>
      <c r="O506" s="260"/>
      <c r="P506" s="260"/>
      <c r="Q506" s="260"/>
      <c r="R506" s="260"/>
      <c r="S506" s="260"/>
      <c r="T506" s="260"/>
      <c r="U506" s="260"/>
      <c r="V506" s="260"/>
      <c r="W506" s="260"/>
      <c r="X506" s="260"/>
      <c r="Y506" s="260"/>
      <c r="Z506" s="260"/>
      <c r="AA506" s="260"/>
      <c r="AB506" s="260"/>
      <c r="AC506" s="260"/>
      <c r="AD506" s="260"/>
    </row>
    <row r="507" spans="1:30" ht="15" thickBot="1">
      <c r="A507" s="260"/>
      <c r="B507" s="260"/>
      <c r="C507" s="260"/>
      <c r="D507" s="260"/>
      <c r="E507" s="260"/>
      <c r="F507" s="260"/>
      <c r="G507" s="260"/>
      <c r="H507" s="260"/>
      <c r="I507" s="260"/>
      <c r="J507" s="260"/>
      <c r="K507" s="260"/>
      <c r="L507" s="260"/>
      <c r="M507" s="260"/>
      <c r="N507" s="260"/>
      <c r="O507" s="260"/>
      <c r="P507" s="260"/>
      <c r="Q507" s="260"/>
      <c r="R507" s="260"/>
      <c r="S507" s="260"/>
      <c r="T507" s="260"/>
      <c r="U507" s="260"/>
      <c r="V507" s="260"/>
      <c r="W507" s="260"/>
      <c r="X507" s="260"/>
      <c r="Y507" s="260"/>
      <c r="Z507" s="260"/>
      <c r="AA507" s="260"/>
      <c r="AB507" s="260"/>
      <c r="AC507" s="260"/>
      <c r="AD507" s="260"/>
    </row>
    <row r="508" spans="1:30" ht="15" thickBot="1">
      <c r="A508" s="260"/>
      <c r="B508" s="260"/>
      <c r="C508" s="260"/>
      <c r="D508" s="260"/>
      <c r="E508" s="260"/>
      <c r="F508" s="260"/>
      <c r="G508" s="260"/>
      <c r="H508" s="260"/>
      <c r="I508" s="260"/>
      <c r="J508" s="260"/>
      <c r="K508" s="260"/>
      <c r="L508" s="260"/>
      <c r="M508" s="260"/>
      <c r="N508" s="260"/>
      <c r="O508" s="260"/>
      <c r="P508" s="260"/>
      <c r="Q508" s="260"/>
      <c r="R508" s="260"/>
      <c r="S508" s="260"/>
      <c r="T508" s="260"/>
      <c r="U508" s="260"/>
      <c r="V508" s="260"/>
      <c r="W508" s="260"/>
      <c r="X508" s="260"/>
      <c r="Y508" s="260"/>
      <c r="Z508" s="260"/>
      <c r="AA508" s="260"/>
      <c r="AB508" s="260"/>
      <c r="AC508" s="260"/>
      <c r="AD508" s="260"/>
    </row>
    <row r="509" spans="1:30" ht="15" thickBot="1">
      <c r="A509" s="260"/>
      <c r="B509" s="260"/>
      <c r="C509" s="260"/>
      <c r="D509" s="260"/>
      <c r="E509" s="260"/>
      <c r="F509" s="260"/>
      <c r="G509" s="260"/>
      <c r="H509" s="260"/>
      <c r="I509" s="260"/>
      <c r="J509" s="260"/>
      <c r="K509" s="260"/>
      <c r="L509" s="260"/>
      <c r="M509" s="260"/>
      <c r="N509" s="260"/>
      <c r="O509" s="260"/>
      <c r="P509" s="260"/>
      <c r="Q509" s="260"/>
      <c r="R509" s="260"/>
      <c r="S509" s="260"/>
      <c r="T509" s="260"/>
      <c r="U509" s="260"/>
      <c r="V509" s="260"/>
      <c r="W509" s="260"/>
      <c r="X509" s="260"/>
      <c r="Y509" s="260"/>
      <c r="Z509" s="260"/>
      <c r="AA509" s="260"/>
      <c r="AB509" s="260"/>
      <c r="AC509" s="260"/>
      <c r="AD509" s="260"/>
    </row>
    <row r="510" spans="1:30" ht="15" thickBot="1">
      <c r="A510" s="260"/>
      <c r="B510" s="260"/>
      <c r="C510" s="260"/>
      <c r="D510" s="260"/>
      <c r="E510" s="260"/>
      <c r="F510" s="260"/>
      <c r="G510" s="260"/>
      <c r="H510" s="260"/>
      <c r="I510" s="260"/>
      <c r="J510" s="260"/>
      <c r="K510" s="260"/>
      <c r="L510" s="260"/>
      <c r="M510" s="260"/>
      <c r="N510" s="260"/>
      <c r="O510" s="260"/>
      <c r="P510" s="260"/>
      <c r="Q510" s="260"/>
      <c r="R510" s="260"/>
      <c r="S510" s="260"/>
      <c r="T510" s="260"/>
      <c r="U510" s="260"/>
      <c r="V510" s="260"/>
      <c r="W510" s="260"/>
      <c r="X510" s="260"/>
      <c r="Y510" s="260"/>
      <c r="Z510" s="260"/>
      <c r="AA510" s="260"/>
      <c r="AB510" s="260"/>
      <c r="AC510" s="260"/>
      <c r="AD510" s="260"/>
    </row>
    <row r="511" spans="1:30" ht="15" thickBot="1">
      <c r="A511" s="260"/>
      <c r="B511" s="260"/>
      <c r="C511" s="260"/>
      <c r="D511" s="260"/>
      <c r="E511" s="260"/>
      <c r="F511" s="260"/>
      <c r="G511" s="260"/>
      <c r="H511" s="260"/>
      <c r="I511" s="260"/>
      <c r="J511" s="260"/>
      <c r="K511" s="260"/>
      <c r="L511" s="260"/>
      <c r="M511" s="260"/>
      <c r="N511" s="260"/>
      <c r="O511" s="260"/>
      <c r="P511" s="260"/>
      <c r="Q511" s="260"/>
      <c r="R511" s="260"/>
      <c r="S511" s="260"/>
      <c r="T511" s="260"/>
      <c r="U511" s="260"/>
      <c r="V511" s="260"/>
      <c r="W511" s="260"/>
      <c r="X511" s="260"/>
      <c r="Y511" s="260"/>
      <c r="Z511" s="260"/>
      <c r="AA511" s="260"/>
      <c r="AB511" s="260"/>
      <c r="AC511" s="260"/>
      <c r="AD511" s="260"/>
    </row>
    <row r="512" spans="1:30" ht="15" thickBot="1">
      <c r="A512" s="260"/>
      <c r="B512" s="260"/>
      <c r="C512" s="260"/>
      <c r="D512" s="260"/>
      <c r="E512" s="260"/>
      <c r="F512" s="260"/>
      <c r="G512" s="260"/>
      <c r="H512" s="260"/>
      <c r="I512" s="260"/>
      <c r="J512" s="260"/>
      <c r="K512" s="260"/>
      <c r="L512" s="260"/>
      <c r="M512" s="260"/>
      <c r="N512" s="260"/>
      <c r="O512" s="260"/>
      <c r="P512" s="260"/>
      <c r="Q512" s="260"/>
      <c r="R512" s="260"/>
      <c r="S512" s="260"/>
      <c r="T512" s="260"/>
      <c r="U512" s="260"/>
      <c r="V512" s="260"/>
      <c r="W512" s="260"/>
      <c r="X512" s="260"/>
      <c r="Y512" s="260"/>
      <c r="Z512" s="260"/>
      <c r="AA512" s="260"/>
      <c r="AB512" s="260"/>
      <c r="AC512" s="260"/>
      <c r="AD512" s="260"/>
    </row>
    <row r="513" spans="1:30" ht="15" thickBot="1">
      <c r="A513" s="260"/>
      <c r="B513" s="260"/>
      <c r="C513" s="260"/>
      <c r="D513" s="260"/>
      <c r="E513" s="260"/>
      <c r="F513" s="260"/>
      <c r="G513" s="260"/>
      <c r="H513" s="260"/>
      <c r="I513" s="260"/>
      <c r="J513" s="260"/>
      <c r="K513" s="260"/>
      <c r="L513" s="260"/>
      <c r="M513" s="260"/>
      <c r="N513" s="260"/>
      <c r="O513" s="260"/>
      <c r="P513" s="260"/>
      <c r="Q513" s="260"/>
      <c r="R513" s="260"/>
      <c r="S513" s="260"/>
      <c r="T513" s="260"/>
      <c r="U513" s="260"/>
      <c r="V513" s="260"/>
      <c r="W513" s="260"/>
      <c r="X513" s="260"/>
      <c r="Y513" s="260"/>
      <c r="Z513" s="260"/>
      <c r="AA513" s="260"/>
      <c r="AB513" s="260"/>
      <c r="AC513" s="260"/>
      <c r="AD513" s="260"/>
    </row>
    <row r="514" spans="1:30" ht="15" thickBot="1">
      <c r="A514" s="260"/>
      <c r="B514" s="260"/>
      <c r="C514" s="260"/>
      <c r="D514" s="260"/>
      <c r="E514" s="260"/>
      <c r="F514" s="260"/>
      <c r="G514" s="260"/>
      <c r="H514" s="260"/>
      <c r="I514" s="260"/>
      <c r="J514" s="260"/>
      <c r="K514" s="260"/>
      <c r="L514" s="260"/>
      <c r="M514" s="260"/>
      <c r="N514" s="260"/>
      <c r="O514" s="260"/>
      <c r="P514" s="260"/>
      <c r="Q514" s="260"/>
      <c r="R514" s="260"/>
      <c r="S514" s="260"/>
      <c r="T514" s="260"/>
      <c r="U514" s="260"/>
      <c r="V514" s="260"/>
      <c r="W514" s="260"/>
      <c r="X514" s="260"/>
      <c r="Y514" s="260"/>
      <c r="Z514" s="260"/>
      <c r="AA514" s="260"/>
      <c r="AB514" s="260"/>
      <c r="AC514" s="260"/>
      <c r="AD514" s="260"/>
    </row>
    <row r="515" spans="1:30" ht="15" thickBot="1">
      <c r="A515" s="260"/>
      <c r="B515" s="260"/>
      <c r="C515" s="260"/>
      <c r="D515" s="260"/>
      <c r="E515" s="260"/>
      <c r="F515" s="260"/>
      <c r="G515" s="260"/>
      <c r="H515" s="260"/>
      <c r="I515" s="260"/>
      <c r="J515" s="260"/>
      <c r="K515" s="260"/>
      <c r="L515" s="260"/>
      <c r="M515" s="260"/>
      <c r="N515" s="260"/>
      <c r="O515" s="260"/>
      <c r="P515" s="260"/>
      <c r="Q515" s="260"/>
      <c r="R515" s="260"/>
      <c r="S515" s="260"/>
      <c r="T515" s="260"/>
      <c r="U515" s="260"/>
      <c r="V515" s="260"/>
      <c r="W515" s="260"/>
      <c r="X515" s="260"/>
      <c r="Y515" s="260"/>
      <c r="Z515" s="260"/>
      <c r="AA515" s="260"/>
      <c r="AB515" s="260"/>
      <c r="AC515" s="260"/>
      <c r="AD515" s="260"/>
    </row>
    <row r="516" spans="1:30" ht="15" thickBot="1">
      <c r="A516" s="260"/>
      <c r="B516" s="260"/>
      <c r="C516" s="260"/>
      <c r="D516" s="260"/>
      <c r="E516" s="260"/>
      <c r="F516" s="260"/>
      <c r="G516" s="260"/>
      <c r="H516" s="260"/>
      <c r="I516" s="260"/>
      <c r="J516" s="260"/>
      <c r="K516" s="260"/>
      <c r="L516" s="260"/>
      <c r="M516" s="260"/>
      <c r="N516" s="260"/>
      <c r="O516" s="260"/>
      <c r="P516" s="260"/>
      <c r="Q516" s="260"/>
      <c r="R516" s="260"/>
      <c r="S516" s="260"/>
      <c r="T516" s="260"/>
      <c r="U516" s="260"/>
      <c r="V516" s="260"/>
      <c r="W516" s="260"/>
      <c r="X516" s="260"/>
      <c r="Y516" s="260"/>
      <c r="Z516" s="260"/>
      <c r="AA516" s="260"/>
      <c r="AB516" s="260"/>
      <c r="AC516" s="260"/>
      <c r="AD516" s="260"/>
    </row>
    <row r="517" spans="1:30" ht="15" thickBot="1">
      <c r="A517" s="260"/>
      <c r="B517" s="260"/>
      <c r="C517" s="260"/>
      <c r="D517" s="260"/>
      <c r="E517" s="260"/>
      <c r="F517" s="260"/>
      <c r="G517" s="260"/>
      <c r="H517" s="260"/>
      <c r="I517" s="260"/>
      <c r="J517" s="260"/>
      <c r="K517" s="260"/>
      <c r="L517" s="260"/>
      <c r="M517" s="260"/>
      <c r="N517" s="260"/>
      <c r="O517" s="260"/>
      <c r="P517" s="260"/>
      <c r="Q517" s="260"/>
      <c r="R517" s="260"/>
      <c r="S517" s="260"/>
      <c r="T517" s="260"/>
      <c r="U517" s="260"/>
      <c r="V517" s="260"/>
      <c r="W517" s="260"/>
      <c r="X517" s="260"/>
      <c r="Y517" s="260"/>
      <c r="Z517" s="260"/>
      <c r="AA517" s="260"/>
      <c r="AB517" s="260"/>
      <c r="AC517" s="260"/>
      <c r="AD517" s="260"/>
    </row>
    <row r="518" spans="1:30" ht="15" thickBot="1">
      <c r="A518" s="260"/>
      <c r="B518" s="260"/>
      <c r="C518" s="260"/>
      <c r="D518" s="260"/>
      <c r="E518" s="260"/>
      <c r="F518" s="260"/>
      <c r="G518" s="260"/>
      <c r="H518" s="260"/>
      <c r="I518" s="260"/>
      <c r="J518" s="260"/>
      <c r="K518" s="260"/>
      <c r="L518" s="260"/>
      <c r="M518" s="260"/>
      <c r="N518" s="260"/>
      <c r="O518" s="260"/>
      <c r="P518" s="260"/>
      <c r="Q518" s="260"/>
      <c r="R518" s="260"/>
      <c r="S518" s="260"/>
      <c r="T518" s="260"/>
      <c r="U518" s="260"/>
      <c r="V518" s="260"/>
      <c r="W518" s="260"/>
      <c r="X518" s="260"/>
      <c r="Y518" s="260"/>
      <c r="Z518" s="260"/>
      <c r="AA518" s="260"/>
      <c r="AB518" s="260"/>
      <c r="AC518" s="260"/>
      <c r="AD518" s="260"/>
    </row>
    <row r="519" spans="1:30" ht="15" thickBot="1">
      <c r="A519" s="260"/>
      <c r="B519" s="260"/>
      <c r="C519" s="260"/>
      <c r="D519" s="260"/>
      <c r="E519" s="260"/>
      <c r="F519" s="260"/>
      <c r="G519" s="260"/>
      <c r="H519" s="260"/>
      <c r="I519" s="260"/>
      <c r="J519" s="260"/>
      <c r="K519" s="260"/>
      <c r="L519" s="260"/>
      <c r="M519" s="260"/>
      <c r="N519" s="260"/>
      <c r="O519" s="260"/>
      <c r="P519" s="260"/>
      <c r="Q519" s="260"/>
      <c r="R519" s="260"/>
      <c r="S519" s="260"/>
      <c r="T519" s="260"/>
      <c r="U519" s="260"/>
      <c r="V519" s="260"/>
      <c r="W519" s="260"/>
      <c r="X519" s="260"/>
      <c r="Y519" s="260"/>
      <c r="Z519" s="260"/>
      <c r="AA519" s="260"/>
      <c r="AB519" s="260"/>
      <c r="AC519" s="260"/>
      <c r="AD519" s="260"/>
    </row>
    <row r="520" spans="1:30" ht="15" thickBot="1">
      <c r="A520" s="260"/>
      <c r="B520" s="260"/>
      <c r="C520" s="260"/>
      <c r="D520" s="260"/>
      <c r="E520" s="260"/>
      <c r="F520" s="260"/>
      <c r="G520" s="260"/>
      <c r="H520" s="260"/>
      <c r="I520" s="260"/>
      <c r="J520" s="260"/>
      <c r="K520" s="260"/>
      <c r="L520" s="260"/>
      <c r="M520" s="260"/>
      <c r="N520" s="260"/>
      <c r="O520" s="260"/>
      <c r="P520" s="260"/>
      <c r="Q520" s="260"/>
      <c r="R520" s="260"/>
      <c r="S520" s="260"/>
      <c r="T520" s="260"/>
      <c r="U520" s="260"/>
      <c r="V520" s="260"/>
      <c r="W520" s="260"/>
      <c r="X520" s="260"/>
      <c r="Y520" s="260"/>
      <c r="Z520" s="260"/>
      <c r="AA520" s="260"/>
      <c r="AB520" s="260"/>
      <c r="AC520" s="260"/>
      <c r="AD520" s="260"/>
    </row>
    <row r="521" spans="1:30" ht="15" thickBot="1">
      <c r="A521" s="260"/>
      <c r="B521" s="260"/>
      <c r="C521" s="260"/>
      <c r="D521" s="260"/>
      <c r="E521" s="260"/>
      <c r="F521" s="260"/>
      <c r="G521" s="260"/>
      <c r="H521" s="260"/>
      <c r="I521" s="260"/>
      <c r="J521" s="260"/>
      <c r="K521" s="260"/>
      <c r="L521" s="260"/>
      <c r="M521" s="260"/>
      <c r="N521" s="260"/>
      <c r="O521" s="260"/>
      <c r="P521" s="260"/>
      <c r="Q521" s="260"/>
      <c r="R521" s="260"/>
      <c r="S521" s="260"/>
      <c r="T521" s="260"/>
      <c r="U521" s="260"/>
      <c r="V521" s="260"/>
      <c r="W521" s="260"/>
      <c r="X521" s="260"/>
      <c r="Y521" s="260"/>
      <c r="Z521" s="260"/>
      <c r="AA521" s="260"/>
      <c r="AB521" s="260"/>
      <c r="AC521" s="260"/>
      <c r="AD521" s="260"/>
    </row>
    <row r="522" spans="1:30" ht="15" thickBot="1">
      <c r="A522" s="260"/>
      <c r="B522" s="260"/>
      <c r="C522" s="260"/>
      <c r="D522" s="260"/>
      <c r="E522" s="260"/>
      <c r="F522" s="260"/>
      <c r="G522" s="260"/>
      <c r="H522" s="260"/>
      <c r="I522" s="260"/>
      <c r="J522" s="260"/>
      <c r="K522" s="260"/>
      <c r="L522" s="260"/>
      <c r="M522" s="260"/>
      <c r="N522" s="260"/>
      <c r="O522" s="260"/>
      <c r="P522" s="260"/>
      <c r="Q522" s="260"/>
      <c r="R522" s="260"/>
      <c r="S522" s="260"/>
      <c r="T522" s="260"/>
      <c r="U522" s="260"/>
      <c r="V522" s="260"/>
      <c r="W522" s="260"/>
      <c r="X522" s="260"/>
      <c r="Y522" s="260"/>
      <c r="Z522" s="260"/>
      <c r="AA522" s="260"/>
      <c r="AB522" s="260"/>
      <c r="AC522" s="260"/>
      <c r="AD522" s="260"/>
    </row>
    <row r="523" spans="1:30" ht="15" thickBot="1">
      <c r="A523" s="260"/>
      <c r="B523" s="260"/>
      <c r="C523" s="260"/>
      <c r="D523" s="260"/>
      <c r="E523" s="260"/>
      <c r="F523" s="260"/>
      <c r="G523" s="260"/>
      <c r="H523" s="260"/>
      <c r="I523" s="260"/>
      <c r="J523" s="260"/>
      <c r="K523" s="260"/>
      <c r="L523" s="260"/>
      <c r="M523" s="260"/>
      <c r="N523" s="260"/>
      <c r="O523" s="260"/>
      <c r="P523" s="260"/>
      <c r="Q523" s="260"/>
      <c r="R523" s="260"/>
      <c r="S523" s="260"/>
      <c r="T523" s="260"/>
      <c r="U523" s="260"/>
      <c r="V523" s="260"/>
      <c r="W523" s="260"/>
      <c r="X523" s="260"/>
      <c r="Y523" s="260"/>
      <c r="Z523" s="260"/>
      <c r="AA523" s="260"/>
      <c r="AB523" s="260"/>
      <c r="AC523" s="260"/>
      <c r="AD523" s="260"/>
    </row>
    <row r="524" spans="1:30" ht="15" thickBot="1">
      <c r="A524" s="260"/>
      <c r="B524" s="260"/>
      <c r="C524" s="260"/>
      <c r="D524" s="260"/>
      <c r="E524" s="260"/>
      <c r="F524" s="260"/>
      <c r="G524" s="260"/>
      <c r="H524" s="260"/>
      <c r="I524" s="260"/>
      <c r="J524" s="260"/>
      <c r="K524" s="260"/>
      <c r="L524" s="260"/>
      <c r="M524" s="260"/>
      <c r="N524" s="260"/>
      <c r="O524" s="260"/>
      <c r="P524" s="260"/>
      <c r="Q524" s="260"/>
      <c r="R524" s="260"/>
      <c r="S524" s="260"/>
      <c r="T524" s="260"/>
      <c r="U524" s="260"/>
      <c r="V524" s="260"/>
      <c r="W524" s="260"/>
      <c r="X524" s="260"/>
      <c r="Y524" s="260"/>
      <c r="Z524" s="260"/>
      <c r="AA524" s="260"/>
      <c r="AB524" s="260"/>
      <c r="AC524" s="260"/>
      <c r="AD524" s="260"/>
    </row>
    <row r="525" spans="1:30" ht="15" thickBot="1">
      <c r="A525" s="260"/>
      <c r="B525" s="260"/>
      <c r="C525" s="260"/>
      <c r="D525" s="260"/>
      <c r="E525" s="260"/>
      <c r="F525" s="260"/>
      <c r="G525" s="260"/>
      <c r="H525" s="260"/>
      <c r="I525" s="260"/>
      <c r="J525" s="260"/>
      <c r="K525" s="260"/>
      <c r="L525" s="260"/>
      <c r="M525" s="260"/>
      <c r="N525" s="260"/>
      <c r="O525" s="260"/>
      <c r="P525" s="260"/>
      <c r="Q525" s="260"/>
      <c r="R525" s="260"/>
      <c r="S525" s="260"/>
      <c r="T525" s="260"/>
      <c r="U525" s="260"/>
      <c r="V525" s="260"/>
      <c r="W525" s="260"/>
      <c r="X525" s="260"/>
      <c r="Y525" s="260"/>
      <c r="Z525" s="260"/>
      <c r="AA525" s="260"/>
      <c r="AB525" s="260"/>
      <c r="AC525" s="260"/>
      <c r="AD525" s="260"/>
    </row>
    <row r="526" spans="1:30" ht="15" thickBot="1">
      <c r="A526" s="260"/>
      <c r="B526" s="260"/>
      <c r="C526" s="260"/>
      <c r="D526" s="260"/>
      <c r="E526" s="260"/>
      <c r="F526" s="260"/>
      <c r="G526" s="260"/>
      <c r="H526" s="260"/>
      <c r="I526" s="260"/>
      <c r="J526" s="260"/>
      <c r="K526" s="260"/>
      <c r="L526" s="260"/>
      <c r="M526" s="260"/>
      <c r="N526" s="260"/>
      <c r="O526" s="260"/>
      <c r="P526" s="260"/>
      <c r="Q526" s="260"/>
      <c r="R526" s="260"/>
      <c r="S526" s="260"/>
      <c r="T526" s="260"/>
      <c r="U526" s="260"/>
      <c r="V526" s="260"/>
      <c r="W526" s="260"/>
      <c r="X526" s="260"/>
      <c r="Y526" s="260"/>
      <c r="Z526" s="260"/>
      <c r="AA526" s="260"/>
      <c r="AB526" s="260"/>
      <c r="AC526" s="260"/>
      <c r="AD526" s="260"/>
    </row>
    <row r="527" spans="1:30" ht="15" thickBot="1">
      <c r="A527" s="260"/>
      <c r="B527" s="260"/>
      <c r="C527" s="260"/>
      <c r="D527" s="260"/>
      <c r="E527" s="260"/>
      <c r="F527" s="260"/>
      <c r="G527" s="260"/>
      <c r="H527" s="260"/>
      <c r="I527" s="260"/>
      <c r="J527" s="260"/>
      <c r="K527" s="260"/>
      <c r="L527" s="260"/>
      <c r="M527" s="260"/>
      <c r="N527" s="260"/>
      <c r="O527" s="260"/>
      <c r="P527" s="260"/>
      <c r="Q527" s="260"/>
      <c r="R527" s="260"/>
      <c r="S527" s="260"/>
      <c r="T527" s="260"/>
      <c r="U527" s="260"/>
      <c r="V527" s="260"/>
      <c r="W527" s="260"/>
      <c r="X527" s="260"/>
      <c r="Y527" s="260"/>
      <c r="Z527" s="260"/>
      <c r="AA527" s="260"/>
      <c r="AB527" s="260"/>
      <c r="AC527" s="260"/>
      <c r="AD527" s="260"/>
    </row>
    <row r="528" spans="1:30" ht="15" thickBot="1">
      <c r="A528" s="260"/>
      <c r="B528" s="260"/>
      <c r="C528" s="260"/>
      <c r="D528" s="260"/>
      <c r="E528" s="260"/>
      <c r="F528" s="260"/>
      <c r="G528" s="260"/>
      <c r="H528" s="260"/>
      <c r="I528" s="260"/>
      <c r="J528" s="260"/>
      <c r="K528" s="260"/>
      <c r="L528" s="260"/>
      <c r="M528" s="260"/>
      <c r="N528" s="260"/>
      <c r="O528" s="260"/>
      <c r="P528" s="260"/>
      <c r="Q528" s="260"/>
      <c r="R528" s="260"/>
      <c r="S528" s="260"/>
      <c r="T528" s="260"/>
      <c r="U528" s="260"/>
      <c r="V528" s="260"/>
      <c r="W528" s="260"/>
      <c r="X528" s="260"/>
      <c r="Y528" s="260"/>
      <c r="Z528" s="260"/>
      <c r="AA528" s="260"/>
      <c r="AB528" s="260"/>
      <c r="AC528" s="260"/>
      <c r="AD528" s="260"/>
    </row>
    <row r="529" spans="1:30" ht="15" thickBot="1">
      <c r="A529" s="260"/>
      <c r="B529" s="260"/>
      <c r="C529" s="260"/>
      <c r="D529" s="260"/>
      <c r="E529" s="260"/>
      <c r="F529" s="260"/>
      <c r="G529" s="260"/>
      <c r="H529" s="260"/>
      <c r="I529" s="260"/>
      <c r="J529" s="260"/>
      <c r="K529" s="260"/>
      <c r="L529" s="260"/>
      <c r="M529" s="260"/>
      <c r="N529" s="260"/>
      <c r="O529" s="260"/>
      <c r="P529" s="260"/>
      <c r="Q529" s="260"/>
      <c r="R529" s="260"/>
      <c r="S529" s="260"/>
      <c r="T529" s="260"/>
      <c r="U529" s="260"/>
      <c r="V529" s="260"/>
      <c r="W529" s="260"/>
      <c r="X529" s="260"/>
      <c r="Y529" s="260"/>
      <c r="Z529" s="260"/>
      <c r="AA529" s="260"/>
      <c r="AB529" s="260"/>
      <c r="AC529" s="260"/>
      <c r="AD529" s="260"/>
    </row>
    <row r="530" spans="1:30" ht="15" thickBot="1">
      <c r="A530" s="260"/>
      <c r="B530" s="260"/>
      <c r="C530" s="260"/>
      <c r="D530" s="260"/>
      <c r="E530" s="260"/>
      <c r="F530" s="260"/>
      <c r="G530" s="260"/>
      <c r="H530" s="260"/>
      <c r="I530" s="260"/>
      <c r="J530" s="260"/>
      <c r="K530" s="260"/>
      <c r="L530" s="260"/>
      <c r="M530" s="260"/>
      <c r="N530" s="260"/>
      <c r="O530" s="260"/>
      <c r="P530" s="260"/>
      <c r="Q530" s="260"/>
      <c r="R530" s="260"/>
      <c r="S530" s="260"/>
      <c r="T530" s="260"/>
      <c r="U530" s="260"/>
      <c r="V530" s="260"/>
      <c r="W530" s="260"/>
      <c r="X530" s="260"/>
      <c r="Y530" s="260"/>
      <c r="Z530" s="260"/>
      <c r="AA530" s="260"/>
      <c r="AB530" s="260"/>
      <c r="AC530" s="260"/>
      <c r="AD530" s="260"/>
    </row>
    <row r="531" spans="1:30" ht="15" thickBot="1">
      <c r="A531" s="260"/>
      <c r="B531" s="260"/>
      <c r="C531" s="260"/>
      <c r="D531" s="260"/>
      <c r="E531" s="260"/>
      <c r="F531" s="260"/>
      <c r="G531" s="260"/>
      <c r="H531" s="260"/>
      <c r="I531" s="260"/>
      <c r="J531" s="260"/>
      <c r="K531" s="260"/>
      <c r="L531" s="260"/>
      <c r="M531" s="260"/>
      <c r="N531" s="260"/>
      <c r="O531" s="260"/>
      <c r="P531" s="260"/>
      <c r="Q531" s="260"/>
      <c r="R531" s="260"/>
      <c r="S531" s="260"/>
      <c r="T531" s="260"/>
      <c r="U531" s="260"/>
      <c r="V531" s="260"/>
      <c r="W531" s="260"/>
      <c r="X531" s="260"/>
      <c r="Y531" s="260"/>
      <c r="Z531" s="260"/>
      <c r="AA531" s="260"/>
      <c r="AB531" s="260"/>
      <c r="AC531" s="260"/>
      <c r="AD531" s="260"/>
    </row>
    <row r="532" spans="1:30" ht="15" thickBot="1">
      <c r="A532" s="260"/>
      <c r="B532" s="260"/>
      <c r="C532" s="260"/>
      <c r="D532" s="260"/>
      <c r="E532" s="260"/>
      <c r="F532" s="260"/>
      <c r="G532" s="260"/>
      <c r="H532" s="260"/>
      <c r="I532" s="260"/>
      <c r="J532" s="260"/>
      <c r="K532" s="260"/>
      <c r="L532" s="260"/>
      <c r="M532" s="260"/>
      <c r="N532" s="260"/>
      <c r="O532" s="260"/>
      <c r="P532" s="260"/>
      <c r="Q532" s="260"/>
      <c r="R532" s="260"/>
      <c r="S532" s="260"/>
      <c r="T532" s="260"/>
      <c r="U532" s="260"/>
      <c r="V532" s="260"/>
      <c r="W532" s="260"/>
      <c r="X532" s="260"/>
      <c r="Y532" s="260"/>
      <c r="Z532" s="260"/>
      <c r="AA532" s="260"/>
      <c r="AB532" s="260"/>
      <c r="AC532" s="260"/>
      <c r="AD532" s="260"/>
    </row>
    <row r="533" spans="1:30" ht="15" thickBot="1">
      <c r="A533" s="260"/>
      <c r="B533" s="260"/>
      <c r="C533" s="260"/>
      <c r="D533" s="260"/>
      <c r="E533" s="260"/>
      <c r="F533" s="260"/>
      <c r="G533" s="260"/>
      <c r="H533" s="260"/>
      <c r="I533" s="260"/>
      <c r="J533" s="260"/>
      <c r="K533" s="260"/>
      <c r="L533" s="260"/>
      <c r="M533" s="260"/>
      <c r="N533" s="260"/>
      <c r="O533" s="260"/>
      <c r="P533" s="260"/>
      <c r="Q533" s="260"/>
      <c r="R533" s="260"/>
      <c r="S533" s="260"/>
      <c r="T533" s="260"/>
      <c r="U533" s="260"/>
      <c r="V533" s="260"/>
      <c r="W533" s="260"/>
      <c r="X533" s="260"/>
      <c r="Y533" s="260"/>
      <c r="Z533" s="260"/>
      <c r="AA533" s="260"/>
      <c r="AB533" s="260"/>
      <c r="AC533" s="260"/>
      <c r="AD533" s="260"/>
    </row>
    <row r="534" spans="1:30" ht="15" thickBot="1">
      <c r="A534" s="260"/>
      <c r="B534" s="260"/>
      <c r="C534" s="260"/>
      <c r="D534" s="260"/>
      <c r="E534" s="260"/>
      <c r="F534" s="260"/>
      <c r="G534" s="260"/>
      <c r="H534" s="260"/>
      <c r="I534" s="260"/>
      <c r="J534" s="260"/>
      <c r="K534" s="260"/>
      <c r="L534" s="260"/>
      <c r="M534" s="260"/>
      <c r="N534" s="260"/>
      <c r="O534" s="260"/>
      <c r="P534" s="260"/>
      <c r="Q534" s="260"/>
      <c r="R534" s="260"/>
      <c r="S534" s="260"/>
      <c r="T534" s="260"/>
      <c r="U534" s="260"/>
      <c r="V534" s="260"/>
      <c r="W534" s="260"/>
      <c r="X534" s="260"/>
      <c r="Y534" s="260"/>
      <c r="Z534" s="260"/>
      <c r="AA534" s="260"/>
      <c r="AB534" s="260"/>
      <c r="AC534" s="260"/>
      <c r="AD534" s="260"/>
    </row>
    <row r="535" spans="1:30" ht="15" thickBot="1">
      <c r="A535" s="260"/>
      <c r="B535" s="260"/>
      <c r="C535" s="260"/>
      <c r="D535" s="260"/>
      <c r="E535" s="260"/>
      <c r="F535" s="260"/>
      <c r="G535" s="260"/>
      <c r="H535" s="260"/>
      <c r="I535" s="260"/>
      <c r="J535" s="260"/>
      <c r="K535" s="260"/>
      <c r="L535" s="260"/>
      <c r="M535" s="260"/>
      <c r="N535" s="260"/>
      <c r="O535" s="260"/>
      <c r="P535" s="260"/>
      <c r="Q535" s="260"/>
      <c r="R535" s="260"/>
      <c r="S535" s="260"/>
      <c r="T535" s="260"/>
      <c r="U535" s="260"/>
      <c r="V535" s="260"/>
      <c r="W535" s="260"/>
      <c r="X535" s="260"/>
      <c r="Y535" s="260"/>
      <c r="Z535" s="260"/>
      <c r="AA535" s="260"/>
      <c r="AB535" s="260"/>
      <c r="AC535" s="260"/>
      <c r="AD535" s="260"/>
    </row>
    <row r="536" spans="1:30" ht="15" thickBot="1">
      <c r="A536" s="260"/>
      <c r="B536" s="260"/>
      <c r="C536" s="260"/>
      <c r="D536" s="260"/>
      <c r="E536" s="260"/>
      <c r="F536" s="260"/>
      <c r="G536" s="260"/>
      <c r="H536" s="260"/>
      <c r="I536" s="260"/>
      <c r="J536" s="260"/>
      <c r="K536" s="260"/>
      <c r="L536" s="260"/>
      <c r="M536" s="260"/>
      <c r="N536" s="260"/>
      <c r="O536" s="260"/>
      <c r="P536" s="260"/>
      <c r="Q536" s="260"/>
      <c r="R536" s="260"/>
      <c r="S536" s="260"/>
      <c r="T536" s="260"/>
      <c r="U536" s="260"/>
      <c r="V536" s="260"/>
      <c r="W536" s="260"/>
      <c r="X536" s="260"/>
      <c r="Y536" s="260"/>
      <c r="Z536" s="260"/>
      <c r="AA536" s="260"/>
      <c r="AB536" s="260"/>
      <c r="AC536" s="260"/>
      <c r="AD536" s="260"/>
    </row>
    <row r="537" spans="1:30" ht="15" thickBot="1">
      <c r="A537" s="260"/>
      <c r="B537" s="260"/>
      <c r="C537" s="260"/>
      <c r="D537" s="260"/>
      <c r="E537" s="260"/>
      <c r="F537" s="260"/>
      <c r="G537" s="260"/>
      <c r="H537" s="260"/>
      <c r="I537" s="260"/>
      <c r="J537" s="260"/>
      <c r="K537" s="260"/>
      <c r="L537" s="260"/>
      <c r="M537" s="260"/>
      <c r="N537" s="260"/>
      <c r="O537" s="260"/>
      <c r="P537" s="260"/>
      <c r="Q537" s="260"/>
      <c r="R537" s="260"/>
      <c r="S537" s="260"/>
      <c r="T537" s="260"/>
      <c r="U537" s="260"/>
      <c r="V537" s="260"/>
      <c r="W537" s="260"/>
      <c r="X537" s="260"/>
      <c r="Y537" s="260"/>
      <c r="Z537" s="260"/>
      <c r="AA537" s="260"/>
      <c r="AB537" s="260"/>
      <c r="AC537" s="260"/>
      <c r="AD537" s="260"/>
    </row>
    <row r="538" spans="1:30" ht="15" thickBot="1">
      <c r="A538" s="260"/>
      <c r="B538" s="260"/>
      <c r="C538" s="260"/>
      <c r="D538" s="260"/>
      <c r="E538" s="260"/>
      <c r="F538" s="260"/>
      <c r="G538" s="260"/>
      <c r="H538" s="260"/>
      <c r="I538" s="260"/>
      <c r="J538" s="260"/>
      <c r="K538" s="260"/>
      <c r="L538" s="260"/>
      <c r="M538" s="260"/>
      <c r="N538" s="260"/>
      <c r="O538" s="260"/>
      <c r="P538" s="260"/>
      <c r="Q538" s="260"/>
      <c r="R538" s="260"/>
      <c r="S538" s="260"/>
      <c r="T538" s="260"/>
      <c r="U538" s="260"/>
      <c r="V538" s="260"/>
      <c r="W538" s="260"/>
      <c r="X538" s="260"/>
      <c r="Y538" s="260"/>
      <c r="Z538" s="260"/>
      <c r="AA538" s="260"/>
      <c r="AB538" s="260"/>
      <c r="AC538" s="260"/>
      <c r="AD538" s="260"/>
    </row>
    <row r="539" spans="1:30" ht="15" thickBot="1">
      <c r="A539" s="260"/>
      <c r="B539" s="260"/>
      <c r="C539" s="260"/>
      <c r="D539" s="260"/>
      <c r="E539" s="260"/>
      <c r="F539" s="260"/>
      <c r="G539" s="260"/>
      <c r="H539" s="260"/>
      <c r="I539" s="260"/>
      <c r="J539" s="260"/>
      <c r="K539" s="260"/>
      <c r="L539" s="260"/>
      <c r="M539" s="260"/>
      <c r="N539" s="260"/>
      <c r="O539" s="260"/>
      <c r="P539" s="260"/>
      <c r="Q539" s="260"/>
      <c r="R539" s="260"/>
      <c r="S539" s="260"/>
      <c r="T539" s="260"/>
      <c r="U539" s="260"/>
      <c r="V539" s="260"/>
      <c r="W539" s="260"/>
      <c r="X539" s="260"/>
      <c r="Y539" s="260"/>
      <c r="Z539" s="260"/>
      <c r="AA539" s="260"/>
      <c r="AB539" s="260"/>
      <c r="AC539" s="260"/>
      <c r="AD539" s="260"/>
    </row>
    <row r="540" spans="1:30" ht="15" thickBot="1">
      <c r="A540" s="260"/>
      <c r="B540" s="260"/>
      <c r="C540" s="260"/>
      <c r="D540" s="260"/>
      <c r="E540" s="260"/>
      <c r="F540" s="260"/>
      <c r="G540" s="260"/>
      <c r="H540" s="260"/>
      <c r="I540" s="260"/>
      <c r="J540" s="260"/>
      <c r="K540" s="260"/>
      <c r="L540" s="260"/>
      <c r="M540" s="260"/>
      <c r="N540" s="260"/>
      <c r="O540" s="260"/>
      <c r="P540" s="260"/>
      <c r="Q540" s="260"/>
      <c r="R540" s="260"/>
      <c r="S540" s="260"/>
      <c r="T540" s="260"/>
      <c r="U540" s="260"/>
      <c r="V540" s="260"/>
      <c r="W540" s="260"/>
      <c r="X540" s="260"/>
      <c r="Y540" s="260"/>
      <c r="Z540" s="260"/>
      <c r="AA540" s="260"/>
      <c r="AB540" s="260"/>
      <c r="AC540" s="260"/>
      <c r="AD540" s="260"/>
    </row>
    <row r="541" spans="1:30" ht="15" thickBot="1">
      <c r="A541" s="260"/>
      <c r="B541" s="260"/>
      <c r="C541" s="260"/>
      <c r="D541" s="260"/>
      <c r="E541" s="260"/>
      <c r="F541" s="260"/>
      <c r="G541" s="260"/>
      <c r="H541" s="260"/>
      <c r="I541" s="260"/>
      <c r="J541" s="260"/>
      <c r="K541" s="260"/>
      <c r="L541" s="260"/>
      <c r="M541" s="260"/>
      <c r="N541" s="260"/>
      <c r="O541" s="260"/>
      <c r="P541" s="260"/>
      <c r="Q541" s="260"/>
      <c r="R541" s="260"/>
      <c r="S541" s="260"/>
      <c r="T541" s="260"/>
      <c r="U541" s="260"/>
      <c r="V541" s="260"/>
      <c r="W541" s="260"/>
      <c r="X541" s="260"/>
      <c r="Y541" s="260"/>
      <c r="Z541" s="260"/>
      <c r="AA541" s="260"/>
      <c r="AB541" s="260"/>
      <c r="AC541" s="260"/>
      <c r="AD541" s="260"/>
    </row>
    <row r="542" spans="1:30" ht="15" thickBot="1">
      <c r="A542" s="260"/>
      <c r="B542" s="260"/>
      <c r="C542" s="260"/>
      <c r="D542" s="260"/>
      <c r="E542" s="260"/>
      <c r="F542" s="260"/>
      <c r="G542" s="260"/>
      <c r="H542" s="260"/>
      <c r="I542" s="260"/>
      <c r="J542" s="260"/>
      <c r="K542" s="260"/>
      <c r="L542" s="260"/>
      <c r="M542" s="260"/>
      <c r="N542" s="260"/>
      <c r="O542" s="260"/>
      <c r="P542" s="260"/>
      <c r="Q542" s="260"/>
      <c r="R542" s="260"/>
      <c r="S542" s="260"/>
      <c r="T542" s="260"/>
      <c r="U542" s="260"/>
      <c r="V542" s="260"/>
      <c r="W542" s="260"/>
      <c r="X542" s="260"/>
      <c r="Y542" s="260"/>
      <c r="Z542" s="260"/>
      <c r="AA542" s="260"/>
      <c r="AB542" s="260"/>
      <c r="AC542" s="260"/>
      <c r="AD542" s="260"/>
    </row>
    <row r="543" spans="1:30" ht="15" thickBot="1">
      <c r="A543" s="260"/>
      <c r="B543" s="260"/>
      <c r="C543" s="260"/>
      <c r="D543" s="260"/>
      <c r="E543" s="260"/>
      <c r="F543" s="260"/>
      <c r="G543" s="260"/>
      <c r="H543" s="260"/>
      <c r="I543" s="260"/>
      <c r="J543" s="260"/>
      <c r="K543" s="260"/>
      <c r="L543" s="260"/>
      <c r="M543" s="260"/>
      <c r="N543" s="260"/>
      <c r="O543" s="260"/>
      <c r="P543" s="260"/>
      <c r="Q543" s="260"/>
      <c r="R543" s="260"/>
      <c r="S543" s="260"/>
      <c r="T543" s="260"/>
      <c r="U543" s="260"/>
      <c r="V543" s="260"/>
      <c r="W543" s="260"/>
      <c r="X543" s="260"/>
      <c r="Y543" s="260"/>
      <c r="Z543" s="260"/>
      <c r="AA543" s="260"/>
      <c r="AB543" s="260"/>
      <c r="AC543" s="260"/>
      <c r="AD543" s="260"/>
    </row>
    <row r="544" spans="1:30" ht="15" thickBot="1">
      <c r="A544" s="260"/>
      <c r="B544" s="260"/>
      <c r="C544" s="260"/>
      <c r="D544" s="260"/>
      <c r="E544" s="260"/>
      <c r="F544" s="260"/>
      <c r="G544" s="260"/>
      <c r="H544" s="260"/>
      <c r="I544" s="260"/>
      <c r="J544" s="260"/>
      <c r="K544" s="260"/>
      <c r="L544" s="260"/>
      <c r="M544" s="260"/>
      <c r="N544" s="260"/>
      <c r="O544" s="260"/>
      <c r="P544" s="260"/>
      <c r="Q544" s="260"/>
      <c r="R544" s="260"/>
      <c r="S544" s="260"/>
      <c r="T544" s="260"/>
      <c r="U544" s="260"/>
      <c r="V544" s="260"/>
      <c r="W544" s="260"/>
      <c r="X544" s="260"/>
      <c r="Y544" s="260"/>
      <c r="Z544" s="260"/>
      <c r="AA544" s="260"/>
      <c r="AB544" s="260"/>
      <c r="AC544" s="260"/>
      <c r="AD544" s="260"/>
    </row>
    <row r="545" spans="1:30" ht="15" thickBot="1">
      <c r="A545" s="260"/>
      <c r="B545" s="260"/>
      <c r="C545" s="260"/>
      <c r="D545" s="260"/>
      <c r="E545" s="260"/>
      <c r="F545" s="260"/>
      <c r="G545" s="260"/>
      <c r="H545" s="260"/>
      <c r="I545" s="260"/>
      <c r="J545" s="260"/>
      <c r="K545" s="260"/>
      <c r="L545" s="260"/>
      <c r="M545" s="260"/>
      <c r="N545" s="260"/>
      <c r="O545" s="260"/>
      <c r="P545" s="260"/>
      <c r="Q545" s="260"/>
      <c r="R545" s="260"/>
      <c r="S545" s="260"/>
      <c r="T545" s="260"/>
      <c r="U545" s="260"/>
      <c r="V545" s="260"/>
      <c r="W545" s="260"/>
      <c r="X545" s="260"/>
      <c r="Y545" s="260"/>
      <c r="Z545" s="260"/>
      <c r="AA545" s="260"/>
      <c r="AB545" s="260"/>
      <c r="AC545" s="260"/>
      <c r="AD545" s="260"/>
    </row>
    <row r="546" spans="1:30" ht="15" thickBot="1">
      <c r="A546" s="260"/>
      <c r="B546" s="260"/>
      <c r="C546" s="260"/>
      <c r="D546" s="260"/>
      <c r="E546" s="260"/>
      <c r="F546" s="260"/>
      <c r="G546" s="260"/>
      <c r="H546" s="260"/>
      <c r="I546" s="260"/>
      <c r="J546" s="260"/>
      <c r="K546" s="260"/>
      <c r="L546" s="260"/>
      <c r="M546" s="260"/>
      <c r="N546" s="260"/>
      <c r="O546" s="260"/>
      <c r="P546" s="260"/>
      <c r="Q546" s="260"/>
      <c r="R546" s="260"/>
      <c r="S546" s="260"/>
      <c r="T546" s="260"/>
      <c r="U546" s="260"/>
      <c r="V546" s="260"/>
      <c r="W546" s="260"/>
      <c r="X546" s="260"/>
      <c r="Y546" s="260"/>
      <c r="Z546" s="260"/>
      <c r="AA546" s="260"/>
      <c r="AB546" s="260"/>
      <c r="AC546" s="260"/>
      <c r="AD546" s="260"/>
    </row>
    <row r="547" spans="1:30" ht="15" thickBot="1">
      <c r="A547" s="260"/>
      <c r="B547" s="260"/>
      <c r="C547" s="260"/>
      <c r="D547" s="260"/>
      <c r="E547" s="260"/>
      <c r="F547" s="260"/>
      <c r="G547" s="260"/>
      <c r="H547" s="260"/>
      <c r="I547" s="260"/>
      <c r="J547" s="260"/>
      <c r="K547" s="260"/>
      <c r="L547" s="260"/>
      <c r="M547" s="260"/>
      <c r="N547" s="260"/>
      <c r="O547" s="260"/>
      <c r="P547" s="260"/>
      <c r="Q547" s="260"/>
      <c r="R547" s="260"/>
      <c r="S547" s="260"/>
      <c r="T547" s="260"/>
      <c r="U547" s="260"/>
      <c r="V547" s="260"/>
      <c r="W547" s="260"/>
      <c r="X547" s="260"/>
      <c r="Y547" s="260"/>
      <c r="Z547" s="260"/>
      <c r="AA547" s="260"/>
      <c r="AB547" s="260"/>
      <c r="AC547" s="260"/>
      <c r="AD547" s="260"/>
    </row>
    <row r="548" spans="1:30" ht="15" thickBot="1">
      <c r="A548" s="260"/>
      <c r="B548" s="260"/>
      <c r="C548" s="260"/>
      <c r="D548" s="260"/>
      <c r="E548" s="260"/>
      <c r="F548" s="260"/>
      <c r="G548" s="260"/>
      <c r="H548" s="260"/>
      <c r="I548" s="260"/>
      <c r="J548" s="260"/>
      <c r="K548" s="260"/>
      <c r="L548" s="260"/>
      <c r="M548" s="260"/>
      <c r="N548" s="260"/>
      <c r="O548" s="260"/>
      <c r="P548" s="260"/>
      <c r="Q548" s="260"/>
      <c r="R548" s="260"/>
      <c r="S548" s="260"/>
      <c r="T548" s="260"/>
      <c r="U548" s="260"/>
      <c r="V548" s="260"/>
      <c r="W548" s="260"/>
      <c r="X548" s="260"/>
      <c r="Y548" s="260"/>
      <c r="Z548" s="260"/>
      <c r="AA548" s="260"/>
      <c r="AB548" s="260"/>
      <c r="AC548" s="260"/>
      <c r="AD548" s="260"/>
    </row>
    <row r="549" spans="1:30" ht="15" thickBot="1">
      <c r="A549" s="260"/>
      <c r="B549" s="260"/>
      <c r="C549" s="260"/>
      <c r="D549" s="260"/>
      <c r="E549" s="260"/>
      <c r="F549" s="260"/>
      <c r="G549" s="260"/>
      <c r="H549" s="260"/>
      <c r="I549" s="260"/>
      <c r="J549" s="260"/>
      <c r="K549" s="260"/>
      <c r="L549" s="260"/>
      <c r="M549" s="260"/>
      <c r="N549" s="260"/>
      <c r="O549" s="260"/>
      <c r="P549" s="260"/>
      <c r="Q549" s="260"/>
      <c r="R549" s="260"/>
      <c r="S549" s="260"/>
      <c r="T549" s="260"/>
      <c r="U549" s="260"/>
      <c r="V549" s="260"/>
      <c r="W549" s="260"/>
      <c r="X549" s="260"/>
      <c r="Y549" s="260"/>
      <c r="Z549" s="260"/>
      <c r="AA549" s="260"/>
      <c r="AB549" s="260"/>
      <c r="AC549" s="260"/>
      <c r="AD549" s="260"/>
    </row>
    <row r="550" spans="1:30" ht="15" thickBot="1">
      <c r="A550" s="260"/>
      <c r="B550" s="260"/>
      <c r="C550" s="260"/>
      <c r="D550" s="260"/>
      <c r="E550" s="260"/>
      <c r="F550" s="260"/>
      <c r="G550" s="260"/>
      <c r="H550" s="260"/>
      <c r="I550" s="260"/>
      <c r="J550" s="260"/>
      <c r="K550" s="260"/>
      <c r="L550" s="260"/>
      <c r="M550" s="260"/>
      <c r="N550" s="260"/>
      <c r="O550" s="260"/>
      <c r="P550" s="260"/>
      <c r="Q550" s="260"/>
      <c r="R550" s="260"/>
      <c r="S550" s="260"/>
      <c r="T550" s="260"/>
      <c r="U550" s="260"/>
      <c r="V550" s="260"/>
      <c r="W550" s="260"/>
      <c r="X550" s="260"/>
      <c r="Y550" s="260"/>
      <c r="Z550" s="260"/>
      <c r="AA550" s="260"/>
      <c r="AB550" s="260"/>
      <c r="AC550" s="260"/>
      <c r="AD550" s="260"/>
    </row>
    <row r="551" spans="1:30" ht="15" thickBot="1">
      <c r="A551" s="260"/>
      <c r="B551" s="260"/>
      <c r="C551" s="260"/>
      <c r="D551" s="260"/>
      <c r="E551" s="260"/>
      <c r="F551" s="260"/>
      <c r="G551" s="260"/>
      <c r="H551" s="260"/>
      <c r="I551" s="260"/>
      <c r="J551" s="260"/>
      <c r="K551" s="260"/>
      <c r="L551" s="260"/>
      <c r="M551" s="260"/>
      <c r="N551" s="260"/>
      <c r="O551" s="260"/>
      <c r="P551" s="260"/>
      <c r="Q551" s="260"/>
      <c r="R551" s="260"/>
      <c r="S551" s="260"/>
      <c r="T551" s="260"/>
      <c r="U551" s="260"/>
      <c r="V551" s="260"/>
      <c r="W551" s="260"/>
      <c r="X551" s="260"/>
      <c r="Y551" s="260"/>
      <c r="Z551" s="260"/>
      <c r="AA551" s="260"/>
      <c r="AB551" s="260"/>
      <c r="AC551" s="260"/>
      <c r="AD551" s="260"/>
    </row>
    <row r="552" spans="1:30" ht="15" thickBot="1">
      <c r="A552" s="260"/>
      <c r="B552" s="260"/>
      <c r="C552" s="260"/>
      <c r="D552" s="260"/>
      <c r="E552" s="260"/>
      <c r="F552" s="260"/>
      <c r="G552" s="260"/>
      <c r="H552" s="260"/>
      <c r="I552" s="260"/>
      <c r="J552" s="260"/>
      <c r="K552" s="260"/>
      <c r="L552" s="260"/>
      <c r="M552" s="260"/>
      <c r="N552" s="260"/>
      <c r="O552" s="260"/>
      <c r="P552" s="260"/>
      <c r="Q552" s="260"/>
      <c r="R552" s="260"/>
      <c r="S552" s="260"/>
      <c r="T552" s="260"/>
      <c r="U552" s="260"/>
      <c r="V552" s="260"/>
      <c r="W552" s="260"/>
      <c r="X552" s="260"/>
      <c r="Y552" s="260"/>
      <c r="Z552" s="260"/>
      <c r="AA552" s="260"/>
      <c r="AB552" s="260"/>
      <c r="AC552" s="260"/>
      <c r="AD552" s="260"/>
    </row>
    <row r="553" spans="1:30" ht="15" thickBot="1">
      <c r="A553" s="260"/>
      <c r="B553" s="260"/>
      <c r="C553" s="260"/>
      <c r="D553" s="260"/>
      <c r="E553" s="260"/>
      <c r="F553" s="260"/>
      <c r="G553" s="260"/>
      <c r="H553" s="260"/>
      <c r="I553" s="260"/>
      <c r="J553" s="260"/>
      <c r="K553" s="260"/>
      <c r="L553" s="260"/>
      <c r="M553" s="260"/>
      <c r="N553" s="260"/>
      <c r="O553" s="260"/>
      <c r="P553" s="260"/>
      <c r="Q553" s="260"/>
      <c r="R553" s="260"/>
      <c r="S553" s="260"/>
      <c r="T553" s="260"/>
      <c r="U553" s="260"/>
      <c r="V553" s="260"/>
      <c r="W553" s="260"/>
      <c r="X553" s="260"/>
      <c r="Y553" s="260"/>
      <c r="Z553" s="260"/>
      <c r="AA553" s="260"/>
      <c r="AB553" s="260"/>
      <c r="AC553" s="260"/>
      <c r="AD553" s="260"/>
    </row>
    <row r="554" spans="1:30" ht="15" thickBot="1">
      <c r="A554" s="260"/>
      <c r="B554" s="260"/>
      <c r="C554" s="260"/>
      <c r="D554" s="260"/>
      <c r="E554" s="260"/>
      <c r="F554" s="260"/>
      <c r="G554" s="260"/>
      <c r="H554" s="260"/>
      <c r="I554" s="260"/>
      <c r="J554" s="260"/>
      <c r="K554" s="260"/>
      <c r="L554" s="260"/>
      <c r="M554" s="260"/>
      <c r="N554" s="260"/>
      <c r="O554" s="260"/>
      <c r="P554" s="260"/>
      <c r="Q554" s="260"/>
      <c r="R554" s="260"/>
      <c r="S554" s="260"/>
      <c r="T554" s="260"/>
      <c r="U554" s="260"/>
      <c r="V554" s="260"/>
      <c r="W554" s="260"/>
      <c r="X554" s="260"/>
      <c r="Y554" s="260"/>
      <c r="Z554" s="260"/>
      <c r="AA554" s="260"/>
      <c r="AB554" s="260"/>
      <c r="AC554" s="260"/>
      <c r="AD554" s="260"/>
    </row>
    <row r="555" spans="1:30" ht="15" thickBot="1">
      <c r="A555" s="260"/>
      <c r="B555" s="260"/>
      <c r="C555" s="260"/>
      <c r="D555" s="260"/>
      <c r="E555" s="260"/>
      <c r="F555" s="260"/>
      <c r="G555" s="260"/>
      <c r="H555" s="260"/>
      <c r="I555" s="260"/>
      <c r="J555" s="260"/>
      <c r="K555" s="260"/>
      <c r="L555" s="260"/>
      <c r="M555" s="260"/>
      <c r="N555" s="260"/>
      <c r="O555" s="260"/>
      <c r="P555" s="260"/>
      <c r="Q555" s="260"/>
      <c r="R555" s="260"/>
      <c r="S555" s="260"/>
      <c r="T555" s="260"/>
      <c r="U555" s="260"/>
      <c r="V555" s="260"/>
      <c r="W555" s="260"/>
      <c r="X555" s="260"/>
      <c r="Y555" s="260"/>
      <c r="Z555" s="260"/>
      <c r="AA555" s="260"/>
      <c r="AB555" s="260"/>
      <c r="AC555" s="260"/>
      <c r="AD555" s="260"/>
    </row>
    <row r="556" spans="1:30" ht="15" thickBot="1">
      <c r="A556" s="260"/>
      <c r="B556" s="260"/>
      <c r="C556" s="260"/>
      <c r="D556" s="260"/>
      <c r="E556" s="260"/>
      <c r="F556" s="260"/>
      <c r="G556" s="260"/>
      <c r="H556" s="260"/>
      <c r="I556" s="260"/>
      <c r="J556" s="260"/>
      <c r="K556" s="260"/>
      <c r="L556" s="260"/>
      <c r="M556" s="260"/>
      <c r="N556" s="260"/>
      <c r="O556" s="260"/>
      <c r="P556" s="260"/>
      <c r="Q556" s="260"/>
      <c r="R556" s="260"/>
      <c r="S556" s="260"/>
      <c r="T556" s="260"/>
      <c r="U556" s="260"/>
      <c r="V556" s="260"/>
      <c r="W556" s="260"/>
      <c r="X556" s="260"/>
      <c r="Y556" s="260"/>
      <c r="Z556" s="260"/>
      <c r="AA556" s="260"/>
      <c r="AB556" s="260"/>
      <c r="AC556" s="260"/>
      <c r="AD556" s="260"/>
    </row>
    <row r="557" spans="1:30" ht="15" thickBot="1">
      <c r="A557" s="260"/>
      <c r="B557" s="260"/>
      <c r="C557" s="260"/>
      <c r="D557" s="260"/>
      <c r="E557" s="260"/>
      <c r="F557" s="260"/>
      <c r="G557" s="260"/>
      <c r="H557" s="260"/>
      <c r="I557" s="260"/>
      <c r="J557" s="260"/>
      <c r="K557" s="260"/>
      <c r="L557" s="260"/>
      <c r="M557" s="260"/>
      <c r="N557" s="260"/>
      <c r="O557" s="260"/>
      <c r="P557" s="260"/>
      <c r="Q557" s="260"/>
      <c r="R557" s="260"/>
      <c r="S557" s="260"/>
      <c r="T557" s="260"/>
      <c r="U557" s="260"/>
      <c r="V557" s="260"/>
      <c r="W557" s="260"/>
      <c r="X557" s="260"/>
      <c r="Y557" s="260"/>
      <c r="Z557" s="260"/>
      <c r="AA557" s="260"/>
      <c r="AB557" s="260"/>
      <c r="AC557" s="260"/>
      <c r="AD557" s="260"/>
    </row>
    <row r="558" spans="1:30" ht="15" thickBot="1">
      <c r="A558" s="260"/>
      <c r="B558" s="260"/>
      <c r="C558" s="260"/>
      <c r="D558" s="260"/>
      <c r="E558" s="260"/>
      <c r="F558" s="260"/>
      <c r="G558" s="260"/>
      <c r="H558" s="260"/>
      <c r="I558" s="260"/>
      <c r="J558" s="260"/>
      <c r="K558" s="260"/>
      <c r="L558" s="260"/>
      <c r="M558" s="260"/>
      <c r="N558" s="260"/>
      <c r="O558" s="260"/>
      <c r="P558" s="260"/>
      <c r="Q558" s="260"/>
      <c r="R558" s="260"/>
      <c r="S558" s="260"/>
      <c r="T558" s="260"/>
      <c r="U558" s="260"/>
      <c r="V558" s="260"/>
      <c r="W558" s="260"/>
      <c r="X558" s="260"/>
      <c r="Y558" s="260"/>
      <c r="Z558" s="260"/>
      <c r="AA558" s="260"/>
      <c r="AB558" s="260"/>
      <c r="AC558" s="260"/>
      <c r="AD558" s="260"/>
    </row>
    <row r="559" spans="1:30" ht="15" thickBot="1">
      <c r="A559" s="260"/>
      <c r="B559" s="260"/>
      <c r="C559" s="260"/>
      <c r="D559" s="260"/>
      <c r="E559" s="260"/>
      <c r="F559" s="260"/>
      <c r="G559" s="260"/>
      <c r="H559" s="260"/>
      <c r="I559" s="260"/>
      <c r="J559" s="260"/>
      <c r="K559" s="260"/>
      <c r="L559" s="260"/>
      <c r="M559" s="260"/>
      <c r="N559" s="260"/>
      <c r="O559" s="260"/>
      <c r="P559" s="260"/>
      <c r="Q559" s="260"/>
      <c r="R559" s="260"/>
      <c r="S559" s="260"/>
      <c r="T559" s="260"/>
      <c r="U559" s="260"/>
      <c r="V559" s="260"/>
      <c r="W559" s="260"/>
      <c r="X559" s="260"/>
      <c r="Y559" s="260"/>
      <c r="Z559" s="260"/>
      <c r="AA559" s="260"/>
      <c r="AB559" s="260"/>
      <c r="AC559" s="260"/>
      <c r="AD559" s="260"/>
    </row>
    <row r="560" spans="1:30" ht="15" thickBot="1">
      <c r="A560" s="260"/>
      <c r="B560" s="260"/>
      <c r="C560" s="260"/>
      <c r="D560" s="260"/>
      <c r="E560" s="260"/>
      <c r="F560" s="260"/>
      <c r="G560" s="260"/>
      <c r="H560" s="260"/>
      <c r="I560" s="260"/>
      <c r="J560" s="260"/>
      <c r="K560" s="260"/>
      <c r="L560" s="260"/>
      <c r="M560" s="260"/>
      <c r="N560" s="260"/>
      <c r="O560" s="260"/>
      <c r="P560" s="260"/>
      <c r="Q560" s="260"/>
      <c r="R560" s="260"/>
      <c r="S560" s="260"/>
      <c r="T560" s="260"/>
      <c r="U560" s="260"/>
      <c r="V560" s="260"/>
      <c r="W560" s="260"/>
      <c r="X560" s="260"/>
      <c r="Y560" s="260"/>
      <c r="Z560" s="260"/>
      <c r="AA560" s="260"/>
      <c r="AB560" s="260"/>
      <c r="AC560" s="260"/>
      <c r="AD560" s="260"/>
    </row>
    <row r="561" spans="1:30" ht="15" thickBot="1">
      <c r="A561" s="260"/>
      <c r="B561" s="260"/>
      <c r="C561" s="260"/>
      <c r="D561" s="260"/>
      <c r="E561" s="260"/>
      <c r="F561" s="260"/>
      <c r="G561" s="260"/>
      <c r="H561" s="260"/>
      <c r="I561" s="260"/>
      <c r="J561" s="260"/>
      <c r="K561" s="260"/>
      <c r="L561" s="260"/>
      <c r="M561" s="260"/>
      <c r="N561" s="260"/>
      <c r="O561" s="260"/>
      <c r="P561" s="260"/>
      <c r="Q561" s="260"/>
      <c r="R561" s="260"/>
      <c r="S561" s="260"/>
      <c r="T561" s="260"/>
      <c r="U561" s="260"/>
      <c r="V561" s="260"/>
      <c r="W561" s="260"/>
      <c r="X561" s="260"/>
      <c r="Y561" s="260"/>
      <c r="Z561" s="260"/>
      <c r="AA561" s="260"/>
      <c r="AB561" s="260"/>
      <c r="AC561" s="260"/>
      <c r="AD561" s="260"/>
    </row>
    <row r="562" spans="1:30" ht="15" thickBot="1">
      <c r="A562" s="260"/>
      <c r="B562" s="260"/>
      <c r="C562" s="260"/>
      <c r="D562" s="260"/>
      <c r="E562" s="260"/>
      <c r="F562" s="260"/>
      <c r="G562" s="260"/>
      <c r="H562" s="260"/>
      <c r="I562" s="260"/>
      <c r="J562" s="260"/>
      <c r="K562" s="260"/>
      <c r="L562" s="260"/>
      <c r="M562" s="260"/>
      <c r="N562" s="260"/>
      <c r="O562" s="260"/>
      <c r="P562" s="260"/>
      <c r="Q562" s="260"/>
      <c r="R562" s="260"/>
      <c r="S562" s="260"/>
      <c r="T562" s="260"/>
      <c r="U562" s="260"/>
      <c r="V562" s="260"/>
      <c r="W562" s="260"/>
      <c r="X562" s="260"/>
      <c r="Y562" s="260"/>
      <c r="Z562" s="260"/>
      <c r="AA562" s="260"/>
      <c r="AB562" s="260"/>
      <c r="AC562" s="260"/>
      <c r="AD562" s="260"/>
    </row>
    <row r="563" spans="1:30" ht="15" thickBot="1">
      <c r="A563" s="260"/>
      <c r="B563" s="260"/>
      <c r="C563" s="260"/>
      <c r="D563" s="260"/>
      <c r="E563" s="260"/>
      <c r="F563" s="260"/>
      <c r="G563" s="260"/>
      <c r="H563" s="260"/>
      <c r="I563" s="260"/>
      <c r="J563" s="260"/>
      <c r="K563" s="260"/>
      <c r="L563" s="260"/>
      <c r="M563" s="260"/>
      <c r="N563" s="260"/>
      <c r="O563" s="260"/>
      <c r="P563" s="260"/>
      <c r="Q563" s="260"/>
      <c r="R563" s="260"/>
      <c r="S563" s="260"/>
      <c r="T563" s="260"/>
      <c r="U563" s="260"/>
      <c r="V563" s="260"/>
      <c r="W563" s="260"/>
      <c r="X563" s="260"/>
      <c r="Y563" s="260"/>
      <c r="Z563" s="260"/>
      <c r="AA563" s="260"/>
      <c r="AB563" s="260"/>
      <c r="AC563" s="260"/>
      <c r="AD563" s="260"/>
    </row>
    <row r="564" spans="1:30" ht="15" thickBot="1">
      <c r="A564" s="260"/>
      <c r="B564" s="260"/>
      <c r="C564" s="260"/>
      <c r="D564" s="260"/>
      <c r="E564" s="260"/>
      <c r="F564" s="260"/>
      <c r="G564" s="260"/>
      <c r="H564" s="260"/>
      <c r="I564" s="260"/>
      <c r="J564" s="260"/>
      <c r="K564" s="260"/>
      <c r="L564" s="260"/>
      <c r="M564" s="260"/>
      <c r="N564" s="260"/>
      <c r="O564" s="260"/>
      <c r="P564" s="260"/>
      <c r="Q564" s="260"/>
      <c r="R564" s="260"/>
      <c r="S564" s="260"/>
      <c r="T564" s="260"/>
      <c r="U564" s="260"/>
      <c r="V564" s="260"/>
      <c r="W564" s="260"/>
      <c r="X564" s="260"/>
      <c r="Y564" s="260"/>
      <c r="Z564" s="260"/>
      <c r="AA564" s="260"/>
      <c r="AB564" s="260"/>
      <c r="AC564" s="260"/>
      <c r="AD564" s="260"/>
    </row>
    <row r="565" spans="1:30" ht="15" thickBot="1">
      <c r="A565" s="260"/>
      <c r="B565" s="260"/>
      <c r="C565" s="260"/>
      <c r="D565" s="260"/>
      <c r="E565" s="260"/>
      <c r="F565" s="260"/>
      <c r="G565" s="260"/>
      <c r="H565" s="260"/>
      <c r="I565" s="260"/>
      <c r="J565" s="260"/>
      <c r="K565" s="260"/>
      <c r="L565" s="260"/>
      <c r="M565" s="260"/>
      <c r="N565" s="260"/>
      <c r="O565" s="260"/>
      <c r="P565" s="260"/>
      <c r="Q565" s="260"/>
      <c r="R565" s="260"/>
      <c r="S565" s="260"/>
      <c r="T565" s="260"/>
      <c r="U565" s="260"/>
      <c r="V565" s="260"/>
      <c r="W565" s="260"/>
      <c r="X565" s="260"/>
      <c r="Y565" s="260"/>
      <c r="Z565" s="260"/>
      <c r="AA565" s="260"/>
      <c r="AB565" s="260"/>
      <c r="AC565" s="260"/>
      <c r="AD565" s="260"/>
    </row>
    <row r="566" spans="1:30" ht="15" thickBot="1">
      <c r="A566" s="260"/>
      <c r="B566" s="260"/>
      <c r="C566" s="260"/>
      <c r="D566" s="260"/>
      <c r="E566" s="260"/>
      <c r="F566" s="260"/>
      <c r="G566" s="260"/>
      <c r="H566" s="260"/>
      <c r="I566" s="260"/>
      <c r="J566" s="260"/>
      <c r="K566" s="260"/>
      <c r="L566" s="260"/>
      <c r="M566" s="260"/>
      <c r="N566" s="260"/>
      <c r="O566" s="260"/>
      <c r="P566" s="260"/>
      <c r="Q566" s="260"/>
      <c r="R566" s="260"/>
      <c r="S566" s="260"/>
      <c r="T566" s="260"/>
      <c r="U566" s="260"/>
      <c r="V566" s="260"/>
      <c r="W566" s="260"/>
      <c r="X566" s="260"/>
      <c r="Y566" s="260"/>
      <c r="Z566" s="260"/>
      <c r="AA566" s="260"/>
      <c r="AB566" s="260"/>
      <c r="AC566" s="260"/>
      <c r="AD566" s="260"/>
    </row>
    <row r="567" spans="1:30" ht="15" thickBot="1">
      <c r="A567" s="260"/>
      <c r="B567" s="260"/>
      <c r="C567" s="260"/>
      <c r="D567" s="260"/>
      <c r="E567" s="260"/>
      <c r="F567" s="260"/>
      <c r="G567" s="260"/>
      <c r="H567" s="260"/>
      <c r="I567" s="260"/>
      <c r="J567" s="260"/>
      <c r="K567" s="260"/>
      <c r="L567" s="260"/>
      <c r="M567" s="260"/>
      <c r="N567" s="260"/>
      <c r="O567" s="260"/>
      <c r="P567" s="260"/>
      <c r="Q567" s="260"/>
      <c r="R567" s="260"/>
      <c r="S567" s="260"/>
      <c r="T567" s="260"/>
      <c r="U567" s="260"/>
      <c r="V567" s="260"/>
      <c r="W567" s="260"/>
      <c r="X567" s="260"/>
      <c r="Y567" s="260"/>
      <c r="Z567" s="260"/>
      <c r="AA567" s="260"/>
      <c r="AB567" s="260"/>
      <c r="AC567" s="260"/>
      <c r="AD567" s="260"/>
    </row>
    <row r="568" spans="1:30" ht="15" thickBot="1">
      <c r="A568" s="260"/>
      <c r="B568" s="260"/>
      <c r="C568" s="260"/>
      <c r="D568" s="260"/>
      <c r="E568" s="260"/>
      <c r="F568" s="260"/>
      <c r="G568" s="260"/>
      <c r="H568" s="260"/>
      <c r="I568" s="260"/>
      <c r="J568" s="260"/>
      <c r="K568" s="260"/>
      <c r="L568" s="260"/>
      <c r="M568" s="260"/>
      <c r="N568" s="260"/>
      <c r="O568" s="260"/>
      <c r="P568" s="260"/>
      <c r="Q568" s="260"/>
      <c r="R568" s="260"/>
      <c r="S568" s="260"/>
      <c r="T568" s="260"/>
      <c r="U568" s="260"/>
      <c r="V568" s="260"/>
      <c r="W568" s="260"/>
      <c r="X568" s="260"/>
      <c r="Y568" s="260"/>
      <c r="Z568" s="260"/>
      <c r="AA568" s="260"/>
      <c r="AB568" s="260"/>
      <c r="AC568" s="260"/>
      <c r="AD568" s="260"/>
    </row>
    <row r="569" spans="1:30" ht="15" thickBot="1">
      <c r="A569" s="260"/>
      <c r="B569" s="260"/>
      <c r="C569" s="260"/>
      <c r="D569" s="260"/>
      <c r="E569" s="260"/>
      <c r="F569" s="260"/>
      <c r="G569" s="260"/>
      <c r="H569" s="260"/>
      <c r="I569" s="260"/>
      <c r="J569" s="260"/>
      <c r="K569" s="260"/>
      <c r="L569" s="260"/>
      <c r="M569" s="260"/>
      <c r="N569" s="260"/>
      <c r="O569" s="260"/>
      <c r="P569" s="260"/>
      <c r="Q569" s="260"/>
      <c r="R569" s="260"/>
      <c r="S569" s="260"/>
      <c r="T569" s="260"/>
      <c r="U569" s="260"/>
      <c r="V569" s="260"/>
      <c r="W569" s="260"/>
      <c r="X569" s="260"/>
      <c r="Y569" s="260"/>
      <c r="Z569" s="260"/>
      <c r="AA569" s="260"/>
      <c r="AB569" s="260"/>
      <c r="AC569" s="260"/>
      <c r="AD569" s="260"/>
    </row>
    <row r="570" spans="1:30" ht="15" thickBot="1">
      <c r="A570" s="260"/>
      <c r="B570" s="260"/>
      <c r="C570" s="260"/>
      <c r="D570" s="260"/>
      <c r="E570" s="260"/>
      <c r="F570" s="260"/>
      <c r="G570" s="260"/>
      <c r="H570" s="260"/>
      <c r="I570" s="260"/>
      <c r="J570" s="260"/>
      <c r="K570" s="260"/>
      <c r="L570" s="260"/>
      <c r="M570" s="260"/>
      <c r="N570" s="260"/>
      <c r="O570" s="260"/>
      <c r="P570" s="260"/>
      <c r="Q570" s="260"/>
      <c r="R570" s="260"/>
      <c r="S570" s="260"/>
      <c r="T570" s="260"/>
      <c r="U570" s="260"/>
      <c r="V570" s="260"/>
      <c r="W570" s="260"/>
      <c r="X570" s="260"/>
      <c r="Y570" s="260"/>
      <c r="Z570" s="260"/>
      <c r="AA570" s="260"/>
      <c r="AB570" s="260"/>
      <c r="AC570" s="260"/>
      <c r="AD570" s="260"/>
    </row>
    <row r="571" spans="1:30" ht="15" thickBot="1">
      <c r="A571" s="260"/>
      <c r="B571" s="260"/>
      <c r="C571" s="260"/>
      <c r="D571" s="260"/>
      <c r="E571" s="260"/>
      <c r="F571" s="260"/>
      <c r="G571" s="260"/>
      <c r="H571" s="260"/>
      <c r="I571" s="260"/>
      <c r="J571" s="260"/>
      <c r="K571" s="260"/>
      <c r="L571" s="260"/>
      <c r="M571" s="260"/>
      <c r="N571" s="260"/>
      <c r="O571" s="260"/>
      <c r="P571" s="260"/>
      <c r="Q571" s="260"/>
      <c r="R571" s="260"/>
      <c r="S571" s="260"/>
      <c r="T571" s="260"/>
      <c r="U571" s="260"/>
      <c r="V571" s="260"/>
      <c r="W571" s="260"/>
      <c r="X571" s="260"/>
      <c r="Y571" s="260"/>
      <c r="Z571" s="260"/>
      <c r="AA571" s="260"/>
      <c r="AB571" s="260"/>
      <c r="AC571" s="260"/>
      <c r="AD571" s="260"/>
    </row>
    <row r="572" spans="1:30" ht="15" thickBot="1">
      <c r="A572" s="260"/>
      <c r="B572" s="260"/>
      <c r="C572" s="260"/>
      <c r="D572" s="260"/>
      <c r="E572" s="260"/>
      <c r="F572" s="260"/>
      <c r="G572" s="260"/>
      <c r="H572" s="260"/>
      <c r="I572" s="260"/>
      <c r="J572" s="260"/>
      <c r="K572" s="260"/>
      <c r="L572" s="260"/>
      <c r="M572" s="260"/>
      <c r="N572" s="260"/>
      <c r="O572" s="260"/>
      <c r="P572" s="260"/>
      <c r="Q572" s="260"/>
      <c r="R572" s="260"/>
      <c r="S572" s="260"/>
      <c r="T572" s="260"/>
      <c r="U572" s="260"/>
      <c r="V572" s="260"/>
      <c r="W572" s="260"/>
      <c r="X572" s="260"/>
      <c r="Y572" s="260"/>
      <c r="Z572" s="260"/>
      <c r="AA572" s="260"/>
      <c r="AB572" s="260"/>
      <c r="AC572" s="260"/>
      <c r="AD572" s="260"/>
    </row>
    <row r="573" spans="1:30" ht="15" thickBot="1">
      <c r="A573" s="260"/>
      <c r="B573" s="260"/>
      <c r="C573" s="260"/>
      <c r="D573" s="260"/>
      <c r="E573" s="260"/>
      <c r="F573" s="260"/>
      <c r="G573" s="260"/>
      <c r="H573" s="260"/>
      <c r="I573" s="260"/>
      <c r="J573" s="260"/>
      <c r="K573" s="260"/>
      <c r="L573" s="260"/>
      <c r="M573" s="260"/>
      <c r="N573" s="260"/>
      <c r="O573" s="260"/>
      <c r="P573" s="260"/>
      <c r="Q573" s="260"/>
      <c r="R573" s="260"/>
      <c r="S573" s="260"/>
      <c r="T573" s="260"/>
      <c r="U573" s="260"/>
      <c r="V573" s="260"/>
      <c r="W573" s="260"/>
      <c r="X573" s="260"/>
      <c r="Y573" s="260"/>
      <c r="Z573" s="260"/>
      <c r="AA573" s="260"/>
      <c r="AB573" s="260"/>
      <c r="AC573" s="260"/>
      <c r="AD573" s="260"/>
    </row>
    <row r="574" spans="1:30" ht="15" thickBot="1">
      <c r="A574" s="260"/>
      <c r="B574" s="260"/>
      <c r="C574" s="260"/>
      <c r="D574" s="260"/>
      <c r="E574" s="260"/>
      <c r="F574" s="260"/>
      <c r="G574" s="260"/>
      <c r="H574" s="260"/>
      <c r="I574" s="260"/>
      <c r="J574" s="260"/>
      <c r="K574" s="260"/>
      <c r="L574" s="260"/>
      <c r="M574" s="260"/>
      <c r="N574" s="260"/>
      <c r="O574" s="260"/>
      <c r="P574" s="260"/>
      <c r="Q574" s="260"/>
      <c r="R574" s="260"/>
      <c r="S574" s="260"/>
      <c r="T574" s="260"/>
      <c r="U574" s="260"/>
      <c r="V574" s="260"/>
      <c r="W574" s="260"/>
      <c r="X574" s="260"/>
      <c r="Y574" s="260"/>
      <c r="Z574" s="260"/>
      <c r="AA574" s="260"/>
      <c r="AB574" s="260"/>
      <c r="AC574" s="260"/>
      <c r="AD574" s="260"/>
    </row>
    <row r="575" spans="1:30" ht="15" thickBot="1">
      <c r="A575" s="260"/>
      <c r="B575" s="260"/>
      <c r="C575" s="260"/>
      <c r="D575" s="260"/>
      <c r="E575" s="260"/>
      <c r="F575" s="260"/>
      <c r="G575" s="260"/>
      <c r="H575" s="260"/>
      <c r="I575" s="260"/>
      <c r="J575" s="260"/>
      <c r="K575" s="260"/>
      <c r="L575" s="260"/>
      <c r="M575" s="260"/>
      <c r="N575" s="260"/>
      <c r="O575" s="260"/>
      <c r="P575" s="260"/>
      <c r="Q575" s="260"/>
      <c r="R575" s="260"/>
      <c r="S575" s="260"/>
      <c r="T575" s="260"/>
      <c r="U575" s="260"/>
      <c r="V575" s="260"/>
      <c r="W575" s="260"/>
      <c r="X575" s="260"/>
      <c r="Y575" s="260"/>
      <c r="Z575" s="260"/>
      <c r="AA575" s="260"/>
      <c r="AB575" s="260"/>
      <c r="AC575" s="260"/>
      <c r="AD575" s="260"/>
    </row>
    <row r="576" spans="1:30" ht="15" thickBot="1">
      <c r="A576" s="260"/>
      <c r="B576" s="260"/>
      <c r="C576" s="260"/>
      <c r="D576" s="260"/>
      <c r="E576" s="260"/>
      <c r="F576" s="260"/>
      <c r="G576" s="260"/>
      <c r="H576" s="260"/>
      <c r="I576" s="260"/>
      <c r="J576" s="260"/>
      <c r="K576" s="260"/>
      <c r="L576" s="260"/>
      <c r="M576" s="260"/>
      <c r="N576" s="260"/>
      <c r="O576" s="260"/>
      <c r="P576" s="260"/>
      <c r="Q576" s="260"/>
      <c r="R576" s="260"/>
      <c r="S576" s="260"/>
      <c r="T576" s="260"/>
      <c r="U576" s="260"/>
      <c r="V576" s="260"/>
      <c r="W576" s="260"/>
      <c r="X576" s="260"/>
      <c r="Y576" s="260"/>
      <c r="Z576" s="260"/>
      <c r="AA576" s="260"/>
      <c r="AB576" s="260"/>
      <c r="AC576" s="260"/>
      <c r="AD576" s="260"/>
    </row>
    <row r="577" spans="1:30" ht="15" thickBot="1">
      <c r="A577" s="260"/>
      <c r="B577" s="260"/>
      <c r="C577" s="260"/>
      <c r="D577" s="260"/>
      <c r="E577" s="260"/>
      <c r="F577" s="260"/>
      <c r="G577" s="260"/>
      <c r="H577" s="260"/>
      <c r="I577" s="260"/>
      <c r="J577" s="260"/>
      <c r="K577" s="260"/>
      <c r="L577" s="260"/>
      <c r="M577" s="260"/>
      <c r="N577" s="260"/>
      <c r="O577" s="260"/>
      <c r="P577" s="260"/>
      <c r="Q577" s="260"/>
      <c r="R577" s="260"/>
      <c r="S577" s="260"/>
      <c r="T577" s="260"/>
      <c r="U577" s="260"/>
      <c r="V577" s="260"/>
      <c r="W577" s="260"/>
      <c r="X577" s="260"/>
      <c r="Y577" s="260"/>
      <c r="Z577" s="260"/>
      <c r="AA577" s="260"/>
      <c r="AB577" s="260"/>
      <c r="AC577" s="260"/>
      <c r="AD577" s="260"/>
    </row>
    <row r="578" spans="1:30" ht="15" thickBot="1">
      <c r="A578" s="260"/>
      <c r="B578" s="260"/>
      <c r="C578" s="260"/>
      <c r="D578" s="260"/>
      <c r="E578" s="260"/>
      <c r="F578" s="260"/>
      <c r="G578" s="260"/>
      <c r="H578" s="260"/>
      <c r="I578" s="260"/>
      <c r="J578" s="260"/>
      <c r="K578" s="260"/>
      <c r="L578" s="260"/>
      <c r="M578" s="260"/>
      <c r="N578" s="260"/>
      <c r="O578" s="260"/>
      <c r="P578" s="260"/>
      <c r="Q578" s="260"/>
      <c r="R578" s="260"/>
      <c r="S578" s="260"/>
      <c r="T578" s="260"/>
      <c r="U578" s="260"/>
      <c r="V578" s="260"/>
      <c r="W578" s="260"/>
      <c r="X578" s="260"/>
      <c r="Y578" s="260"/>
      <c r="Z578" s="260"/>
      <c r="AA578" s="260"/>
      <c r="AB578" s="260"/>
      <c r="AC578" s="260"/>
      <c r="AD578" s="260"/>
    </row>
    <row r="579" spans="1:30" ht="15" thickBot="1">
      <c r="A579" s="260"/>
      <c r="B579" s="260"/>
      <c r="C579" s="260"/>
      <c r="D579" s="260"/>
      <c r="E579" s="260"/>
      <c r="F579" s="260"/>
      <c r="G579" s="260"/>
      <c r="H579" s="260"/>
      <c r="I579" s="260"/>
      <c r="J579" s="260"/>
      <c r="K579" s="260"/>
      <c r="L579" s="260"/>
      <c r="M579" s="260"/>
      <c r="N579" s="260"/>
      <c r="O579" s="260"/>
      <c r="P579" s="260"/>
      <c r="Q579" s="260"/>
      <c r="R579" s="260"/>
      <c r="S579" s="260"/>
      <c r="T579" s="260"/>
      <c r="U579" s="260"/>
      <c r="V579" s="260"/>
      <c r="W579" s="260"/>
      <c r="X579" s="260"/>
      <c r="Y579" s="260"/>
      <c r="Z579" s="260"/>
      <c r="AA579" s="260"/>
      <c r="AB579" s="260"/>
      <c r="AC579" s="260"/>
      <c r="AD579" s="260"/>
    </row>
    <row r="580" spans="1:30" ht="15" thickBot="1">
      <c r="A580" s="260"/>
      <c r="B580" s="260"/>
      <c r="C580" s="260"/>
      <c r="D580" s="260"/>
      <c r="E580" s="260"/>
      <c r="F580" s="260"/>
      <c r="G580" s="260"/>
      <c r="H580" s="260"/>
      <c r="I580" s="260"/>
      <c r="J580" s="260"/>
      <c r="K580" s="260"/>
      <c r="L580" s="260"/>
      <c r="M580" s="260"/>
      <c r="N580" s="260"/>
      <c r="O580" s="260"/>
      <c r="P580" s="260"/>
      <c r="Q580" s="260"/>
      <c r="R580" s="260"/>
      <c r="S580" s="260"/>
      <c r="T580" s="260"/>
      <c r="U580" s="260"/>
      <c r="V580" s="260"/>
      <c r="W580" s="260"/>
      <c r="X580" s="260"/>
      <c r="Y580" s="260"/>
      <c r="Z580" s="260"/>
      <c r="AA580" s="260"/>
      <c r="AB580" s="260"/>
      <c r="AC580" s="260"/>
      <c r="AD580" s="260"/>
    </row>
    <row r="581" spans="1:30" ht="15" thickBot="1">
      <c r="A581" s="260"/>
      <c r="B581" s="260"/>
      <c r="C581" s="260"/>
      <c r="D581" s="260"/>
      <c r="E581" s="260"/>
      <c r="F581" s="260"/>
      <c r="G581" s="260"/>
      <c r="H581" s="260"/>
      <c r="I581" s="260"/>
      <c r="J581" s="260"/>
      <c r="K581" s="260"/>
      <c r="L581" s="260"/>
      <c r="M581" s="260"/>
      <c r="N581" s="260"/>
      <c r="O581" s="260"/>
      <c r="P581" s="260"/>
      <c r="Q581" s="260"/>
      <c r="R581" s="260"/>
      <c r="S581" s="260"/>
      <c r="T581" s="260"/>
      <c r="U581" s="260"/>
      <c r="V581" s="260"/>
      <c r="W581" s="260"/>
      <c r="X581" s="260"/>
      <c r="Y581" s="260"/>
      <c r="Z581" s="260"/>
      <c r="AA581" s="260"/>
      <c r="AB581" s="260"/>
      <c r="AC581" s="260"/>
      <c r="AD581" s="260"/>
    </row>
    <row r="582" spans="1:30" ht="15" thickBot="1">
      <c r="A582" s="260"/>
      <c r="B582" s="260"/>
      <c r="C582" s="260"/>
      <c r="D582" s="260"/>
      <c r="E582" s="260"/>
      <c r="F582" s="260"/>
      <c r="G582" s="260"/>
      <c r="H582" s="260"/>
      <c r="I582" s="260"/>
      <c r="J582" s="260"/>
      <c r="K582" s="260"/>
      <c r="L582" s="260"/>
      <c r="M582" s="260"/>
      <c r="N582" s="260"/>
      <c r="O582" s="260"/>
      <c r="P582" s="260"/>
      <c r="Q582" s="260"/>
      <c r="R582" s="260"/>
      <c r="S582" s="260"/>
      <c r="T582" s="260"/>
      <c r="U582" s="260"/>
      <c r="V582" s="260"/>
      <c r="W582" s="260"/>
      <c r="X582" s="260"/>
      <c r="Y582" s="260"/>
      <c r="Z582" s="260"/>
      <c r="AA582" s="260"/>
      <c r="AB582" s="260"/>
      <c r="AC582" s="260"/>
      <c r="AD582" s="260"/>
    </row>
    <row r="583" spans="1:30" ht="15" thickBot="1">
      <c r="A583" s="260"/>
      <c r="B583" s="260"/>
      <c r="C583" s="260"/>
      <c r="D583" s="260"/>
      <c r="E583" s="260"/>
      <c r="F583" s="260"/>
      <c r="G583" s="260"/>
      <c r="H583" s="260"/>
      <c r="I583" s="260"/>
      <c r="J583" s="260"/>
      <c r="K583" s="260"/>
      <c r="L583" s="260"/>
      <c r="M583" s="260"/>
      <c r="N583" s="260"/>
      <c r="O583" s="260"/>
      <c r="P583" s="260"/>
      <c r="Q583" s="260"/>
      <c r="R583" s="260"/>
      <c r="S583" s="260"/>
      <c r="T583" s="260"/>
      <c r="U583" s="260"/>
      <c r="V583" s="260"/>
      <c r="W583" s="260"/>
      <c r="X583" s="260"/>
      <c r="Y583" s="260"/>
      <c r="Z583" s="260"/>
      <c r="AA583" s="260"/>
      <c r="AB583" s="260"/>
      <c r="AC583" s="260"/>
      <c r="AD583" s="260"/>
    </row>
    <row r="584" spans="1:30" ht="15" thickBot="1">
      <c r="A584" s="260"/>
      <c r="B584" s="260"/>
      <c r="C584" s="260"/>
      <c r="D584" s="260"/>
      <c r="E584" s="260"/>
      <c r="F584" s="260"/>
      <c r="G584" s="260"/>
      <c r="H584" s="260"/>
      <c r="I584" s="260"/>
      <c r="J584" s="260"/>
      <c r="K584" s="260"/>
      <c r="L584" s="260"/>
      <c r="M584" s="260"/>
      <c r="N584" s="260"/>
      <c r="O584" s="260"/>
      <c r="P584" s="260"/>
      <c r="Q584" s="260"/>
      <c r="R584" s="260"/>
      <c r="S584" s="260"/>
      <c r="T584" s="260"/>
      <c r="U584" s="260"/>
      <c r="V584" s="260"/>
      <c r="W584" s="260"/>
      <c r="X584" s="260"/>
      <c r="Y584" s="260"/>
      <c r="Z584" s="260"/>
      <c r="AA584" s="260"/>
      <c r="AB584" s="260"/>
      <c r="AC584" s="260"/>
      <c r="AD584" s="260"/>
    </row>
    <row r="585" spans="1:30" ht="15" thickBot="1">
      <c r="A585" s="260"/>
      <c r="B585" s="260"/>
      <c r="C585" s="260"/>
      <c r="D585" s="260"/>
      <c r="E585" s="260"/>
      <c r="F585" s="260"/>
      <c r="G585" s="260"/>
      <c r="H585" s="260"/>
      <c r="I585" s="260"/>
      <c r="J585" s="260"/>
      <c r="K585" s="260"/>
      <c r="L585" s="260"/>
      <c r="M585" s="260"/>
      <c r="N585" s="260"/>
      <c r="O585" s="260"/>
      <c r="P585" s="260"/>
      <c r="Q585" s="260"/>
      <c r="R585" s="260"/>
      <c r="S585" s="260"/>
      <c r="T585" s="260"/>
      <c r="U585" s="260"/>
      <c r="V585" s="260"/>
      <c r="W585" s="260"/>
      <c r="X585" s="260"/>
      <c r="Y585" s="260"/>
      <c r="Z585" s="260"/>
      <c r="AA585" s="260"/>
      <c r="AB585" s="260"/>
      <c r="AC585" s="260"/>
      <c r="AD585" s="260"/>
    </row>
    <row r="586" spans="1:30" ht="15" thickBot="1">
      <c r="A586" s="260"/>
      <c r="B586" s="260"/>
      <c r="C586" s="260"/>
      <c r="D586" s="260"/>
      <c r="E586" s="260"/>
      <c r="F586" s="260"/>
      <c r="G586" s="260"/>
      <c r="H586" s="260"/>
      <c r="I586" s="260"/>
      <c r="J586" s="260"/>
      <c r="K586" s="260"/>
      <c r="L586" s="260"/>
      <c r="M586" s="260"/>
      <c r="N586" s="260"/>
      <c r="O586" s="260"/>
      <c r="P586" s="260"/>
      <c r="Q586" s="260"/>
      <c r="R586" s="260"/>
      <c r="S586" s="260"/>
      <c r="T586" s="260"/>
      <c r="U586" s="260"/>
      <c r="V586" s="260"/>
      <c r="W586" s="260"/>
      <c r="X586" s="260"/>
      <c r="Y586" s="260"/>
      <c r="Z586" s="260"/>
      <c r="AA586" s="260"/>
      <c r="AB586" s="260"/>
      <c r="AC586" s="260"/>
      <c r="AD586" s="260"/>
    </row>
    <row r="587" spans="1:30" ht="15" thickBot="1">
      <c r="A587" s="260"/>
      <c r="B587" s="260"/>
      <c r="C587" s="260"/>
      <c r="D587" s="260"/>
      <c r="E587" s="260"/>
      <c r="F587" s="260"/>
      <c r="G587" s="260"/>
      <c r="H587" s="260"/>
      <c r="I587" s="260"/>
      <c r="J587" s="260"/>
      <c r="K587" s="260"/>
      <c r="L587" s="260"/>
      <c r="M587" s="260"/>
      <c r="N587" s="260"/>
      <c r="O587" s="260"/>
      <c r="P587" s="260"/>
      <c r="Q587" s="260"/>
      <c r="R587" s="260"/>
      <c r="S587" s="260"/>
      <c r="T587" s="260"/>
      <c r="U587" s="260"/>
      <c r="V587" s="260"/>
      <c r="W587" s="260"/>
      <c r="X587" s="260"/>
      <c r="Y587" s="260"/>
      <c r="Z587" s="260"/>
      <c r="AA587" s="260"/>
      <c r="AB587" s="260"/>
      <c r="AC587" s="260"/>
      <c r="AD587" s="260"/>
    </row>
    <row r="588" spans="1:30" ht="15" thickBot="1">
      <c r="A588" s="260"/>
      <c r="B588" s="260"/>
      <c r="C588" s="260"/>
      <c r="D588" s="260"/>
      <c r="E588" s="260"/>
      <c r="F588" s="260"/>
      <c r="G588" s="260"/>
      <c r="H588" s="260"/>
      <c r="I588" s="260"/>
      <c r="J588" s="260"/>
      <c r="K588" s="260"/>
      <c r="L588" s="260"/>
      <c r="M588" s="260"/>
      <c r="N588" s="260"/>
      <c r="O588" s="260"/>
      <c r="P588" s="260"/>
      <c r="Q588" s="260"/>
      <c r="R588" s="260"/>
      <c r="S588" s="260"/>
      <c r="T588" s="260"/>
      <c r="U588" s="260"/>
      <c r="V588" s="260"/>
      <c r="W588" s="260"/>
      <c r="X588" s="260"/>
      <c r="Y588" s="260"/>
      <c r="Z588" s="260"/>
      <c r="AA588" s="260"/>
      <c r="AB588" s="260"/>
      <c r="AC588" s="260"/>
      <c r="AD588" s="260"/>
    </row>
    <row r="589" spans="1:30" ht="15" thickBot="1">
      <c r="A589" s="260"/>
      <c r="B589" s="260"/>
      <c r="C589" s="260"/>
      <c r="D589" s="260"/>
      <c r="E589" s="260"/>
      <c r="F589" s="260"/>
      <c r="G589" s="260"/>
      <c r="H589" s="260"/>
      <c r="I589" s="260"/>
      <c r="J589" s="260"/>
      <c r="K589" s="260"/>
      <c r="L589" s="260"/>
      <c r="M589" s="260"/>
      <c r="N589" s="260"/>
      <c r="O589" s="260"/>
      <c r="P589" s="260"/>
      <c r="Q589" s="260"/>
      <c r="R589" s="260"/>
      <c r="S589" s="260"/>
      <c r="T589" s="260"/>
      <c r="U589" s="260"/>
      <c r="V589" s="260"/>
      <c r="W589" s="260"/>
      <c r="X589" s="260"/>
      <c r="Y589" s="260"/>
      <c r="Z589" s="260"/>
      <c r="AA589" s="260"/>
      <c r="AB589" s="260"/>
      <c r="AC589" s="260"/>
      <c r="AD589" s="260"/>
    </row>
    <row r="590" spans="1:30" ht="15" thickBot="1">
      <c r="A590" s="260"/>
      <c r="B590" s="260"/>
      <c r="C590" s="260"/>
      <c r="D590" s="260"/>
      <c r="E590" s="260"/>
      <c r="F590" s="260"/>
      <c r="G590" s="260"/>
      <c r="H590" s="260"/>
      <c r="I590" s="260"/>
      <c r="J590" s="260"/>
      <c r="K590" s="260"/>
      <c r="L590" s="260"/>
      <c r="M590" s="260"/>
      <c r="N590" s="260"/>
      <c r="O590" s="260"/>
      <c r="P590" s="260"/>
      <c r="Q590" s="260"/>
      <c r="R590" s="260"/>
      <c r="S590" s="260"/>
      <c r="T590" s="260"/>
      <c r="U590" s="260"/>
      <c r="V590" s="260"/>
      <c r="W590" s="260"/>
      <c r="X590" s="260"/>
      <c r="Y590" s="260"/>
      <c r="Z590" s="260"/>
      <c r="AA590" s="260"/>
      <c r="AB590" s="260"/>
      <c r="AC590" s="260"/>
      <c r="AD590" s="260"/>
    </row>
    <row r="591" spans="1:30" ht="15" thickBot="1">
      <c r="A591" s="260"/>
      <c r="B591" s="260"/>
      <c r="C591" s="260"/>
      <c r="D591" s="260"/>
      <c r="E591" s="260"/>
      <c r="F591" s="260"/>
      <c r="G591" s="260"/>
      <c r="H591" s="260"/>
      <c r="I591" s="260"/>
      <c r="J591" s="260"/>
      <c r="K591" s="260"/>
      <c r="L591" s="260"/>
      <c r="M591" s="260"/>
      <c r="N591" s="260"/>
      <c r="O591" s="260"/>
      <c r="P591" s="260"/>
      <c r="Q591" s="260"/>
      <c r="R591" s="260"/>
      <c r="S591" s="260"/>
      <c r="T591" s="260"/>
      <c r="U591" s="260"/>
      <c r="V591" s="260"/>
      <c r="W591" s="260"/>
      <c r="X591" s="260"/>
      <c r="Y591" s="260"/>
      <c r="Z591" s="260"/>
      <c r="AA591" s="260"/>
      <c r="AB591" s="260"/>
      <c r="AC591" s="260"/>
      <c r="AD591" s="260"/>
    </row>
    <row r="592" spans="1:30" ht="15" thickBot="1">
      <c r="A592" s="260"/>
      <c r="B592" s="260"/>
      <c r="C592" s="260"/>
      <c r="D592" s="260"/>
      <c r="E592" s="260"/>
      <c r="F592" s="260"/>
      <c r="G592" s="260"/>
      <c r="H592" s="260"/>
      <c r="I592" s="260"/>
      <c r="J592" s="260"/>
      <c r="K592" s="260"/>
      <c r="L592" s="260"/>
      <c r="M592" s="260"/>
      <c r="N592" s="260"/>
      <c r="O592" s="260"/>
      <c r="P592" s="260"/>
      <c r="Q592" s="260"/>
      <c r="R592" s="260"/>
      <c r="S592" s="260"/>
      <c r="T592" s="260"/>
      <c r="U592" s="260"/>
      <c r="V592" s="260"/>
      <c r="W592" s="260"/>
      <c r="X592" s="260"/>
      <c r="Y592" s="260"/>
      <c r="Z592" s="260"/>
      <c r="AA592" s="260"/>
      <c r="AB592" s="260"/>
      <c r="AC592" s="260"/>
      <c r="AD592" s="260"/>
    </row>
    <row r="593" spans="1:30" ht="15" thickBot="1">
      <c r="A593" s="260"/>
      <c r="B593" s="260"/>
      <c r="C593" s="260"/>
      <c r="D593" s="260"/>
      <c r="E593" s="260"/>
      <c r="F593" s="260"/>
      <c r="G593" s="260"/>
      <c r="H593" s="260"/>
      <c r="I593" s="260"/>
      <c r="J593" s="260"/>
      <c r="K593" s="260"/>
      <c r="L593" s="260"/>
      <c r="M593" s="260"/>
      <c r="N593" s="260"/>
      <c r="O593" s="260"/>
      <c r="P593" s="260"/>
      <c r="Q593" s="260"/>
      <c r="R593" s="260"/>
      <c r="S593" s="260"/>
      <c r="T593" s="260"/>
      <c r="U593" s="260"/>
      <c r="V593" s="260"/>
      <c r="W593" s="260"/>
      <c r="X593" s="260"/>
      <c r="Y593" s="260"/>
      <c r="Z593" s="260"/>
      <c r="AA593" s="260"/>
      <c r="AB593" s="260"/>
      <c r="AC593" s="260"/>
      <c r="AD593" s="260"/>
    </row>
    <row r="594" spans="1:30" ht="15" thickBot="1">
      <c r="A594" s="260"/>
      <c r="B594" s="260"/>
      <c r="C594" s="260"/>
      <c r="D594" s="260"/>
      <c r="E594" s="260"/>
      <c r="F594" s="260"/>
      <c r="G594" s="260"/>
      <c r="H594" s="260"/>
      <c r="I594" s="260"/>
      <c r="J594" s="260"/>
      <c r="K594" s="260"/>
      <c r="L594" s="260"/>
      <c r="M594" s="260"/>
      <c r="N594" s="260"/>
      <c r="O594" s="260"/>
      <c r="P594" s="260"/>
      <c r="Q594" s="260"/>
      <c r="R594" s="260"/>
      <c r="S594" s="260"/>
      <c r="T594" s="260"/>
      <c r="U594" s="260"/>
      <c r="V594" s="260"/>
      <c r="W594" s="260"/>
      <c r="X594" s="260"/>
      <c r="Y594" s="260"/>
      <c r="Z594" s="260"/>
      <c r="AA594" s="260"/>
      <c r="AB594" s="260"/>
      <c r="AC594" s="260"/>
      <c r="AD594" s="260"/>
    </row>
    <row r="595" spans="1:30" ht="15" thickBot="1">
      <c r="A595" s="260"/>
      <c r="B595" s="260"/>
      <c r="C595" s="260"/>
      <c r="D595" s="260"/>
      <c r="E595" s="260"/>
      <c r="F595" s="260"/>
      <c r="G595" s="260"/>
      <c r="H595" s="260"/>
      <c r="I595" s="260"/>
      <c r="J595" s="260"/>
      <c r="K595" s="260"/>
      <c r="L595" s="260"/>
      <c r="M595" s="260"/>
      <c r="N595" s="260"/>
      <c r="O595" s="260"/>
      <c r="P595" s="260"/>
      <c r="Q595" s="260"/>
      <c r="R595" s="260"/>
      <c r="S595" s="260"/>
      <c r="T595" s="260"/>
      <c r="U595" s="260"/>
      <c r="V595" s="260"/>
      <c r="W595" s="260"/>
      <c r="X595" s="260"/>
      <c r="Y595" s="260"/>
      <c r="Z595" s="260"/>
      <c r="AA595" s="260"/>
      <c r="AB595" s="260"/>
      <c r="AC595" s="260"/>
      <c r="AD595" s="260"/>
    </row>
    <row r="596" spans="1:30" ht="15" thickBot="1">
      <c r="A596" s="260"/>
      <c r="B596" s="260"/>
      <c r="C596" s="260"/>
      <c r="D596" s="260"/>
      <c r="E596" s="260"/>
      <c r="F596" s="260"/>
      <c r="G596" s="260"/>
      <c r="H596" s="260"/>
      <c r="I596" s="260"/>
      <c r="J596" s="260"/>
      <c r="K596" s="260"/>
      <c r="L596" s="260"/>
      <c r="M596" s="260"/>
      <c r="N596" s="260"/>
      <c r="O596" s="260"/>
      <c r="P596" s="260"/>
      <c r="Q596" s="260"/>
      <c r="R596" s="260"/>
      <c r="S596" s="260"/>
      <c r="T596" s="260"/>
      <c r="U596" s="260"/>
      <c r="V596" s="260"/>
      <c r="W596" s="260"/>
      <c r="X596" s="260"/>
      <c r="Y596" s="260"/>
      <c r="Z596" s="260"/>
      <c r="AA596" s="260"/>
      <c r="AB596" s="260"/>
      <c r="AC596" s="260"/>
      <c r="AD596" s="260"/>
    </row>
    <row r="597" spans="1:30" ht="15" thickBot="1">
      <c r="A597" s="260"/>
      <c r="B597" s="260"/>
      <c r="C597" s="260"/>
      <c r="D597" s="260"/>
      <c r="E597" s="260"/>
      <c r="F597" s="260"/>
      <c r="G597" s="260"/>
      <c r="H597" s="260"/>
      <c r="I597" s="260"/>
      <c r="J597" s="260"/>
      <c r="K597" s="260"/>
      <c r="L597" s="260"/>
      <c r="M597" s="260"/>
      <c r="N597" s="260"/>
      <c r="O597" s="260"/>
      <c r="P597" s="260"/>
      <c r="Q597" s="260"/>
      <c r="R597" s="260"/>
      <c r="S597" s="260"/>
      <c r="T597" s="260"/>
      <c r="U597" s="260"/>
      <c r="V597" s="260"/>
      <c r="W597" s="260"/>
      <c r="X597" s="260"/>
      <c r="Y597" s="260"/>
      <c r="Z597" s="260"/>
      <c r="AA597" s="260"/>
      <c r="AB597" s="260"/>
      <c r="AC597" s="260"/>
      <c r="AD597" s="260"/>
    </row>
    <row r="598" spans="1:30" ht="15" thickBot="1">
      <c r="A598" s="260"/>
      <c r="B598" s="260"/>
      <c r="C598" s="260"/>
      <c r="D598" s="260"/>
      <c r="E598" s="260"/>
      <c r="F598" s="260"/>
      <c r="G598" s="260"/>
      <c r="H598" s="260"/>
      <c r="I598" s="260"/>
      <c r="J598" s="260"/>
      <c r="K598" s="260"/>
      <c r="L598" s="260"/>
      <c r="M598" s="260"/>
      <c r="N598" s="260"/>
      <c r="O598" s="260"/>
      <c r="P598" s="260"/>
      <c r="Q598" s="260"/>
      <c r="R598" s="260"/>
      <c r="S598" s="260"/>
      <c r="T598" s="260"/>
      <c r="U598" s="260"/>
      <c r="V598" s="260"/>
      <c r="W598" s="260"/>
      <c r="X598" s="260"/>
      <c r="Y598" s="260"/>
      <c r="Z598" s="260"/>
      <c r="AA598" s="260"/>
      <c r="AB598" s="260"/>
      <c r="AC598" s="260"/>
      <c r="AD598" s="260"/>
    </row>
    <row r="599" spans="1:30" ht="15" thickBot="1">
      <c r="A599" s="260"/>
      <c r="B599" s="260"/>
      <c r="C599" s="260"/>
      <c r="D599" s="260"/>
      <c r="E599" s="260"/>
      <c r="F599" s="260"/>
      <c r="G599" s="260"/>
      <c r="H599" s="260"/>
      <c r="I599" s="260"/>
      <c r="J599" s="260"/>
      <c r="K599" s="260"/>
      <c r="L599" s="260"/>
      <c r="M599" s="260"/>
      <c r="N599" s="260"/>
      <c r="O599" s="260"/>
      <c r="P599" s="260"/>
      <c r="Q599" s="260"/>
      <c r="R599" s="260"/>
      <c r="S599" s="260"/>
      <c r="T599" s="260"/>
      <c r="U599" s="260"/>
      <c r="V599" s="260"/>
      <c r="W599" s="260"/>
      <c r="X599" s="260"/>
      <c r="Y599" s="260"/>
      <c r="Z599" s="260"/>
      <c r="AA599" s="260"/>
      <c r="AB599" s="260"/>
      <c r="AC599" s="260"/>
      <c r="AD599" s="260"/>
    </row>
    <row r="600" spans="1:30" ht="15" thickBot="1">
      <c r="A600" s="260"/>
      <c r="B600" s="260"/>
      <c r="C600" s="260"/>
      <c r="D600" s="260"/>
      <c r="E600" s="260"/>
      <c r="F600" s="260"/>
      <c r="G600" s="260"/>
      <c r="H600" s="260"/>
      <c r="I600" s="260"/>
      <c r="J600" s="260"/>
      <c r="K600" s="260"/>
      <c r="L600" s="260"/>
      <c r="M600" s="260"/>
      <c r="N600" s="260"/>
      <c r="O600" s="260"/>
      <c r="P600" s="260"/>
      <c r="Q600" s="260"/>
      <c r="R600" s="260"/>
      <c r="S600" s="260"/>
      <c r="T600" s="260"/>
      <c r="U600" s="260"/>
      <c r="V600" s="260"/>
      <c r="W600" s="260"/>
      <c r="X600" s="260"/>
      <c r="Y600" s="260"/>
      <c r="Z600" s="260"/>
      <c r="AA600" s="260"/>
      <c r="AB600" s="260"/>
      <c r="AC600" s="260"/>
      <c r="AD600" s="260"/>
    </row>
    <row r="601" spans="1:30" ht="15" thickBot="1">
      <c r="A601" s="260"/>
      <c r="B601" s="260"/>
      <c r="C601" s="260"/>
      <c r="D601" s="260"/>
      <c r="E601" s="260"/>
      <c r="F601" s="260"/>
      <c r="G601" s="260"/>
      <c r="H601" s="260"/>
      <c r="I601" s="260"/>
      <c r="J601" s="260"/>
      <c r="K601" s="260"/>
      <c r="L601" s="260"/>
      <c r="M601" s="260"/>
      <c r="N601" s="260"/>
      <c r="O601" s="260"/>
      <c r="P601" s="260"/>
      <c r="Q601" s="260"/>
      <c r="R601" s="260"/>
      <c r="S601" s="260"/>
      <c r="T601" s="260"/>
      <c r="U601" s="260"/>
      <c r="V601" s="260"/>
      <c r="W601" s="260"/>
      <c r="X601" s="260"/>
      <c r="Y601" s="260"/>
      <c r="Z601" s="260"/>
      <c r="AA601" s="260"/>
      <c r="AB601" s="260"/>
      <c r="AC601" s="260"/>
      <c r="AD601" s="260"/>
    </row>
    <row r="602" spans="1:30" ht="15" thickBot="1">
      <c r="A602" s="260"/>
      <c r="B602" s="260"/>
      <c r="C602" s="260"/>
      <c r="D602" s="260"/>
      <c r="E602" s="260"/>
      <c r="F602" s="260"/>
      <c r="G602" s="260"/>
      <c r="H602" s="260"/>
      <c r="I602" s="260"/>
      <c r="J602" s="260"/>
      <c r="K602" s="260"/>
      <c r="L602" s="260"/>
      <c r="M602" s="260"/>
      <c r="N602" s="260"/>
      <c r="O602" s="260"/>
      <c r="P602" s="260"/>
      <c r="Q602" s="260"/>
      <c r="R602" s="260"/>
      <c r="S602" s="260"/>
      <c r="T602" s="260"/>
      <c r="U602" s="260"/>
      <c r="V602" s="260"/>
      <c r="W602" s="260"/>
      <c r="X602" s="260"/>
      <c r="Y602" s="260"/>
      <c r="Z602" s="260"/>
      <c r="AA602" s="260"/>
      <c r="AB602" s="260"/>
      <c r="AC602" s="260"/>
      <c r="AD602" s="260"/>
    </row>
    <row r="603" spans="1:30" ht="15" thickBot="1">
      <c r="A603" s="260"/>
      <c r="B603" s="260"/>
      <c r="C603" s="260"/>
      <c r="D603" s="260"/>
      <c r="E603" s="260"/>
      <c r="F603" s="260"/>
      <c r="G603" s="260"/>
      <c r="H603" s="260"/>
      <c r="I603" s="260"/>
      <c r="J603" s="260"/>
      <c r="K603" s="260"/>
      <c r="L603" s="260"/>
      <c r="M603" s="260"/>
      <c r="N603" s="260"/>
      <c r="O603" s="260"/>
      <c r="P603" s="260"/>
      <c r="Q603" s="260"/>
      <c r="R603" s="260"/>
      <c r="S603" s="260"/>
      <c r="T603" s="260"/>
      <c r="U603" s="260"/>
      <c r="V603" s="260"/>
      <c r="W603" s="260"/>
      <c r="X603" s="260"/>
      <c r="Y603" s="260"/>
      <c r="Z603" s="260"/>
      <c r="AA603" s="260"/>
      <c r="AB603" s="260"/>
      <c r="AC603" s="260"/>
      <c r="AD603" s="260"/>
    </row>
    <row r="604" spans="1:30" ht="15" thickBot="1">
      <c r="A604" s="260"/>
      <c r="B604" s="260"/>
      <c r="C604" s="260"/>
      <c r="D604" s="260"/>
      <c r="E604" s="260"/>
      <c r="F604" s="260"/>
      <c r="G604" s="260"/>
      <c r="H604" s="260"/>
      <c r="I604" s="260"/>
      <c r="J604" s="260"/>
      <c r="K604" s="260"/>
      <c r="L604" s="260"/>
      <c r="M604" s="260"/>
      <c r="N604" s="260"/>
      <c r="O604" s="260"/>
      <c r="P604" s="260"/>
      <c r="Q604" s="260"/>
      <c r="R604" s="260"/>
      <c r="S604" s="260"/>
      <c r="T604" s="260"/>
      <c r="U604" s="260"/>
      <c r="V604" s="260"/>
      <c r="W604" s="260"/>
      <c r="X604" s="260"/>
      <c r="Y604" s="260"/>
      <c r="Z604" s="260"/>
      <c r="AA604" s="260"/>
      <c r="AB604" s="260"/>
      <c r="AC604" s="260"/>
      <c r="AD604" s="260"/>
    </row>
    <row r="605" spans="1:30" ht="15" thickBot="1">
      <c r="A605" s="260"/>
      <c r="B605" s="260"/>
      <c r="C605" s="260"/>
      <c r="D605" s="260"/>
      <c r="E605" s="260"/>
      <c r="F605" s="260"/>
      <c r="G605" s="260"/>
      <c r="H605" s="260"/>
      <c r="I605" s="260"/>
      <c r="J605" s="260"/>
      <c r="K605" s="260"/>
      <c r="L605" s="260"/>
      <c r="M605" s="260"/>
      <c r="N605" s="260"/>
      <c r="O605" s="260"/>
      <c r="P605" s="260"/>
      <c r="Q605" s="260"/>
      <c r="R605" s="260"/>
      <c r="S605" s="260"/>
      <c r="T605" s="260"/>
      <c r="U605" s="260"/>
      <c r="V605" s="260"/>
      <c r="W605" s="260"/>
      <c r="X605" s="260"/>
      <c r="Y605" s="260"/>
      <c r="Z605" s="260"/>
      <c r="AA605" s="260"/>
      <c r="AB605" s="260"/>
      <c r="AC605" s="260"/>
      <c r="AD605" s="260"/>
    </row>
    <row r="606" spans="1:30" ht="15" thickBot="1">
      <c r="A606" s="260"/>
      <c r="B606" s="260"/>
      <c r="C606" s="260"/>
      <c r="D606" s="260"/>
      <c r="E606" s="260"/>
      <c r="F606" s="260"/>
      <c r="G606" s="260"/>
      <c r="H606" s="260"/>
      <c r="I606" s="260"/>
      <c r="J606" s="260"/>
      <c r="K606" s="260"/>
      <c r="L606" s="260"/>
      <c r="M606" s="260"/>
      <c r="N606" s="260"/>
      <c r="O606" s="260"/>
      <c r="P606" s="260"/>
      <c r="Q606" s="260"/>
      <c r="R606" s="260"/>
      <c r="S606" s="260"/>
      <c r="T606" s="260"/>
      <c r="U606" s="260"/>
      <c r="V606" s="260"/>
      <c r="W606" s="260"/>
      <c r="X606" s="260"/>
      <c r="Y606" s="260"/>
      <c r="Z606" s="260"/>
      <c r="AA606" s="260"/>
      <c r="AB606" s="260"/>
      <c r="AC606" s="260"/>
      <c r="AD606" s="260"/>
    </row>
    <row r="607" spans="1:30" ht="15" thickBot="1">
      <c r="A607" s="260"/>
      <c r="B607" s="260"/>
      <c r="C607" s="260"/>
      <c r="D607" s="260"/>
      <c r="E607" s="260"/>
      <c r="F607" s="260"/>
      <c r="G607" s="260"/>
      <c r="H607" s="260"/>
      <c r="I607" s="260"/>
      <c r="J607" s="260"/>
      <c r="K607" s="260"/>
      <c r="L607" s="260"/>
      <c r="M607" s="260"/>
      <c r="N607" s="260"/>
      <c r="O607" s="260"/>
      <c r="P607" s="260"/>
      <c r="Q607" s="260"/>
      <c r="R607" s="260"/>
      <c r="S607" s="260"/>
      <c r="T607" s="260"/>
      <c r="U607" s="260"/>
      <c r="V607" s="260"/>
      <c r="W607" s="260"/>
      <c r="X607" s="260"/>
      <c r="Y607" s="260"/>
      <c r="Z607" s="260"/>
      <c r="AA607" s="260"/>
      <c r="AB607" s="260"/>
      <c r="AC607" s="260"/>
      <c r="AD607" s="260"/>
    </row>
    <row r="608" spans="1:30" ht="15" thickBot="1">
      <c r="A608" s="260"/>
      <c r="B608" s="260"/>
      <c r="C608" s="260"/>
      <c r="D608" s="260"/>
      <c r="E608" s="260"/>
      <c r="F608" s="260"/>
      <c r="G608" s="260"/>
      <c r="H608" s="260"/>
      <c r="I608" s="260"/>
      <c r="J608" s="260"/>
      <c r="K608" s="260"/>
      <c r="L608" s="260"/>
      <c r="M608" s="260"/>
      <c r="N608" s="260"/>
      <c r="O608" s="260"/>
      <c r="P608" s="260"/>
      <c r="Q608" s="260"/>
      <c r="R608" s="260"/>
      <c r="S608" s="260"/>
      <c r="T608" s="260"/>
      <c r="U608" s="260"/>
      <c r="V608" s="260"/>
      <c r="W608" s="260"/>
      <c r="X608" s="260"/>
      <c r="Y608" s="260"/>
      <c r="Z608" s="260"/>
      <c r="AA608" s="260"/>
      <c r="AB608" s="260"/>
      <c r="AC608" s="260"/>
      <c r="AD608" s="260"/>
    </row>
    <row r="609" spans="1:30" ht="15" thickBot="1">
      <c r="A609" s="260"/>
      <c r="B609" s="260"/>
      <c r="C609" s="260"/>
      <c r="D609" s="260"/>
      <c r="E609" s="260"/>
      <c r="F609" s="260"/>
      <c r="G609" s="260"/>
      <c r="H609" s="260"/>
      <c r="I609" s="260"/>
      <c r="J609" s="260"/>
      <c r="K609" s="260"/>
      <c r="L609" s="260"/>
      <c r="M609" s="260"/>
      <c r="N609" s="260"/>
      <c r="O609" s="260"/>
      <c r="P609" s="260"/>
      <c r="Q609" s="260"/>
      <c r="R609" s="260"/>
      <c r="S609" s="260"/>
      <c r="T609" s="260"/>
      <c r="U609" s="260"/>
      <c r="V609" s="260"/>
      <c r="W609" s="260"/>
      <c r="X609" s="260"/>
      <c r="Y609" s="260"/>
      <c r="Z609" s="260"/>
      <c r="AA609" s="260"/>
      <c r="AB609" s="260"/>
      <c r="AC609" s="260"/>
      <c r="AD609" s="260"/>
    </row>
    <row r="610" spans="1:30" ht="15" thickBot="1">
      <c r="A610" s="260"/>
      <c r="B610" s="260"/>
      <c r="C610" s="260"/>
      <c r="D610" s="260"/>
      <c r="E610" s="260"/>
      <c r="F610" s="260"/>
      <c r="G610" s="260"/>
      <c r="H610" s="260"/>
      <c r="I610" s="260"/>
      <c r="J610" s="260"/>
      <c r="K610" s="260"/>
      <c r="L610" s="260"/>
      <c r="M610" s="260"/>
      <c r="N610" s="260"/>
      <c r="O610" s="260"/>
      <c r="P610" s="260"/>
      <c r="Q610" s="260"/>
      <c r="R610" s="260"/>
      <c r="S610" s="260"/>
      <c r="T610" s="260"/>
      <c r="U610" s="260"/>
      <c r="V610" s="260"/>
      <c r="W610" s="260"/>
      <c r="X610" s="260"/>
      <c r="Y610" s="260"/>
      <c r="Z610" s="260"/>
      <c r="AA610" s="260"/>
      <c r="AB610" s="260"/>
      <c r="AC610" s="260"/>
      <c r="AD610" s="260"/>
    </row>
    <row r="611" spans="1:30" ht="15" thickBot="1">
      <c r="A611" s="260"/>
      <c r="B611" s="260"/>
      <c r="C611" s="260"/>
      <c r="D611" s="260"/>
      <c r="E611" s="260"/>
      <c r="F611" s="260"/>
      <c r="G611" s="260"/>
      <c r="H611" s="260"/>
      <c r="I611" s="260"/>
      <c r="J611" s="260"/>
      <c r="K611" s="260"/>
      <c r="L611" s="260"/>
      <c r="M611" s="260"/>
      <c r="N611" s="260"/>
      <c r="O611" s="260"/>
      <c r="P611" s="260"/>
      <c r="Q611" s="260"/>
      <c r="R611" s="260"/>
      <c r="S611" s="260"/>
      <c r="T611" s="260"/>
      <c r="U611" s="260"/>
      <c r="V611" s="260"/>
      <c r="W611" s="260"/>
      <c r="X611" s="260"/>
      <c r="Y611" s="260"/>
      <c r="Z611" s="260"/>
      <c r="AA611" s="260"/>
      <c r="AB611" s="260"/>
      <c r="AC611" s="260"/>
      <c r="AD611" s="260"/>
    </row>
    <row r="612" spans="1:30" ht="15" thickBot="1">
      <c r="A612" s="260"/>
      <c r="B612" s="260"/>
      <c r="C612" s="260"/>
      <c r="D612" s="260"/>
      <c r="E612" s="260"/>
      <c r="F612" s="260"/>
      <c r="G612" s="260"/>
      <c r="H612" s="260"/>
      <c r="I612" s="260"/>
      <c r="J612" s="260"/>
      <c r="K612" s="260"/>
      <c r="L612" s="260"/>
      <c r="M612" s="260"/>
      <c r="N612" s="260"/>
      <c r="O612" s="260"/>
      <c r="P612" s="260"/>
      <c r="Q612" s="260"/>
      <c r="R612" s="260"/>
      <c r="S612" s="260"/>
      <c r="T612" s="260"/>
      <c r="U612" s="260"/>
      <c r="V612" s="260"/>
      <c r="W612" s="260"/>
      <c r="X612" s="260"/>
      <c r="Y612" s="260"/>
      <c r="Z612" s="260"/>
      <c r="AA612" s="260"/>
      <c r="AB612" s="260"/>
      <c r="AC612" s="260"/>
      <c r="AD612" s="260"/>
    </row>
    <row r="613" spans="1:30" ht="15" thickBot="1">
      <c r="A613" s="260"/>
      <c r="B613" s="260"/>
      <c r="C613" s="260"/>
      <c r="D613" s="260"/>
      <c r="E613" s="260"/>
      <c r="F613" s="260"/>
      <c r="G613" s="260"/>
      <c r="H613" s="260"/>
      <c r="I613" s="260"/>
      <c r="J613" s="260"/>
      <c r="K613" s="260"/>
      <c r="L613" s="260"/>
      <c r="M613" s="260"/>
      <c r="N613" s="260"/>
      <c r="O613" s="260"/>
      <c r="P613" s="260"/>
      <c r="Q613" s="260"/>
      <c r="R613" s="260"/>
      <c r="S613" s="260"/>
      <c r="T613" s="260"/>
      <c r="U613" s="260"/>
      <c r="V613" s="260"/>
      <c r="W613" s="260"/>
      <c r="X613" s="260"/>
      <c r="Y613" s="260"/>
      <c r="Z613" s="260"/>
      <c r="AA613" s="260"/>
      <c r="AB613" s="260"/>
      <c r="AC613" s="260"/>
      <c r="AD613" s="260"/>
    </row>
    <row r="614" spans="1:30" ht="15" thickBot="1">
      <c r="A614" s="260"/>
      <c r="B614" s="260"/>
      <c r="C614" s="260"/>
      <c r="D614" s="260"/>
      <c r="E614" s="260"/>
      <c r="F614" s="260"/>
      <c r="G614" s="260"/>
      <c r="H614" s="260"/>
      <c r="I614" s="260"/>
      <c r="J614" s="260"/>
      <c r="K614" s="260"/>
      <c r="L614" s="260"/>
      <c r="M614" s="260"/>
      <c r="N614" s="260"/>
      <c r="O614" s="260"/>
      <c r="P614" s="260"/>
      <c r="Q614" s="260"/>
      <c r="R614" s="260"/>
      <c r="S614" s="260"/>
      <c r="T614" s="260"/>
      <c r="U614" s="260"/>
      <c r="V614" s="260"/>
      <c r="W614" s="260"/>
      <c r="X614" s="260"/>
      <c r="Y614" s="260"/>
      <c r="Z614" s="260"/>
      <c r="AA614" s="260"/>
      <c r="AB614" s="260"/>
      <c r="AC614" s="260"/>
      <c r="AD614" s="260"/>
    </row>
    <row r="615" spans="1:30" ht="15" thickBot="1">
      <c r="A615" s="260"/>
      <c r="B615" s="260"/>
      <c r="C615" s="260"/>
      <c r="D615" s="260"/>
      <c r="E615" s="260"/>
      <c r="F615" s="260"/>
      <c r="G615" s="260"/>
      <c r="H615" s="260"/>
      <c r="I615" s="260"/>
      <c r="J615" s="260"/>
      <c r="K615" s="260"/>
      <c r="L615" s="260"/>
      <c r="M615" s="260"/>
      <c r="N615" s="260"/>
      <c r="O615" s="260"/>
      <c r="P615" s="260"/>
      <c r="Q615" s="260"/>
      <c r="R615" s="260"/>
      <c r="S615" s="260"/>
      <c r="T615" s="260"/>
      <c r="U615" s="260"/>
      <c r="V615" s="260"/>
      <c r="W615" s="260"/>
      <c r="X615" s="260"/>
      <c r="Y615" s="260"/>
      <c r="Z615" s="260"/>
      <c r="AA615" s="260"/>
      <c r="AB615" s="260"/>
      <c r="AC615" s="260"/>
      <c r="AD615" s="260"/>
    </row>
    <row r="616" spans="1:30" ht="15" thickBot="1">
      <c r="A616" s="260"/>
      <c r="B616" s="260"/>
      <c r="C616" s="260"/>
      <c r="D616" s="260"/>
      <c r="E616" s="260"/>
      <c r="F616" s="260"/>
      <c r="G616" s="260"/>
      <c r="H616" s="260"/>
      <c r="I616" s="260"/>
      <c r="J616" s="260"/>
      <c r="K616" s="260"/>
      <c r="L616" s="260"/>
      <c r="M616" s="260"/>
      <c r="N616" s="260"/>
      <c r="O616" s="260"/>
      <c r="P616" s="260"/>
      <c r="Q616" s="260"/>
      <c r="R616" s="260"/>
      <c r="S616" s="260"/>
      <c r="T616" s="260"/>
      <c r="U616" s="260"/>
      <c r="V616" s="260"/>
      <c r="W616" s="260"/>
      <c r="X616" s="260"/>
      <c r="Y616" s="260"/>
      <c r="Z616" s="260"/>
      <c r="AA616" s="260"/>
      <c r="AB616" s="260"/>
      <c r="AC616" s="260"/>
      <c r="AD616" s="260"/>
    </row>
    <row r="617" spans="1:30" ht="15" thickBot="1">
      <c r="A617" s="260"/>
      <c r="B617" s="260"/>
      <c r="C617" s="260"/>
      <c r="D617" s="260"/>
      <c r="E617" s="260"/>
      <c r="F617" s="260"/>
      <c r="G617" s="260"/>
      <c r="H617" s="260"/>
      <c r="I617" s="260"/>
      <c r="J617" s="260"/>
      <c r="K617" s="260"/>
      <c r="L617" s="260"/>
      <c r="M617" s="260"/>
      <c r="N617" s="260"/>
      <c r="O617" s="260"/>
      <c r="P617" s="260"/>
      <c r="Q617" s="260"/>
      <c r="R617" s="260"/>
      <c r="S617" s="260"/>
      <c r="T617" s="260"/>
      <c r="U617" s="260"/>
      <c r="V617" s="260"/>
      <c r="W617" s="260"/>
      <c r="X617" s="260"/>
      <c r="Y617" s="260"/>
      <c r="Z617" s="260"/>
      <c r="AA617" s="260"/>
      <c r="AB617" s="260"/>
      <c r="AC617" s="260"/>
      <c r="AD617" s="260"/>
    </row>
    <row r="618" spans="1:30" ht="15" thickBot="1">
      <c r="A618" s="260"/>
      <c r="B618" s="260"/>
      <c r="C618" s="260"/>
      <c r="D618" s="260"/>
      <c r="E618" s="260"/>
      <c r="F618" s="260"/>
      <c r="G618" s="260"/>
      <c r="H618" s="260"/>
      <c r="I618" s="260"/>
      <c r="J618" s="260"/>
      <c r="K618" s="260"/>
      <c r="L618" s="260"/>
      <c r="M618" s="260"/>
      <c r="N618" s="260"/>
      <c r="O618" s="260"/>
      <c r="P618" s="260"/>
      <c r="Q618" s="260"/>
      <c r="R618" s="260"/>
      <c r="S618" s="260"/>
      <c r="T618" s="260"/>
      <c r="U618" s="260"/>
      <c r="V618" s="260"/>
      <c r="W618" s="260"/>
      <c r="X618" s="260"/>
      <c r="Y618" s="260"/>
      <c r="Z618" s="260"/>
      <c r="AA618" s="260"/>
      <c r="AB618" s="260"/>
      <c r="AC618" s="260"/>
      <c r="AD618" s="260"/>
    </row>
    <row r="619" spans="1:30" ht="15" thickBot="1">
      <c r="A619" s="260"/>
      <c r="B619" s="260"/>
      <c r="C619" s="260"/>
      <c r="D619" s="260"/>
      <c r="E619" s="260"/>
      <c r="F619" s="260"/>
      <c r="G619" s="260"/>
      <c r="H619" s="260"/>
      <c r="I619" s="260"/>
      <c r="J619" s="260"/>
      <c r="K619" s="260"/>
      <c r="L619" s="260"/>
      <c r="M619" s="260"/>
      <c r="N619" s="260"/>
      <c r="O619" s="260"/>
      <c r="P619" s="260"/>
      <c r="Q619" s="260"/>
      <c r="R619" s="260"/>
      <c r="S619" s="260"/>
      <c r="T619" s="260"/>
      <c r="U619" s="260"/>
      <c r="V619" s="260"/>
      <c r="W619" s="260"/>
      <c r="X619" s="260"/>
      <c r="Y619" s="260"/>
      <c r="Z619" s="260"/>
      <c r="AA619" s="260"/>
      <c r="AB619" s="260"/>
      <c r="AC619" s="260"/>
      <c r="AD619" s="260"/>
    </row>
    <row r="620" spans="1:30" ht="15" thickBot="1">
      <c r="A620" s="260"/>
      <c r="B620" s="260"/>
      <c r="C620" s="260"/>
      <c r="D620" s="260"/>
      <c r="E620" s="260"/>
      <c r="F620" s="260"/>
      <c r="G620" s="260"/>
      <c r="H620" s="260"/>
      <c r="I620" s="260"/>
      <c r="J620" s="260"/>
      <c r="K620" s="260"/>
      <c r="L620" s="260"/>
      <c r="M620" s="260"/>
      <c r="N620" s="260"/>
      <c r="O620" s="260"/>
      <c r="P620" s="260"/>
      <c r="Q620" s="260"/>
      <c r="R620" s="260"/>
      <c r="S620" s="260"/>
      <c r="T620" s="260"/>
      <c r="U620" s="260"/>
      <c r="V620" s="260"/>
      <c r="W620" s="260"/>
      <c r="X620" s="260"/>
      <c r="Y620" s="260"/>
      <c r="Z620" s="260"/>
      <c r="AA620" s="260"/>
      <c r="AB620" s="260"/>
      <c r="AC620" s="260"/>
      <c r="AD620" s="260"/>
    </row>
    <row r="621" spans="1:30" ht="15" thickBot="1">
      <c r="A621" s="260"/>
      <c r="B621" s="260"/>
      <c r="C621" s="260"/>
      <c r="D621" s="260"/>
      <c r="E621" s="260"/>
      <c r="F621" s="260"/>
      <c r="G621" s="260"/>
      <c r="H621" s="260"/>
      <c r="I621" s="260"/>
      <c r="J621" s="260"/>
      <c r="K621" s="260"/>
      <c r="L621" s="260"/>
      <c r="M621" s="260"/>
      <c r="N621" s="260"/>
      <c r="O621" s="260"/>
      <c r="P621" s="260"/>
      <c r="Q621" s="260"/>
      <c r="R621" s="260"/>
      <c r="S621" s="260"/>
      <c r="T621" s="260"/>
      <c r="U621" s="260"/>
      <c r="V621" s="260"/>
      <c r="W621" s="260"/>
      <c r="X621" s="260"/>
      <c r="Y621" s="260"/>
      <c r="Z621" s="260"/>
      <c r="AA621" s="260"/>
      <c r="AB621" s="260"/>
      <c r="AC621" s="260"/>
      <c r="AD621" s="260"/>
    </row>
    <row r="622" spans="1:30" ht="15" thickBot="1">
      <c r="A622" s="260"/>
      <c r="B622" s="260"/>
      <c r="C622" s="260"/>
      <c r="D622" s="260"/>
      <c r="E622" s="260"/>
      <c r="F622" s="260"/>
      <c r="G622" s="260"/>
      <c r="H622" s="260"/>
      <c r="I622" s="260"/>
      <c r="J622" s="260"/>
      <c r="K622" s="260"/>
      <c r="L622" s="260"/>
      <c r="M622" s="260"/>
      <c r="N622" s="260"/>
      <c r="O622" s="260"/>
      <c r="P622" s="260"/>
      <c r="Q622" s="260"/>
      <c r="R622" s="260"/>
      <c r="S622" s="260"/>
      <c r="T622" s="260"/>
      <c r="U622" s="260"/>
      <c r="V622" s="260"/>
      <c r="W622" s="260"/>
      <c r="X622" s="260"/>
      <c r="Y622" s="260"/>
      <c r="Z622" s="260"/>
      <c r="AA622" s="260"/>
      <c r="AB622" s="260"/>
      <c r="AC622" s="260"/>
      <c r="AD622" s="260"/>
    </row>
    <row r="623" spans="1:30" ht="15" thickBot="1">
      <c r="A623" s="260"/>
      <c r="B623" s="260"/>
      <c r="C623" s="260"/>
      <c r="D623" s="260"/>
      <c r="E623" s="260"/>
      <c r="F623" s="260"/>
      <c r="G623" s="260"/>
      <c r="H623" s="260"/>
      <c r="I623" s="260"/>
      <c r="J623" s="260"/>
      <c r="K623" s="260"/>
      <c r="L623" s="260"/>
      <c r="M623" s="260"/>
      <c r="N623" s="260"/>
      <c r="O623" s="260"/>
      <c r="P623" s="260"/>
      <c r="Q623" s="260"/>
      <c r="R623" s="260"/>
      <c r="S623" s="260"/>
      <c r="T623" s="260"/>
      <c r="U623" s="260"/>
      <c r="V623" s="260"/>
      <c r="W623" s="260"/>
      <c r="X623" s="260"/>
      <c r="Y623" s="260"/>
      <c r="Z623" s="260"/>
      <c r="AA623" s="260"/>
      <c r="AB623" s="260"/>
      <c r="AC623" s="260"/>
      <c r="AD623" s="260"/>
    </row>
    <row r="624" spans="1:30" ht="15" thickBot="1">
      <c r="A624" s="260"/>
      <c r="B624" s="260"/>
      <c r="C624" s="260"/>
      <c r="D624" s="260"/>
      <c r="E624" s="260"/>
      <c r="F624" s="260"/>
      <c r="G624" s="260"/>
      <c r="H624" s="260"/>
      <c r="I624" s="260"/>
      <c r="J624" s="260"/>
      <c r="K624" s="260"/>
      <c r="L624" s="260"/>
      <c r="M624" s="260"/>
      <c r="N624" s="260"/>
      <c r="O624" s="260"/>
      <c r="P624" s="260"/>
      <c r="Q624" s="260"/>
      <c r="R624" s="260"/>
      <c r="S624" s="260"/>
      <c r="T624" s="260"/>
      <c r="U624" s="260"/>
      <c r="V624" s="260"/>
      <c r="W624" s="260"/>
      <c r="X624" s="260"/>
      <c r="Y624" s="260"/>
      <c r="Z624" s="260"/>
      <c r="AA624" s="260"/>
      <c r="AB624" s="260"/>
      <c r="AC624" s="260"/>
      <c r="AD624" s="260"/>
    </row>
    <row r="625" spans="1:30" ht="15" thickBot="1">
      <c r="A625" s="260"/>
      <c r="B625" s="260"/>
      <c r="C625" s="260"/>
      <c r="D625" s="260"/>
      <c r="E625" s="260"/>
      <c r="F625" s="260"/>
      <c r="G625" s="260"/>
      <c r="H625" s="260"/>
      <c r="I625" s="260"/>
      <c r="J625" s="260"/>
      <c r="K625" s="260"/>
      <c r="L625" s="260"/>
      <c r="M625" s="260"/>
      <c r="N625" s="260"/>
      <c r="O625" s="260"/>
      <c r="P625" s="260"/>
      <c r="Q625" s="260"/>
      <c r="R625" s="260"/>
      <c r="S625" s="260"/>
      <c r="T625" s="260"/>
      <c r="U625" s="260"/>
      <c r="V625" s="260"/>
      <c r="W625" s="260"/>
      <c r="X625" s="260"/>
      <c r="Y625" s="260"/>
      <c r="Z625" s="260"/>
      <c r="AA625" s="260"/>
      <c r="AB625" s="260"/>
      <c r="AC625" s="260"/>
      <c r="AD625" s="260"/>
    </row>
    <row r="626" spans="1:30" ht="15" thickBot="1">
      <c r="A626" s="260"/>
      <c r="B626" s="260"/>
      <c r="C626" s="260"/>
      <c r="D626" s="260"/>
      <c r="E626" s="260"/>
      <c r="F626" s="260"/>
      <c r="G626" s="260"/>
      <c r="H626" s="260"/>
      <c r="I626" s="260"/>
      <c r="J626" s="260"/>
      <c r="K626" s="260"/>
      <c r="L626" s="260"/>
      <c r="M626" s="260"/>
      <c r="N626" s="260"/>
      <c r="O626" s="260"/>
      <c r="P626" s="260"/>
      <c r="Q626" s="260"/>
      <c r="R626" s="260"/>
      <c r="S626" s="260"/>
      <c r="T626" s="260"/>
      <c r="U626" s="260"/>
      <c r="V626" s="260"/>
      <c r="W626" s="260"/>
      <c r="X626" s="260"/>
      <c r="Y626" s="260"/>
      <c r="Z626" s="260"/>
      <c r="AA626" s="260"/>
      <c r="AB626" s="260"/>
      <c r="AC626" s="260"/>
      <c r="AD626" s="260"/>
    </row>
    <row r="627" spans="1:30" ht="15" thickBot="1">
      <c r="A627" s="260"/>
      <c r="B627" s="260"/>
      <c r="C627" s="260"/>
      <c r="D627" s="260"/>
      <c r="E627" s="260"/>
      <c r="F627" s="260"/>
      <c r="G627" s="260"/>
      <c r="H627" s="260"/>
      <c r="I627" s="260"/>
      <c r="J627" s="260"/>
      <c r="K627" s="260"/>
      <c r="L627" s="260"/>
      <c r="M627" s="260"/>
      <c r="N627" s="260"/>
      <c r="O627" s="260"/>
      <c r="P627" s="260"/>
      <c r="Q627" s="260"/>
      <c r="R627" s="260"/>
      <c r="S627" s="260"/>
      <c r="T627" s="260"/>
      <c r="U627" s="260"/>
      <c r="V627" s="260"/>
      <c r="W627" s="260"/>
      <c r="X627" s="260"/>
      <c r="Y627" s="260"/>
      <c r="Z627" s="260"/>
      <c r="AA627" s="260"/>
      <c r="AB627" s="260"/>
      <c r="AC627" s="260"/>
      <c r="AD627" s="260"/>
    </row>
    <row r="628" spans="1:30" ht="15" thickBot="1">
      <c r="A628" s="260"/>
      <c r="B628" s="260"/>
      <c r="C628" s="260"/>
      <c r="D628" s="260"/>
      <c r="E628" s="260"/>
      <c r="F628" s="260"/>
      <c r="G628" s="260"/>
      <c r="H628" s="260"/>
      <c r="I628" s="260"/>
      <c r="J628" s="260"/>
      <c r="K628" s="260"/>
      <c r="L628" s="260"/>
      <c r="M628" s="260"/>
      <c r="N628" s="260"/>
      <c r="O628" s="260"/>
      <c r="P628" s="260"/>
      <c r="Q628" s="260"/>
      <c r="R628" s="260"/>
      <c r="S628" s="260"/>
      <c r="T628" s="260"/>
      <c r="U628" s="260"/>
      <c r="V628" s="260"/>
      <c r="W628" s="260"/>
      <c r="X628" s="260"/>
      <c r="Y628" s="260"/>
      <c r="Z628" s="260"/>
      <c r="AA628" s="260"/>
      <c r="AB628" s="260"/>
      <c r="AC628" s="260"/>
      <c r="AD628" s="260"/>
    </row>
    <row r="629" spans="1:30" ht="15" thickBot="1">
      <c r="A629" s="260"/>
      <c r="B629" s="260"/>
      <c r="C629" s="260"/>
      <c r="D629" s="260"/>
      <c r="E629" s="260"/>
      <c r="F629" s="260"/>
      <c r="G629" s="260"/>
      <c r="H629" s="260"/>
      <c r="I629" s="260"/>
      <c r="J629" s="260"/>
      <c r="K629" s="260"/>
      <c r="L629" s="260"/>
      <c r="M629" s="260"/>
      <c r="N629" s="260"/>
      <c r="O629" s="260"/>
      <c r="P629" s="260"/>
      <c r="Q629" s="260"/>
      <c r="R629" s="260"/>
      <c r="S629" s="260"/>
      <c r="T629" s="260"/>
      <c r="U629" s="260"/>
      <c r="V629" s="260"/>
      <c r="W629" s="260"/>
      <c r="X629" s="260"/>
      <c r="Y629" s="260"/>
      <c r="Z629" s="260"/>
      <c r="AA629" s="260"/>
      <c r="AB629" s="260"/>
      <c r="AC629" s="260"/>
      <c r="AD629" s="260"/>
    </row>
    <row r="630" spans="1:30" ht="15" thickBot="1">
      <c r="A630" s="260"/>
      <c r="B630" s="260"/>
      <c r="C630" s="260"/>
      <c r="D630" s="260"/>
      <c r="E630" s="260"/>
      <c r="F630" s="260"/>
      <c r="G630" s="260"/>
      <c r="H630" s="260"/>
      <c r="I630" s="260"/>
      <c r="J630" s="260"/>
      <c r="K630" s="260"/>
      <c r="L630" s="260"/>
      <c r="M630" s="260"/>
      <c r="N630" s="260"/>
      <c r="O630" s="260"/>
      <c r="P630" s="260"/>
      <c r="Q630" s="260"/>
      <c r="R630" s="260"/>
      <c r="S630" s="260"/>
      <c r="T630" s="260"/>
      <c r="U630" s="260"/>
      <c r="V630" s="260"/>
      <c r="W630" s="260"/>
      <c r="X630" s="260"/>
      <c r="Y630" s="260"/>
      <c r="Z630" s="260"/>
      <c r="AA630" s="260"/>
      <c r="AB630" s="260"/>
      <c r="AC630" s="260"/>
      <c r="AD630" s="260"/>
    </row>
    <row r="631" spans="1:30" ht="15" thickBot="1">
      <c r="A631" s="260"/>
      <c r="B631" s="260"/>
      <c r="C631" s="260"/>
      <c r="D631" s="260"/>
      <c r="E631" s="260"/>
      <c r="F631" s="260"/>
      <c r="G631" s="260"/>
      <c r="H631" s="260"/>
      <c r="I631" s="260"/>
      <c r="J631" s="260"/>
      <c r="K631" s="260"/>
      <c r="L631" s="260"/>
      <c r="M631" s="260"/>
      <c r="N631" s="260"/>
      <c r="O631" s="260"/>
      <c r="P631" s="260"/>
      <c r="Q631" s="260"/>
      <c r="R631" s="260"/>
      <c r="S631" s="260"/>
      <c r="T631" s="260"/>
      <c r="U631" s="260"/>
      <c r="V631" s="260"/>
      <c r="W631" s="260"/>
      <c r="X631" s="260"/>
      <c r="Y631" s="260"/>
      <c r="Z631" s="260"/>
      <c r="AA631" s="260"/>
      <c r="AB631" s="260"/>
      <c r="AC631" s="260"/>
      <c r="AD631" s="260"/>
    </row>
    <row r="632" spans="1:30" ht="15" thickBot="1">
      <c r="A632" s="260"/>
      <c r="B632" s="260"/>
      <c r="C632" s="260"/>
      <c r="D632" s="260"/>
      <c r="E632" s="260"/>
      <c r="F632" s="260"/>
      <c r="G632" s="260"/>
      <c r="H632" s="260"/>
      <c r="I632" s="260"/>
      <c r="J632" s="260"/>
      <c r="K632" s="260"/>
      <c r="L632" s="260"/>
      <c r="M632" s="260"/>
      <c r="N632" s="260"/>
      <c r="O632" s="260"/>
      <c r="P632" s="260"/>
      <c r="Q632" s="260"/>
      <c r="R632" s="260"/>
      <c r="S632" s="260"/>
      <c r="T632" s="260"/>
      <c r="U632" s="260"/>
      <c r="V632" s="260"/>
      <c r="W632" s="260"/>
      <c r="X632" s="260"/>
      <c r="Y632" s="260"/>
      <c r="Z632" s="260"/>
      <c r="AA632" s="260"/>
      <c r="AB632" s="260"/>
      <c r="AC632" s="260"/>
      <c r="AD632" s="260"/>
    </row>
    <row r="633" spans="1:30" ht="15" thickBot="1">
      <c r="A633" s="260"/>
      <c r="B633" s="260"/>
      <c r="C633" s="260"/>
      <c r="D633" s="260"/>
      <c r="E633" s="260"/>
      <c r="F633" s="260"/>
      <c r="G633" s="260"/>
      <c r="H633" s="260"/>
      <c r="I633" s="260"/>
      <c r="J633" s="260"/>
      <c r="K633" s="260"/>
      <c r="L633" s="260"/>
      <c r="M633" s="260"/>
      <c r="N633" s="260"/>
      <c r="O633" s="260"/>
      <c r="P633" s="260"/>
      <c r="Q633" s="260"/>
      <c r="R633" s="260"/>
      <c r="S633" s="260"/>
      <c r="T633" s="260"/>
      <c r="U633" s="260"/>
      <c r="V633" s="260"/>
      <c r="W633" s="260"/>
      <c r="X633" s="260"/>
      <c r="Y633" s="260"/>
      <c r="Z633" s="260"/>
      <c r="AA633" s="260"/>
      <c r="AB633" s="260"/>
      <c r="AC633" s="260"/>
      <c r="AD633" s="260"/>
    </row>
    <row r="634" spans="1:30" ht="15" thickBot="1">
      <c r="A634" s="260"/>
      <c r="B634" s="260"/>
      <c r="C634" s="260"/>
      <c r="D634" s="260"/>
      <c r="E634" s="260"/>
      <c r="F634" s="260"/>
      <c r="G634" s="260"/>
      <c r="H634" s="260"/>
      <c r="I634" s="260"/>
      <c r="J634" s="260"/>
      <c r="K634" s="260"/>
      <c r="L634" s="260"/>
      <c r="M634" s="260"/>
      <c r="N634" s="260"/>
      <c r="O634" s="260"/>
      <c r="P634" s="260"/>
      <c r="Q634" s="260"/>
      <c r="R634" s="260"/>
      <c r="S634" s="260"/>
      <c r="T634" s="260"/>
      <c r="U634" s="260"/>
      <c r="V634" s="260"/>
      <c r="W634" s="260"/>
      <c r="X634" s="260"/>
      <c r="Y634" s="260"/>
      <c r="Z634" s="260"/>
      <c r="AA634" s="260"/>
      <c r="AB634" s="260"/>
      <c r="AC634" s="260"/>
      <c r="AD634" s="260"/>
    </row>
    <row r="635" spans="1:30" ht="15" thickBot="1">
      <c r="A635" s="260"/>
      <c r="B635" s="260"/>
      <c r="C635" s="260"/>
      <c r="D635" s="260"/>
      <c r="E635" s="260"/>
      <c r="F635" s="260"/>
      <c r="G635" s="260"/>
      <c r="H635" s="260"/>
      <c r="I635" s="260"/>
      <c r="J635" s="260"/>
      <c r="K635" s="260"/>
      <c r="L635" s="260"/>
      <c r="M635" s="260"/>
      <c r="N635" s="260"/>
      <c r="O635" s="260"/>
      <c r="P635" s="260"/>
      <c r="Q635" s="260"/>
      <c r="R635" s="260"/>
      <c r="S635" s="260"/>
      <c r="T635" s="260"/>
      <c r="U635" s="260"/>
      <c r="V635" s="260"/>
      <c r="W635" s="260"/>
      <c r="X635" s="260"/>
      <c r="Y635" s="260"/>
      <c r="Z635" s="260"/>
      <c r="AA635" s="260"/>
      <c r="AB635" s="260"/>
      <c r="AC635" s="260"/>
      <c r="AD635" s="260"/>
    </row>
    <row r="636" spans="1:30" ht="15" thickBot="1">
      <c r="A636" s="260"/>
      <c r="B636" s="260"/>
      <c r="C636" s="260"/>
      <c r="D636" s="260"/>
      <c r="E636" s="260"/>
      <c r="F636" s="260"/>
      <c r="G636" s="260"/>
      <c r="H636" s="260"/>
      <c r="I636" s="260"/>
      <c r="J636" s="260"/>
      <c r="K636" s="260"/>
      <c r="L636" s="260"/>
      <c r="M636" s="260"/>
      <c r="N636" s="260"/>
      <c r="O636" s="260"/>
      <c r="P636" s="260"/>
      <c r="Q636" s="260"/>
      <c r="R636" s="260"/>
      <c r="S636" s="260"/>
      <c r="T636" s="260"/>
      <c r="U636" s="260"/>
      <c r="V636" s="260"/>
      <c r="W636" s="260"/>
      <c r="X636" s="260"/>
      <c r="Y636" s="260"/>
      <c r="Z636" s="260"/>
      <c r="AA636" s="260"/>
      <c r="AB636" s="260"/>
      <c r="AC636" s="260"/>
      <c r="AD636" s="260"/>
    </row>
    <row r="637" spans="1:30" ht="15" thickBot="1">
      <c r="A637" s="260"/>
      <c r="B637" s="260"/>
      <c r="C637" s="260"/>
      <c r="D637" s="260"/>
      <c r="E637" s="260"/>
      <c r="F637" s="260"/>
      <c r="G637" s="260"/>
      <c r="H637" s="260"/>
      <c r="I637" s="260"/>
      <c r="J637" s="260"/>
      <c r="K637" s="260"/>
      <c r="L637" s="260"/>
      <c r="M637" s="260"/>
      <c r="N637" s="260"/>
      <c r="O637" s="260"/>
      <c r="P637" s="260"/>
      <c r="Q637" s="260"/>
      <c r="R637" s="260"/>
      <c r="S637" s="260"/>
      <c r="T637" s="260"/>
      <c r="U637" s="260"/>
      <c r="V637" s="260"/>
      <c r="W637" s="260"/>
      <c r="X637" s="260"/>
      <c r="Y637" s="260"/>
      <c r="Z637" s="260"/>
      <c r="AA637" s="260"/>
      <c r="AB637" s="260"/>
      <c r="AC637" s="260"/>
      <c r="AD637" s="260"/>
    </row>
    <row r="638" spans="1:30" ht="15" thickBot="1">
      <c r="A638" s="260"/>
      <c r="B638" s="260"/>
      <c r="C638" s="260"/>
      <c r="D638" s="260"/>
      <c r="E638" s="260"/>
      <c r="F638" s="260"/>
      <c r="G638" s="260"/>
      <c r="H638" s="260"/>
      <c r="I638" s="260"/>
      <c r="J638" s="260"/>
      <c r="K638" s="260"/>
      <c r="L638" s="260"/>
      <c r="M638" s="260"/>
      <c r="N638" s="260"/>
      <c r="O638" s="260"/>
      <c r="P638" s="260"/>
      <c r="Q638" s="260"/>
      <c r="R638" s="260"/>
      <c r="S638" s="260"/>
      <c r="T638" s="260"/>
      <c r="U638" s="260"/>
      <c r="V638" s="260"/>
      <c r="W638" s="260"/>
      <c r="X638" s="260"/>
      <c r="Y638" s="260"/>
      <c r="Z638" s="260"/>
      <c r="AA638" s="260"/>
      <c r="AB638" s="260"/>
      <c r="AC638" s="260"/>
      <c r="AD638" s="260"/>
    </row>
    <row r="639" spans="1:30" ht="15" thickBot="1">
      <c r="A639" s="260"/>
      <c r="B639" s="260"/>
      <c r="C639" s="260"/>
      <c r="D639" s="260"/>
      <c r="E639" s="260"/>
      <c r="F639" s="260"/>
      <c r="G639" s="260"/>
      <c r="H639" s="260"/>
      <c r="I639" s="260"/>
      <c r="J639" s="260"/>
      <c r="K639" s="260"/>
      <c r="L639" s="260"/>
      <c r="M639" s="260"/>
      <c r="N639" s="260"/>
      <c r="O639" s="260"/>
      <c r="P639" s="260"/>
      <c r="Q639" s="260"/>
      <c r="R639" s="260"/>
      <c r="S639" s="260"/>
      <c r="T639" s="260"/>
      <c r="U639" s="260"/>
      <c r="V639" s="260"/>
      <c r="W639" s="260"/>
      <c r="X639" s="260"/>
      <c r="Y639" s="260"/>
      <c r="Z639" s="260"/>
      <c r="AA639" s="260"/>
      <c r="AB639" s="260"/>
      <c r="AC639" s="260"/>
      <c r="AD639" s="260"/>
    </row>
    <row r="640" spans="1:30" ht="15" thickBot="1">
      <c r="A640" s="260"/>
      <c r="B640" s="260"/>
      <c r="C640" s="260"/>
      <c r="D640" s="260"/>
      <c r="E640" s="260"/>
      <c r="F640" s="260"/>
      <c r="G640" s="260"/>
      <c r="H640" s="260"/>
      <c r="I640" s="260"/>
      <c r="J640" s="260"/>
      <c r="K640" s="260"/>
      <c r="L640" s="260"/>
      <c r="M640" s="260"/>
      <c r="N640" s="260"/>
      <c r="O640" s="260"/>
      <c r="P640" s="260"/>
      <c r="Q640" s="260"/>
      <c r="R640" s="260"/>
      <c r="S640" s="260"/>
      <c r="T640" s="260"/>
      <c r="U640" s="260"/>
      <c r="V640" s="260"/>
      <c r="W640" s="260"/>
      <c r="X640" s="260"/>
      <c r="Y640" s="260"/>
      <c r="Z640" s="260"/>
      <c r="AA640" s="260"/>
      <c r="AB640" s="260"/>
      <c r="AC640" s="260"/>
      <c r="AD640" s="260"/>
    </row>
    <row r="641" spans="1:30" ht="15" thickBot="1">
      <c r="A641" s="260"/>
      <c r="B641" s="260"/>
      <c r="C641" s="260"/>
      <c r="D641" s="260"/>
      <c r="E641" s="260"/>
      <c r="F641" s="260"/>
      <c r="G641" s="260"/>
      <c r="H641" s="260"/>
      <c r="I641" s="260"/>
      <c r="J641" s="260"/>
      <c r="K641" s="260"/>
      <c r="L641" s="260"/>
      <c r="M641" s="260"/>
      <c r="N641" s="260"/>
      <c r="O641" s="260"/>
      <c r="P641" s="260"/>
      <c r="Q641" s="260"/>
      <c r="R641" s="260"/>
      <c r="S641" s="260"/>
      <c r="T641" s="260"/>
      <c r="U641" s="260"/>
      <c r="V641" s="260"/>
      <c r="W641" s="260"/>
      <c r="X641" s="260"/>
      <c r="Y641" s="260"/>
      <c r="Z641" s="260"/>
      <c r="AA641" s="260"/>
      <c r="AB641" s="260"/>
      <c r="AC641" s="260"/>
      <c r="AD641" s="260"/>
    </row>
    <row r="642" spans="1:30" ht="15" thickBot="1">
      <c r="A642" s="260"/>
      <c r="B642" s="260"/>
      <c r="C642" s="260"/>
      <c r="D642" s="260"/>
      <c r="E642" s="260"/>
      <c r="F642" s="260"/>
      <c r="G642" s="260"/>
      <c r="H642" s="260"/>
      <c r="I642" s="260"/>
      <c r="J642" s="260"/>
      <c r="K642" s="260"/>
      <c r="L642" s="260"/>
      <c r="M642" s="260"/>
      <c r="N642" s="260"/>
      <c r="O642" s="260"/>
      <c r="P642" s="260"/>
      <c r="Q642" s="260"/>
      <c r="R642" s="260"/>
      <c r="S642" s="260"/>
      <c r="T642" s="260"/>
      <c r="U642" s="260"/>
      <c r="V642" s="260"/>
      <c r="W642" s="260"/>
      <c r="X642" s="260"/>
      <c r="Y642" s="260"/>
      <c r="Z642" s="260"/>
      <c r="AA642" s="260"/>
      <c r="AB642" s="260"/>
      <c r="AC642" s="260"/>
      <c r="AD642" s="260"/>
    </row>
    <row r="643" spans="1:30" ht="15" thickBot="1">
      <c r="A643" s="260"/>
      <c r="B643" s="260"/>
      <c r="C643" s="260"/>
      <c r="D643" s="260"/>
      <c r="E643" s="260"/>
      <c r="F643" s="260"/>
      <c r="G643" s="260"/>
      <c r="H643" s="260"/>
      <c r="I643" s="260"/>
      <c r="J643" s="260"/>
      <c r="K643" s="260"/>
      <c r="L643" s="260"/>
      <c r="M643" s="260"/>
      <c r="N643" s="260"/>
      <c r="O643" s="260"/>
      <c r="P643" s="260"/>
      <c r="Q643" s="260"/>
      <c r="R643" s="260"/>
      <c r="S643" s="260"/>
      <c r="T643" s="260"/>
      <c r="U643" s="260"/>
      <c r="V643" s="260"/>
      <c r="W643" s="260"/>
      <c r="X643" s="260"/>
      <c r="Y643" s="260"/>
      <c r="Z643" s="260"/>
      <c r="AA643" s="260"/>
      <c r="AB643" s="260"/>
      <c r="AC643" s="260"/>
      <c r="AD643" s="260"/>
    </row>
    <row r="644" spans="1:30" ht="15" thickBot="1">
      <c r="A644" s="260"/>
      <c r="B644" s="260"/>
      <c r="C644" s="260"/>
      <c r="D644" s="260"/>
      <c r="E644" s="260"/>
      <c r="F644" s="260"/>
      <c r="G644" s="260"/>
      <c r="H644" s="260"/>
      <c r="I644" s="260"/>
      <c r="J644" s="260"/>
      <c r="K644" s="260"/>
      <c r="L644" s="260"/>
      <c r="M644" s="260"/>
      <c r="N644" s="260"/>
      <c r="O644" s="260"/>
      <c r="P644" s="260"/>
      <c r="Q644" s="260"/>
      <c r="R644" s="260"/>
      <c r="S644" s="260"/>
      <c r="T644" s="260"/>
      <c r="U644" s="260"/>
      <c r="V644" s="260"/>
      <c r="W644" s="260"/>
      <c r="X644" s="260"/>
      <c r="Y644" s="260"/>
      <c r="Z644" s="260"/>
      <c r="AA644" s="260"/>
      <c r="AB644" s="260"/>
      <c r="AC644" s="260"/>
      <c r="AD644" s="260"/>
    </row>
    <row r="645" spans="1:30" ht="15" thickBot="1">
      <c r="A645" s="260"/>
      <c r="B645" s="260"/>
      <c r="C645" s="260"/>
      <c r="D645" s="260"/>
      <c r="E645" s="260"/>
      <c r="F645" s="260"/>
      <c r="G645" s="260"/>
      <c r="H645" s="260"/>
      <c r="I645" s="260"/>
      <c r="J645" s="260"/>
      <c r="K645" s="260"/>
      <c r="L645" s="260"/>
      <c r="M645" s="260"/>
      <c r="N645" s="260"/>
      <c r="O645" s="260"/>
      <c r="P645" s="260"/>
      <c r="Q645" s="260"/>
      <c r="R645" s="260"/>
      <c r="S645" s="260"/>
      <c r="T645" s="260"/>
      <c r="U645" s="260"/>
      <c r="V645" s="260"/>
      <c r="W645" s="260"/>
      <c r="X645" s="260"/>
      <c r="Y645" s="260"/>
      <c r="Z645" s="260"/>
      <c r="AA645" s="260"/>
      <c r="AB645" s="260"/>
      <c r="AC645" s="260"/>
      <c r="AD645" s="260"/>
    </row>
    <row r="646" spans="1:30" ht="15" thickBot="1">
      <c r="A646" s="260"/>
      <c r="B646" s="260"/>
      <c r="C646" s="260"/>
      <c r="D646" s="260"/>
      <c r="E646" s="260"/>
      <c r="F646" s="260"/>
      <c r="G646" s="260"/>
      <c r="H646" s="260"/>
      <c r="I646" s="260"/>
      <c r="J646" s="260"/>
      <c r="K646" s="260"/>
      <c r="L646" s="260"/>
      <c r="M646" s="260"/>
      <c r="N646" s="260"/>
      <c r="O646" s="260"/>
      <c r="P646" s="260"/>
      <c r="Q646" s="260"/>
      <c r="R646" s="260"/>
      <c r="S646" s="260"/>
      <c r="T646" s="260"/>
      <c r="U646" s="260"/>
      <c r="V646" s="260"/>
      <c r="W646" s="260"/>
      <c r="X646" s="260"/>
      <c r="Y646" s="260"/>
      <c r="Z646" s="260"/>
      <c r="AA646" s="260"/>
      <c r="AB646" s="260"/>
      <c r="AC646" s="260"/>
      <c r="AD646" s="260"/>
    </row>
    <row r="647" spans="1:30" ht="15" thickBot="1">
      <c r="A647" s="260"/>
      <c r="B647" s="260"/>
      <c r="C647" s="260"/>
      <c r="D647" s="260"/>
      <c r="E647" s="260"/>
      <c r="F647" s="260"/>
      <c r="G647" s="260"/>
      <c r="H647" s="260"/>
      <c r="I647" s="260"/>
      <c r="J647" s="260"/>
      <c r="K647" s="260"/>
      <c r="L647" s="260"/>
      <c r="M647" s="260"/>
      <c r="N647" s="260"/>
      <c r="O647" s="260"/>
      <c r="P647" s="260"/>
      <c r="Q647" s="260"/>
      <c r="R647" s="260"/>
      <c r="S647" s="260"/>
      <c r="T647" s="260"/>
      <c r="U647" s="260"/>
      <c r="V647" s="260"/>
      <c r="W647" s="260"/>
      <c r="X647" s="260"/>
      <c r="Y647" s="260"/>
      <c r="Z647" s="260"/>
      <c r="AA647" s="260"/>
      <c r="AB647" s="260"/>
      <c r="AC647" s="260"/>
      <c r="AD647" s="260"/>
    </row>
    <row r="648" spans="1:30" ht="15" thickBot="1">
      <c r="A648" s="260"/>
      <c r="B648" s="260"/>
      <c r="C648" s="260"/>
      <c r="D648" s="260"/>
      <c r="E648" s="260"/>
      <c r="F648" s="260"/>
      <c r="G648" s="260"/>
      <c r="H648" s="260"/>
      <c r="I648" s="260"/>
      <c r="J648" s="260"/>
      <c r="K648" s="260"/>
      <c r="L648" s="260"/>
      <c r="M648" s="260"/>
      <c r="N648" s="260"/>
      <c r="O648" s="260"/>
      <c r="P648" s="260"/>
      <c r="Q648" s="260"/>
      <c r="R648" s="260"/>
      <c r="S648" s="260"/>
      <c r="T648" s="260"/>
      <c r="U648" s="260"/>
      <c r="V648" s="260"/>
      <c r="W648" s="260"/>
      <c r="X648" s="260"/>
      <c r="Y648" s="260"/>
      <c r="Z648" s="260"/>
      <c r="AA648" s="260"/>
      <c r="AB648" s="260"/>
      <c r="AC648" s="260"/>
      <c r="AD648" s="260"/>
    </row>
    <row r="649" spans="1:30" ht="15" thickBot="1">
      <c r="A649" s="260"/>
      <c r="B649" s="260"/>
      <c r="C649" s="260"/>
      <c r="D649" s="260"/>
      <c r="E649" s="260"/>
      <c r="F649" s="260"/>
      <c r="G649" s="260"/>
      <c r="H649" s="260"/>
      <c r="I649" s="260"/>
      <c r="J649" s="260"/>
      <c r="K649" s="260"/>
      <c r="L649" s="260"/>
      <c r="M649" s="260"/>
      <c r="N649" s="260"/>
      <c r="O649" s="260"/>
      <c r="P649" s="260"/>
      <c r="Q649" s="260"/>
      <c r="R649" s="260"/>
      <c r="S649" s="260"/>
      <c r="T649" s="260"/>
      <c r="U649" s="260"/>
      <c r="V649" s="260"/>
      <c r="W649" s="260"/>
      <c r="X649" s="260"/>
      <c r="Y649" s="260"/>
      <c r="Z649" s="260"/>
      <c r="AA649" s="260"/>
      <c r="AB649" s="260"/>
      <c r="AC649" s="260"/>
      <c r="AD649" s="260"/>
    </row>
    <row r="650" spans="1:30" ht="15" thickBot="1">
      <c r="A650" s="260"/>
      <c r="B650" s="260"/>
      <c r="C650" s="260"/>
      <c r="D650" s="260"/>
      <c r="E650" s="260"/>
      <c r="F650" s="260"/>
      <c r="G650" s="260"/>
      <c r="H650" s="260"/>
      <c r="I650" s="260"/>
      <c r="J650" s="260"/>
      <c r="K650" s="260"/>
      <c r="L650" s="260"/>
      <c r="M650" s="260"/>
      <c r="N650" s="260"/>
      <c r="O650" s="260"/>
      <c r="P650" s="260"/>
      <c r="Q650" s="260"/>
      <c r="R650" s="260"/>
      <c r="S650" s="260"/>
      <c r="T650" s="260"/>
      <c r="U650" s="260"/>
      <c r="V650" s="260"/>
      <c r="W650" s="260"/>
      <c r="X650" s="260"/>
      <c r="Y650" s="260"/>
      <c r="Z650" s="260"/>
      <c r="AA650" s="260"/>
      <c r="AB650" s="260"/>
      <c r="AC650" s="260"/>
      <c r="AD650" s="260"/>
    </row>
    <row r="651" spans="1:30" ht="15" thickBot="1">
      <c r="A651" s="260"/>
      <c r="B651" s="260"/>
      <c r="C651" s="260"/>
      <c r="D651" s="260"/>
      <c r="E651" s="260"/>
      <c r="F651" s="260"/>
      <c r="G651" s="260"/>
      <c r="H651" s="260"/>
      <c r="I651" s="260"/>
      <c r="J651" s="260"/>
      <c r="K651" s="260"/>
      <c r="L651" s="260"/>
      <c r="M651" s="260"/>
      <c r="N651" s="260"/>
      <c r="O651" s="260"/>
      <c r="P651" s="260"/>
      <c r="Q651" s="260"/>
      <c r="R651" s="260"/>
      <c r="S651" s="260"/>
      <c r="T651" s="260"/>
      <c r="U651" s="260"/>
      <c r="V651" s="260"/>
      <c r="W651" s="260"/>
      <c r="X651" s="260"/>
      <c r="Y651" s="260"/>
      <c r="Z651" s="260"/>
      <c r="AA651" s="260"/>
      <c r="AB651" s="260"/>
      <c r="AC651" s="260"/>
      <c r="AD651" s="260"/>
    </row>
    <row r="652" spans="1:30" ht="15" thickBot="1">
      <c r="A652" s="260"/>
      <c r="B652" s="260"/>
      <c r="C652" s="260"/>
      <c r="D652" s="260"/>
      <c r="E652" s="260"/>
      <c r="F652" s="260"/>
      <c r="G652" s="260"/>
      <c r="H652" s="260"/>
      <c r="I652" s="260"/>
      <c r="J652" s="260"/>
      <c r="K652" s="260"/>
      <c r="L652" s="260"/>
      <c r="M652" s="260"/>
      <c r="N652" s="260"/>
      <c r="O652" s="260"/>
      <c r="P652" s="260"/>
      <c r="Q652" s="260"/>
      <c r="R652" s="260"/>
      <c r="S652" s="260"/>
      <c r="T652" s="260"/>
      <c r="U652" s="260"/>
      <c r="V652" s="260"/>
      <c r="W652" s="260"/>
      <c r="X652" s="260"/>
      <c r="Y652" s="260"/>
      <c r="Z652" s="260"/>
      <c r="AA652" s="260"/>
      <c r="AB652" s="260"/>
      <c r="AC652" s="260"/>
      <c r="AD652" s="260"/>
    </row>
    <row r="653" spans="1:30" ht="15" thickBot="1">
      <c r="A653" s="260"/>
      <c r="B653" s="260"/>
      <c r="C653" s="260"/>
      <c r="D653" s="260"/>
      <c r="E653" s="260"/>
      <c r="F653" s="260"/>
      <c r="G653" s="260"/>
      <c r="H653" s="260"/>
      <c r="I653" s="260"/>
      <c r="J653" s="260"/>
      <c r="K653" s="260"/>
      <c r="L653" s="260"/>
      <c r="M653" s="260"/>
      <c r="N653" s="260"/>
      <c r="O653" s="260"/>
      <c r="P653" s="260"/>
      <c r="Q653" s="260"/>
      <c r="R653" s="260"/>
      <c r="S653" s="260"/>
      <c r="T653" s="260"/>
      <c r="U653" s="260"/>
      <c r="V653" s="260"/>
      <c r="W653" s="260"/>
      <c r="X653" s="260"/>
      <c r="Y653" s="260"/>
      <c r="Z653" s="260"/>
      <c r="AA653" s="260"/>
      <c r="AB653" s="260"/>
      <c r="AC653" s="260"/>
      <c r="AD653" s="260"/>
    </row>
    <row r="654" spans="1:30" ht="15" thickBot="1">
      <c r="A654" s="260"/>
      <c r="B654" s="260"/>
      <c r="C654" s="260"/>
      <c r="D654" s="260"/>
      <c r="E654" s="260"/>
      <c r="F654" s="260"/>
      <c r="G654" s="260"/>
      <c r="H654" s="260"/>
      <c r="I654" s="260"/>
      <c r="J654" s="260"/>
      <c r="K654" s="260"/>
      <c r="L654" s="260"/>
      <c r="M654" s="260"/>
      <c r="N654" s="260"/>
      <c r="O654" s="260"/>
      <c r="P654" s="260"/>
      <c r="Q654" s="260"/>
      <c r="R654" s="260"/>
      <c r="S654" s="260"/>
      <c r="T654" s="260"/>
      <c r="U654" s="260"/>
      <c r="V654" s="260"/>
      <c r="W654" s="260"/>
      <c r="X654" s="260"/>
      <c r="Y654" s="260"/>
      <c r="Z654" s="260"/>
      <c r="AA654" s="260"/>
      <c r="AB654" s="260"/>
      <c r="AC654" s="260"/>
      <c r="AD654" s="260"/>
    </row>
    <row r="655" spans="1:30" ht="15" thickBot="1">
      <c r="A655" s="260"/>
      <c r="B655" s="260"/>
      <c r="C655" s="260"/>
      <c r="D655" s="260"/>
      <c r="E655" s="260"/>
      <c r="F655" s="260"/>
      <c r="G655" s="260"/>
      <c r="H655" s="260"/>
      <c r="I655" s="260"/>
      <c r="J655" s="260"/>
      <c r="K655" s="260"/>
      <c r="L655" s="260"/>
      <c r="M655" s="260"/>
      <c r="N655" s="260"/>
      <c r="O655" s="260"/>
      <c r="P655" s="260"/>
      <c r="Q655" s="260"/>
      <c r="R655" s="260"/>
      <c r="S655" s="260"/>
      <c r="T655" s="260"/>
      <c r="U655" s="260"/>
      <c r="V655" s="260"/>
      <c r="W655" s="260"/>
      <c r="X655" s="260"/>
      <c r="Y655" s="260"/>
      <c r="Z655" s="260"/>
      <c r="AA655" s="260"/>
      <c r="AB655" s="260"/>
      <c r="AC655" s="260"/>
      <c r="AD655" s="260"/>
    </row>
    <row r="656" spans="1:30" ht="15" thickBot="1">
      <c r="A656" s="260"/>
      <c r="B656" s="260"/>
      <c r="C656" s="260"/>
      <c r="D656" s="260"/>
      <c r="E656" s="260"/>
      <c r="F656" s="260"/>
      <c r="G656" s="260"/>
      <c r="H656" s="260"/>
      <c r="I656" s="260"/>
      <c r="J656" s="260"/>
      <c r="K656" s="260"/>
      <c r="L656" s="260"/>
      <c r="M656" s="260"/>
      <c r="N656" s="260"/>
      <c r="O656" s="260"/>
      <c r="P656" s="260"/>
      <c r="Q656" s="260"/>
      <c r="R656" s="260"/>
      <c r="S656" s="260"/>
      <c r="T656" s="260"/>
      <c r="U656" s="260"/>
      <c r="V656" s="260"/>
      <c r="W656" s="260"/>
      <c r="X656" s="260"/>
      <c r="Y656" s="260"/>
      <c r="Z656" s="260"/>
      <c r="AA656" s="260"/>
      <c r="AB656" s="260"/>
      <c r="AC656" s="260"/>
      <c r="AD656" s="260"/>
    </row>
    <row r="657" spans="1:30" ht="15" thickBot="1">
      <c r="A657" s="260"/>
      <c r="B657" s="260"/>
      <c r="C657" s="260"/>
      <c r="D657" s="260"/>
      <c r="E657" s="260"/>
      <c r="F657" s="260"/>
      <c r="G657" s="260"/>
      <c r="H657" s="260"/>
      <c r="I657" s="260"/>
      <c r="J657" s="260"/>
      <c r="K657" s="260"/>
      <c r="L657" s="260"/>
      <c r="M657" s="260"/>
      <c r="N657" s="260"/>
      <c r="O657" s="260"/>
      <c r="P657" s="260"/>
      <c r="Q657" s="260"/>
      <c r="R657" s="260"/>
      <c r="S657" s="260"/>
      <c r="T657" s="260"/>
      <c r="U657" s="260"/>
      <c r="V657" s="260"/>
      <c r="W657" s="260"/>
      <c r="X657" s="260"/>
      <c r="Y657" s="260"/>
      <c r="Z657" s="260"/>
      <c r="AA657" s="260"/>
      <c r="AB657" s="260"/>
      <c r="AC657" s="260"/>
      <c r="AD657" s="260"/>
    </row>
    <row r="658" spans="1:30" ht="15" thickBot="1">
      <c r="A658" s="260"/>
      <c r="B658" s="260"/>
      <c r="C658" s="260"/>
      <c r="D658" s="260"/>
      <c r="E658" s="260"/>
      <c r="F658" s="260"/>
      <c r="G658" s="260"/>
      <c r="H658" s="260"/>
      <c r="I658" s="260"/>
      <c r="J658" s="260"/>
      <c r="K658" s="260"/>
      <c r="L658" s="260"/>
      <c r="M658" s="260"/>
      <c r="N658" s="260"/>
      <c r="O658" s="260"/>
      <c r="P658" s="260"/>
      <c r="Q658" s="260"/>
      <c r="R658" s="260"/>
      <c r="S658" s="260"/>
      <c r="T658" s="260"/>
      <c r="U658" s="260"/>
      <c r="V658" s="260"/>
      <c r="W658" s="260"/>
      <c r="X658" s="260"/>
      <c r="Y658" s="260"/>
      <c r="Z658" s="260"/>
      <c r="AA658" s="260"/>
      <c r="AB658" s="260"/>
      <c r="AC658" s="260"/>
      <c r="AD658" s="260"/>
    </row>
    <row r="659" spans="1:30" ht="15" thickBot="1">
      <c r="A659" s="260"/>
      <c r="B659" s="260"/>
      <c r="C659" s="260"/>
      <c r="D659" s="260"/>
      <c r="E659" s="260"/>
      <c r="F659" s="260"/>
      <c r="G659" s="260"/>
      <c r="H659" s="260"/>
      <c r="I659" s="260"/>
      <c r="J659" s="260"/>
      <c r="K659" s="260"/>
      <c r="L659" s="260"/>
      <c r="M659" s="260"/>
      <c r="N659" s="260"/>
      <c r="O659" s="260"/>
      <c r="P659" s="260"/>
      <c r="Q659" s="260"/>
      <c r="R659" s="260"/>
      <c r="S659" s="260"/>
      <c r="T659" s="260"/>
      <c r="U659" s="260"/>
      <c r="V659" s="260"/>
      <c r="W659" s="260"/>
      <c r="X659" s="260"/>
      <c r="Y659" s="260"/>
      <c r="Z659" s="260"/>
      <c r="AA659" s="260"/>
      <c r="AB659" s="260"/>
      <c r="AC659" s="260"/>
      <c r="AD659" s="260"/>
    </row>
    <row r="660" spans="1:30" ht="15" thickBot="1">
      <c r="A660" s="260"/>
      <c r="B660" s="260"/>
      <c r="C660" s="260"/>
      <c r="D660" s="260"/>
      <c r="E660" s="260"/>
      <c r="F660" s="260"/>
      <c r="G660" s="260"/>
      <c r="H660" s="260"/>
      <c r="I660" s="260"/>
      <c r="J660" s="260"/>
      <c r="K660" s="260"/>
      <c r="L660" s="260"/>
      <c r="M660" s="260"/>
      <c r="N660" s="260"/>
      <c r="O660" s="260"/>
      <c r="P660" s="260"/>
      <c r="Q660" s="260"/>
      <c r="R660" s="260"/>
      <c r="S660" s="260"/>
      <c r="T660" s="260"/>
      <c r="U660" s="260"/>
      <c r="V660" s="260"/>
      <c r="W660" s="260"/>
      <c r="X660" s="260"/>
      <c r="Y660" s="260"/>
      <c r="Z660" s="260"/>
      <c r="AA660" s="260"/>
      <c r="AB660" s="260"/>
      <c r="AC660" s="260"/>
      <c r="AD660" s="260"/>
    </row>
    <row r="661" spans="1:30" ht="15" thickBot="1">
      <c r="A661" s="260"/>
      <c r="B661" s="260"/>
      <c r="C661" s="260"/>
      <c r="D661" s="260"/>
      <c r="E661" s="260"/>
      <c r="F661" s="260"/>
      <c r="G661" s="260"/>
      <c r="H661" s="260"/>
      <c r="I661" s="260"/>
      <c r="J661" s="260"/>
      <c r="K661" s="260"/>
      <c r="L661" s="260"/>
      <c r="M661" s="260"/>
      <c r="N661" s="260"/>
      <c r="O661" s="260"/>
      <c r="P661" s="260"/>
      <c r="Q661" s="260"/>
      <c r="R661" s="260"/>
      <c r="S661" s="260"/>
      <c r="T661" s="260"/>
      <c r="U661" s="260"/>
      <c r="V661" s="260"/>
      <c r="W661" s="260"/>
      <c r="X661" s="260"/>
      <c r="Y661" s="260"/>
      <c r="Z661" s="260"/>
      <c r="AA661" s="260"/>
      <c r="AB661" s="260"/>
      <c r="AC661" s="260"/>
      <c r="AD661" s="260"/>
    </row>
    <row r="662" spans="1:30" ht="15" thickBot="1">
      <c r="A662" s="260"/>
      <c r="B662" s="260"/>
      <c r="C662" s="260"/>
      <c r="D662" s="260"/>
      <c r="E662" s="260"/>
      <c r="F662" s="260"/>
      <c r="G662" s="260"/>
      <c r="H662" s="260"/>
      <c r="I662" s="260"/>
      <c r="J662" s="260"/>
      <c r="K662" s="260"/>
      <c r="L662" s="260"/>
      <c r="M662" s="260"/>
      <c r="N662" s="260"/>
      <c r="O662" s="260"/>
      <c r="P662" s="260"/>
      <c r="Q662" s="260"/>
      <c r="R662" s="260"/>
      <c r="S662" s="260"/>
      <c r="T662" s="260"/>
      <c r="U662" s="260"/>
      <c r="V662" s="260"/>
      <c r="W662" s="260"/>
      <c r="X662" s="260"/>
      <c r="Y662" s="260"/>
      <c r="Z662" s="260"/>
      <c r="AA662" s="260"/>
      <c r="AB662" s="260"/>
      <c r="AC662" s="260"/>
      <c r="AD662" s="260"/>
    </row>
    <row r="663" spans="1:30" ht="15" thickBot="1">
      <c r="A663" s="260"/>
      <c r="B663" s="260"/>
      <c r="C663" s="260"/>
      <c r="D663" s="260"/>
      <c r="E663" s="260"/>
      <c r="F663" s="260"/>
      <c r="G663" s="260"/>
      <c r="H663" s="260"/>
      <c r="I663" s="260"/>
      <c r="J663" s="260"/>
      <c r="K663" s="260"/>
      <c r="L663" s="260"/>
      <c r="M663" s="260"/>
      <c r="N663" s="260"/>
      <c r="O663" s="260"/>
      <c r="P663" s="260"/>
      <c r="Q663" s="260"/>
      <c r="R663" s="260"/>
      <c r="S663" s="260"/>
      <c r="T663" s="260"/>
      <c r="U663" s="260"/>
      <c r="V663" s="260"/>
      <c r="W663" s="260"/>
      <c r="X663" s="260"/>
      <c r="Y663" s="260"/>
      <c r="Z663" s="260"/>
      <c r="AA663" s="260"/>
      <c r="AB663" s="260"/>
      <c r="AC663" s="260"/>
      <c r="AD663" s="260"/>
    </row>
    <row r="664" spans="1:30" ht="15" thickBot="1">
      <c r="A664" s="260"/>
      <c r="B664" s="260"/>
      <c r="C664" s="260"/>
      <c r="D664" s="260"/>
      <c r="E664" s="260"/>
      <c r="F664" s="260"/>
      <c r="G664" s="260"/>
      <c r="H664" s="260"/>
      <c r="I664" s="260"/>
      <c r="J664" s="260"/>
      <c r="K664" s="260"/>
      <c r="L664" s="260"/>
      <c r="M664" s="260"/>
      <c r="N664" s="260"/>
      <c r="O664" s="260"/>
      <c r="P664" s="260"/>
      <c r="Q664" s="260"/>
      <c r="R664" s="260"/>
      <c r="S664" s="260"/>
      <c r="T664" s="260"/>
      <c r="U664" s="260"/>
      <c r="V664" s="260"/>
      <c r="W664" s="260"/>
      <c r="X664" s="260"/>
      <c r="Y664" s="260"/>
      <c r="Z664" s="260"/>
      <c r="AA664" s="260"/>
      <c r="AB664" s="260"/>
      <c r="AC664" s="260"/>
      <c r="AD664" s="260"/>
    </row>
    <row r="665" spans="1:30" ht="15" thickBot="1">
      <c r="A665" s="260"/>
      <c r="B665" s="260"/>
      <c r="C665" s="260"/>
      <c r="D665" s="260"/>
      <c r="E665" s="260"/>
      <c r="F665" s="260"/>
      <c r="G665" s="260"/>
      <c r="H665" s="260"/>
      <c r="I665" s="260"/>
      <c r="J665" s="260"/>
      <c r="K665" s="260"/>
      <c r="L665" s="260"/>
      <c r="M665" s="260"/>
      <c r="N665" s="260"/>
      <c r="O665" s="260"/>
      <c r="P665" s="260"/>
      <c r="Q665" s="260"/>
      <c r="R665" s="260"/>
      <c r="S665" s="260"/>
      <c r="T665" s="260"/>
      <c r="U665" s="260"/>
      <c r="V665" s="260"/>
      <c r="W665" s="260"/>
      <c r="X665" s="260"/>
      <c r="Y665" s="260"/>
      <c r="Z665" s="260"/>
      <c r="AA665" s="260"/>
      <c r="AB665" s="260"/>
      <c r="AC665" s="260"/>
      <c r="AD665" s="260"/>
    </row>
    <row r="666" spans="1:30" ht="15" thickBot="1">
      <c r="A666" s="260"/>
      <c r="B666" s="260"/>
      <c r="C666" s="260"/>
      <c r="D666" s="260"/>
      <c r="E666" s="260"/>
      <c r="F666" s="260"/>
      <c r="G666" s="260"/>
      <c r="H666" s="260"/>
      <c r="I666" s="260"/>
      <c r="J666" s="260"/>
      <c r="K666" s="260"/>
      <c r="L666" s="260"/>
      <c r="M666" s="260"/>
      <c r="N666" s="260"/>
      <c r="O666" s="260"/>
      <c r="P666" s="260"/>
      <c r="Q666" s="260"/>
      <c r="R666" s="260"/>
      <c r="S666" s="260"/>
      <c r="T666" s="260"/>
      <c r="U666" s="260"/>
      <c r="V666" s="260"/>
      <c r="W666" s="260"/>
      <c r="X666" s="260"/>
      <c r="Y666" s="260"/>
      <c r="Z666" s="260"/>
      <c r="AA666" s="260"/>
      <c r="AB666" s="260"/>
      <c r="AC666" s="260"/>
      <c r="AD666" s="260"/>
    </row>
    <row r="667" spans="1:30" ht="15" thickBot="1">
      <c r="A667" s="260"/>
      <c r="B667" s="260"/>
      <c r="C667" s="260"/>
      <c r="D667" s="260"/>
      <c r="E667" s="260"/>
      <c r="F667" s="260"/>
      <c r="G667" s="260"/>
      <c r="H667" s="260"/>
      <c r="I667" s="260"/>
      <c r="J667" s="260"/>
      <c r="K667" s="260"/>
      <c r="L667" s="260"/>
      <c r="M667" s="260"/>
      <c r="N667" s="260"/>
      <c r="O667" s="260"/>
      <c r="P667" s="260"/>
      <c r="Q667" s="260"/>
      <c r="R667" s="260"/>
      <c r="S667" s="260"/>
      <c r="T667" s="260"/>
      <c r="U667" s="260"/>
      <c r="V667" s="260"/>
      <c r="W667" s="260"/>
      <c r="X667" s="260"/>
      <c r="Y667" s="260"/>
      <c r="Z667" s="260"/>
      <c r="AA667" s="260"/>
      <c r="AB667" s="260"/>
      <c r="AC667" s="260"/>
      <c r="AD667" s="260"/>
    </row>
    <row r="668" spans="1:30" ht="15" thickBot="1">
      <c r="A668" s="260"/>
      <c r="B668" s="260"/>
      <c r="C668" s="260"/>
      <c r="D668" s="260"/>
      <c r="E668" s="260"/>
      <c r="F668" s="260"/>
      <c r="G668" s="260"/>
      <c r="H668" s="260"/>
      <c r="I668" s="260"/>
      <c r="J668" s="260"/>
      <c r="K668" s="260"/>
      <c r="L668" s="260"/>
      <c r="M668" s="260"/>
      <c r="N668" s="260"/>
      <c r="O668" s="260"/>
      <c r="P668" s="260"/>
      <c r="Q668" s="260"/>
      <c r="R668" s="260"/>
      <c r="S668" s="260"/>
      <c r="T668" s="260"/>
      <c r="U668" s="260"/>
      <c r="V668" s="260"/>
      <c r="W668" s="260"/>
      <c r="X668" s="260"/>
      <c r="Y668" s="260"/>
      <c r="Z668" s="260"/>
      <c r="AA668" s="260"/>
      <c r="AB668" s="260"/>
      <c r="AC668" s="260"/>
      <c r="AD668" s="260"/>
    </row>
    <row r="669" spans="1:30" ht="15" thickBot="1">
      <c r="A669" s="260"/>
      <c r="B669" s="260"/>
      <c r="C669" s="260"/>
      <c r="D669" s="260"/>
      <c r="E669" s="260"/>
      <c r="F669" s="260"/>
      <c r="G669" s="260"/>
      <c r="H669" s="260"/>
      <c r="I669" s="260"/>
      <c r="J669" s="260"/>
      <c r="K669" s="260"/>
      <c r="L669" s="260"/>
      <c r="M669" s="260"/>
      <c r="N669" s="260"/>
      <c r="O669" s="260"/>
      <c r="P669" s="260"/>
      <c r="Q669" s="260"/>
      <c r="R669" s="260"/>
      <c r="S669" s="260"/>
      <c r="T669" s="260"/>
      <c r="U669" s="260"/>
      <c r="V669" s="260"/>
      <c r="W669" s="260"/>
      <c r="X669" s="260"/>
      <c r="Y669" s="260"/>
      <c r="Z669" s="260"/>
      <c r="AA669" s="260"/>
      <c r="AB669" s="260"/>
      <c r="AC669" s="260"/>
      <c r="AD669" s="260"/>
    </row>
    <row r="670" spans="1:30" ht="15" thickBot="1">
      <c r="A670" s="260"/>
      <c r="B670" s="260"/>
      <c r="C670" s="260"/>
      <c r="D670" s="260"/>
      <c r="E670" s="260"/>
      <c r="F670" s="260"/>
      <c r="G670" s="260"/>
      <c r="H670" s="260"/>
      <c r="I670" s="260"/>
      <c r="J670" s="260"/>
      <c r="K670" s="260"/>
      <c r="L670" s="260"/>
      <c r="M670" s="260"/>
      <c r="N670" s="260"/>
      <c r="O670" s="260"/>
      <c r="P670" s="260"/>
      <c r="Q670" s="260"/>
      <c r="R670" s="260"/>
      <c r="S670" s="260"/>
      <c r="T670" s="260"/>
      <c r="U670" s="260"/>
      <c r="V670" s="260"/>
      <c r="W670" s="260"/>
      <c r="X670" s="260"/>
      <c r="Y670" s="260"/>
      <c r="Z670" s="260"/>
      <c r="AA670" s="260"/>
      <c r="AB670" s="260"/>
      <c r="AC670" s="260"/>
      <c r="AD670" s="260"/>
    </row>
    <row r="671" spans="1:30" ht="15" thickBot="1">
      <c r="A671" s="260"/>
      <c r="B671" s="260"/>
      <c r="C671" s="260"/>
      <c r="D671" s="260"/>
      <c r="E671" s="260"/>
      <c r="F671" s="260"/>
      <c r="G671" s="260"/>
      <c r="H671" s="260"/>
      <c r="I671" s="260"/>
      <c r="J671" s="260"/>
      <c r="K671" s="260"/>
      <c r="L671" s="260"/>
      <c r="M671" s="260"/>
      <c r="N671" s="260"/>
      <c r="O671" s="260"/>
      <c r="P671" s="260"/>
      <c r="Q671" s="260"/>
      <c r="R671" s="260"/>
      <c r="S671" s="260"/>
      <c r="T671" s="260"/>
      <c r="U671" s="260"/>
      <c r="V671" s="260"/>
      <c r="W671" s="260"/>
      <c r="X671" s="260"/>
      <c r="Y671" s="260"/>
      <c r="Z671" s="260"/>
      <c r="AA671" s="260"/>
      <c r="AB671" s="260"/>
      <c r="AC671" s="260"/>
      <c r="AD671" s="260"/>
    </row>
    <row r="672" spans="1:30" ht="15" thickBot="1">
      <c r="A672" s="260"/>
      <c r="B672" s="260"/>
      <c r="C672" s="260"/>
      <c r="D672" s="260"/>
      <c r="E672" s="260"/>
      <c r="F672" s="260"/>
      <c r="G672" s="260"/>
      <c r="H672" s="260"/>
      <c r="I672" s="260"/>
      <c r="J672" s="260"/>
      <c r="K672" s="260"/>
      <c r="L672" s="260"/>
      <c r="M672" s="260"/>
      <c r="N672" s="260"/>
      <c r="O672" s="260"/>
      <c r="P672" s="260"/>
      <c r="Q672" s="260"/>
      <c r="R672" s="260"/>
      <c r="S672" s="260"/>
      <c r="T672" s="260"/>
      <c r="U672" s="260"/>
      <c r="V672" s="260"/>
      <c r="W672" s="260"/>
      <c r="X672" s="260"/>
      <c r="Y672" s="260"/>
      <c r="Z672" s="260"/>
      <c r="AA672" s="260"/>
      <c r="AB672" s="260"/>
      <c r="AC672" s="260"/>
      <c r="AD672" s="260"/>
    </row>
    <row r="673" spans="1:30" ht="15" thickBot="1">
      <c r="A673" s="260"/>
      <c r="B673" s="260"/>
      <c r="C673" s="260"/>
      <c r="D673" s="260"/>
      <c r="E673" s="260"/>
      <c r="F673" s="260"/>
      <c r="G673" s="260"/>
      <c r="H673" s="260"/>
      <c r="I673" s="260"/>
      <c r="J673" s="260"/>
      <c r="K673" s="260"/>
      <c r="L673" s="260"/>
      <c r="M673" s="260"/>
      <c r="N673" s="260"/>
      <c r="O673" s="260"/>
      <c r="P673" s="260"/>
      <c r="Q673" s="260"/>
      <c r="R673" s="260"/>
      <c r="S673" s="260"/>
      <c r="T673" s="260"/>
      <c r="U673" s="260"/>
      <c r="V673" s="260"/>
      <c r="W673" s="260"/>
      <c r="X673" s="260"/>
      <c r="Y673" s="260"/>
      <c r="Z673" s="260"/>
      <c r="AA673" s="260"/>
      <c r="AB673" s="260"/>
      <c r="AC673" s="260"/>
      <c r="AD673" s="260"/>
    </row>
    <row r="674" spans="1:30" ht="15" thickBot="1">
      <c r="A674" s="260"/>
      <c r="B674" s="260"/>
      <c r="C674" s="260"/>
      <c r="D674" s="260"/>
      <c r="E674" s="260"/>
      <c r="F674" s="260"/>
      <c r="G674" s="260"/>
      <c r="H674" s="260"/>
      <c r="I674" s="260"/>
      <c r="J674" s="260"/>
      <c r="K674" s="260"/>
      <c r="L674" s="260"/>
      <c r="M674" s="260"/>
      <c r="N674" s="260"/>
      <c r="O674" s="260"/>
      <c r="P674" s="260"/>
      <c r="Q674" s="260"/>
      <c r="R674" s="260"/>
      <c r="S674" s="260"/>
      <c r="T674" s="260"/>
      <c r="U674" s="260"/>
      <c r="V674" s="260"/>
      <c r="W674" s="260"/>
      <c r="X674" s="260"/>
      <c r="Y674" s="260"/>
      <c r="Z674" s="260"/>
      <c r="AA674" s="260"/>
      <c r="AB674" s="260"/>
      <c r="AC674" s="260"/>
      <c r="AD674" s="260"/>
    </row>
    <row r="675" spans="1:30" ht="15" thickBot="1">
      <c r="A675" s="260"/>
      <c r="B675" s="260"/>
      <c r="C675" s="260"/>
      <c r="D675" s="260"/>
      <c r="E675" s="260"/>
      <c r="F675" s="260"/>
      <c r="G675" s="260"/>
      <c r="H675" s="260"/>
      <c r="I675" s="260"/>
      <c r="J675" s="260"/>
      <c r="K675" s="260"/>
      <c r="L675" s="260"/>
      <c r="M675" s="260"/>
      <c r="N675" s="260"/>
      <c r="O675" s="260"/>
      <c r="P675" s="260"/>
      <c r="Q675" s="260"/>
      <c r="R675" s="260"/>
      <c r="S675" s="260"/>
      <c r="T675" s="260"/>
      <c r="U675" s="260"/>
      <c r="V675" s="260"/>
      <c r="W675" s="260"/>
      <c r="X675" s="260"/>
      <c r="Y675" s="260"/>
      <c r="Z675" s="260"/>
      <c r="AA675" s="260"/>
      <c r="AB675" s="260"/>
      <c r="AC675" s="260"/>
      <c r="AD675" s="260"/>
    </row>
    <row r="676" spans="1:30" ht="15" thickBot="1">
      <c r="A676" s="260"/>
      <c r="B676" s="260"/>
      <c r="C676" s="260"/>
      <c r="D676" s="260"/>
      <c r="E676" s="260"/>
      <c r="F676" s="260"/>
      <c r="G676" s="260"/>
      <c r="H676" s="260"/>
      <c r="I676" s="260"/>
      <c r="J676" s="260"/>
      <c r="K676" s="260"/>
      <c r="L676" s="260"/>
      <c r="M676" s="260"/>
      <c r="N676" s="260"/>
      <c r="O676" s="260"/>
      <c r="P676" s="260"/>
      <c r="Q676" s="260"/>
      <c r="R676" s="260"/>
      <c r="S676" s="260"/>
      <c r="T676" s="260"/>
      <c r="U676" s="260"/>
      <c r="V676" s="260"/>
      <c r="W676" s="260"/>
      <c r="X676" s="260"/>
      <c r="Y676" s="260"/>
      <c r="Z676" s="260"/>
      <c r="AA676" s="260"/>
      <c r="AB676" s="260"/>
      <c r="AC676" s="260"/>
      <c r="AD676" s="260"/>
    </row>
    <row r="677" spans="1:30" ht="15" thickBot="1">
      <c r="A677" s="260"/>
      <c r="B677" s="260"/>
      <c r="C677" s="260"/>
      <c r="D677" s="260"/>
      <c r="E677" s="260"/>
      <c r="F677" s="260"/>
      <c r="G677" s="260"/>
      <c r="H677" s="260"/>
      <c r="I677" s="260"/>
      <c r="J677" s="260"/>
      <c r="K677" s="260"/>
      <c r="L677" s="260"/>
      <c r="M677" s="260"/>
      <c r="N677" s="260"/>
      <c r="O677" s="260"/>
      <c r="P677" s="260"/>
      <c r="Q677" s="260"/>
      <c r="R677" s="260"/>
      <c r="S677" s="260"/>
      <c r="T677" s="260"/>
      <c r="U677" s="260"/>
      <c r="V677" s="260"/>
      <c r="W677" s="260"/>
      <c r="X677" s="260"/>
      <c r="Y677" s="260"/>
      <c r="Z677" s="260"/>
      <c r="AA677" s="260"/>
      <c r="AB677" s="260"/>
      <c r="AC677" s="260"/>
      <c r="AD677" s="260"/>
    </row>
    <row r="678" spans="1:30" ht="15" thickBot="1">
      <c r="A678" s="260"/>
      <c r="B678" s="260"/>
      <c r="C678" s="260"/>
      <c r="D678" s="260"/>
      <c r="E678" s="260"/>
      <c r="F678" s="260"/>
      <c r="G678" s="260"/>
      <c r="H678" s="260"/>
      <c r="I678" s="260"/>
      <c r="J678" s="260"/>
      <c r="K678" s="260"/>
      <c r="L678" s="260"/>
      <c r="M678" s="260"/>
      <c r="N678" s="260"/>
      <c r="O678" s="260"/>
      <c r="P678" s="260"/>
      <c r="Q678" s="260"/>
      <c r="R678" s="260"/>
      <c r="S678" s="260"/>
      <c r="T678" s="260"/>
      <c r="U678" s="260"/>
      <c r="V678" s="260"/>
      <c r="W678" s="260"/>
      <c r="X678" s="260"/>
      <c r="Y678" s="260"/>
      <c r="Z678" s="260"/>
      <c r="AA678" s="260"/>
      <c r="AB678" s="260"/>
      <c r="AC678" s="260"/>
      <c r="AD678" s="260"/>
    </row>
    <row r="679" spans="1:30" ht="15" thickBot="1">
      <c r="A679" s="260"/>
      <c r="B679" s="260"/>
      <c r="C679" s="260"/>
      <c r="D679" s="260"/>
      <c r="E679" s="260"/>
      <c r="F679" s="260"/>
      <c r="G679" s="260"/>
      <c r="H679" s="260"/>
      <c r="I679" s="260"/>
      <c r="J679" s="260"/>
      <c r="K679" s="260"/>
      <c r="L679" s="260"/>
      <c r="M679" s="260"/>
      <c r="N679" s="260"/>
      <c r="O679" s="260"/>
      <c r="P679" s="260"/>
      <c r="Q679" s="260"/>
      <c r="R679" s="260"/>
      <c r="S679" s="260"/>
      <c r="T679" s="260"/>
      <c r="U679" s="260"/>
      <c r="V679" s="260"/>
      <c r="W679" s="260"/>
      <c r="X679" s="260"/>
      <c r="Y679" s="260"/>
      <c r="Z679" s="260"/>
      <c r="AA679" s="260"/>
      <c r="AB679" s="260"/>
      <c r="AC679" s="260"/>
      <c r="AD679" s="260"/>
    </row>
    <row r="680" spans="1:30" ht="15" thickBot="1">
      <c r="A680" s="260"/>
      <c r="B680" s="260"/>
      <c r="C680" s="260"/>
      <c r="D680" s="260"/>
      <c r="E680" s="260"/>
      <c r="F680" s="260"/>
      <c r="G680" s="260"/>
      <c r="H680" s="260"/>
      <c r="I680" s="260"/>
      <c r="J680" s="260"/>
      <c r="K680" s="260"/>
      <c r="L680" s="260"/>
      <c r="M680" s="260"/>
      <c r="N680" s="260"/>
      <c r="O680" s="260"/>
      <c r="P680" s="260"/>
      <c r="Q680" s="260"/>
      <c r="R680" s="260"/>
      <c r="S680" s="260"/>
      <c r="T680" s="260"/>
      <c r="U680" s="260"/>
      <c r="V680" s="260"/>
      <c r="W680" s="260"/>
      <c r="X680" s="260"/>
      <c r="Y680" s="260"/>
      <c r="Z680" s="260"/>
      <c r="AA680" s="260"/>
      <c r="AB680" s="260"/>
      <c r="AC680" s="260"/>
      <c r="AD680" s="260"/>
    </row>
    <row r="681" spans="1:30" ht="15" thickBot="1">
      <c r="A681" s="260"/>
      <c r="B681" s="260"/>
      <c r="C681" s="260"/>
      <c r="D681" s="260"/>
      <c r="E681" s="260"/>
      <c r="F681" s="260"/>
      <c r="G681" s="260"/>
      <c r="H681" s="260"/>
      <c r="I681" s="260"/>
      <c r="J681" s="260"/>
      <c r="K681" s="260"/>
      <c r="L681" s="260"/>
      <c r="M681" s="260"/>
      <c r="N681" s="260"/>
      <c r="O681" s="260"/>
      <c r="P681" s="260"/>
      <c r="Q681" s="260"/>
      <c r="R681" s="260"/>
      <c r="S681" s="260"/>
      <c r="T681" s="260"/>
      <c r="U681" s="260"/>
      <c r="V681" s="260"/>
      <c r="W681" s="260"/>
      <c r="X681" s="260"/>
      <c r="Y681" s="260"/>
      <c r="Z681" s="260"/>
      <c r="AA681" s="260"/>
      <c r="AB681" s="260"/>
      <c r="AC681" s="260"/>
      <c r="AD681" s="260"/>
    </row>
    <row r="682" spans="1:30" ht="15" thickBot="1">
      <c r="A682" s="260"/>
      <c r="B682" s="260"/>
      <c r="C682" s="260"/>
      <c r="D682" s="260"/>
      <c r="E682" s="260"/>
      <c r="F682" s="260"/>
      <c r="G682" s="260"/>
      <c r="H682" s="260"/>
      <c r="I682" s="260"/>
      <c r="J682" s="260"/>
      <c r="K682" s="260"/>
      <c r="L682" s="260"/>
      <c r="M682" s="260"/>
      <c r="N682" s="260"/>
      <c r="O682" s="260"/>
      <c r="P682" s="260"/>
      <c r="Q682" s="260"/>
      <c r="R682" s="260"/>
      <c r="S682" s="260"/>
      <c r="T682" s="260"/>
      <c r="U682" s="260"/>
      <c r="V682" s="260"/>
      <c r="W682" s="260"/>
      <c r="X682" s="260"/>
      <c r="Y682" s="260"/>
      <c r="Z682" s="260"/>
      <c r="AA682" s="260"/>
      <c r="AB682" s="260"/>
      <c r="AC682" s="260"/>
      <c r="AD682" s="260"/>
    </row>
    <row r="683" spans="1:30" ht="15" thickBot="1">
      <c r="A683" s="260"/>
      <c r="B683" s="260"/>
      <c r="C683" s="260"/>
      <c r="D683" s="260"/>
      <c r="E683" s="260"/>
      <c r="F683" s="260"/>
      <c r="G683" s="260"/>
      <c r="H683" s="260"/>
      <c r="I683" s="260"/>
      <c r="J683" s="260"/>
      <c r="K683" s="260"/>
      <c r="L683" s="260"/>
      <c r="M683" s="260"/>
      <c r="N683" s="260"/>
      <c r="O683" s="260"/>
      <c r="P683" s="260"/>
      <c r="Q683" s="260"/>
      <c r="R683" s="260"/>
      <c r="S683" s="260"/>
      <c r="T683" s="260"/>
      <c r="U683" s="260"/>
      <c r="V683" s="260"/>
      <c r="W683" s="260"/>
      <c r="X683" s="260"/>
      <c r="Y683" s="260"/>
      <c r="Z683" s="260"/>
      <c r="AA683" s="260"/>
      <c r="AB683" s="260"/>
      <c r="AC683" s="260"/>
      <c r="AD683" s="260"/>
    </row>
    <row r="684" spans="1:30" ht="15" thickBot="1">
      <c r="A684" s="260"/>
      <c r="B684" s="260"/>
      <c r="C684" s="260"/>
      <c r="D684" s="260"/>
      <c r="E684" s="260"/>
      <c r="F684" s="260"/>
      <c r="G684" s="260"/>
      <c r="H684" s="260"/>
      <c r="I684" s="260"/>
      <c r="J684" s="260"/>
      <c r="K684" s="260"/>
      <c r="L684" s="260"/>
      <c r="M684" s="260"/>
      <c r="N684" s="260"/>
      <c r="O684" s="260"/>
      <c r="P684" s="260"/>
      <c r="Q684" s="260"/>
      <c r="R684" s="260"/>
      <c r="S684" s="260"/>
      <c r="T684" s="260"/>
      <c r="U684" s="260"/>
      <c r="V684" s="260"/>
      <c r="W684" s="260"/>
      <c r="X684" s="260"/>
      <c r="Y684" s="260"/>
      <c r="Z684" s="260"/>
      <c r="AA684" s="260"/>
      <c r="AB684" s="260"/>
      <c r="AC684" s="260"/>
      <c r="AD684" s="260"/>
    </row>
    <row r="685" spans="1:30" ht="15" thickBot="1">
      <c r="A685" s="260"/>
      <c r="B685" s="260"/>
      <c r="C685" s="260"/>
      <c r="D685" s="260"/>
      <c r="E685" s="260"/>
      <c r="F685" s="260"/>
      <c r="G685" s="260"/>
      <c r="H685" s="260"/>
      <c r="I685" s="260"/>
      <c r="J685" s="260"/>
      <c r="K685" s="260"/>
      <c r="L685" s="260"/>
      <c r="M685" s="260"/>
      <c r="N685" s="260"/>
      <c r="O685" s="260"/>
      <c r="P685" s="260"/>
      <c r="Q685" s="260"/>
      <c r="R685" s="260"/>
      <c r="S685" s="260"/>
      <c r="T685" s="260"/>
      <c r="U685" s="260"/>
      <c r="V685" s="260"/>
      <c r="W685" s="260"/>
      <c r="X685" s="260"/>
      <c r="Y685" s="260"/>
      <c r="Z685" s="260"/>
      <c r="AA685" s="260"/>
      <c r="AB685" s="260"/>
      <c r="AC685" s="260"/>
      <c r="AD685" s="260"/>
    </row>
    <row r="686" spans="1:30" ht="15" thickBot="1">
      <c r="A686" s="260"/>
      <c r="B686" s="260"/>
      <c r="C686" s="260"/>
      <c r="D686" s="260"/>
      <c r="E686" s="260"/>
      <c r="F686" s="260"/>
      <c r="G686" s="260"/>
      <c r="H686" s="260"/>
      <c r="I686" s="260"/>
      <c r="J686" s="260"/>
      <c r="K686" s="260"/>
      <c r="L686" s="260"/>
      <c r="M686" s="260"/>
      <c r="N686" s="260"/>
      <c r="O686" s="260"/>
      <c r="P686" s="260"/>
      <c r="Q686" s="260"/>
      <c r="R686" s="260"/>
      <c r="S686" s="260"/>
      <c r="T686" s="260"/>
      <c r="U686" s="260"/>
      <c r="V686" s="260"/>
      <c r="W686" s="260"/>
      <c r="X686" s="260"/>
      <c r="Y686" s="260"/>
      <c r="Z686" s="260"/>
      <c r="AA686" s="260"/>
      <c r="AB686" s="260"/>
      <c r="AC686" s="260"/>
      <c r="AD686" s="260"/>
    </row>
    <row r="687" spans="1:30" ht="15" thickBot="1">
      <c r="A687" s="260"/>
      <c r="B687" s="260"/>
      <c r="C687" s="260"/>
      <c r="D687" s="260"/>
      <c r="E687" s="260"/>
      <c r="F687" s="260"/>
      <c r="G687" s="260"/>
      <c r="H687" s="260"/>
      <c r="I687" s="260"/>
      <c r="J687" s="260"/>
      <c r="K687" s="260"/>
      <c r="L687" s="260"/>
      <c r="M687" s="260"/>
      <c r="N687" s="260"/>
      <c r="O687" s="260"/>
      <c r="P687" s="260"/>
      <c r="Q687" s="260"/>
      <c r="R687" s="260"/>
      <c r="S687" s="260"/>
      <c r="T687" s="260"/>
      <c r="U687" s="260"/>
      <c r="V687" s="260"/>
      <c r="W687" s="260"/>
      <c r="X687" s="260"/>
      <c r="Y687" s="260"/>
      <c r="Z687" s="260"/>
      <c r="AA687" s="260"/>
      <c r="AB687" s="260"/>
      <c r="AC687" s="260"/>
      <c r="AD687" s="260"/>
    </row>
    <row r="688" spans="1:30" ht="15" thickBot="1">
      <c r="A688" s="260"/>
      <c r="B688" s="260"/>
      <c r="C688" s="260"/>
      <c r="D688" s="260"/>
      <c r="E688" s="260"/>
      <c r="F688" s="260"/>
      <c r="G688" s="260"/>
      <c r="H688" s="260"/>
      <c r="I688" s="260"/>
      <c r="J688" s="260"/>
      <c r="K688" s="260"/>
      <c r="L688" s="260"/>
      <c r="M688" s="260"/>
      <c r="N688" s="260"/>
      <c r="O688" s="260"/>
      <c r="P688" s="260"/>
      <c r="Q688" s="260"/>
      <c r="R688" s="260"/>
      <c r="S688" s="260"/>
      <c r="T688" s="260"/>
      <c r="U688" s="260"/>
      <c r="V688" s="260"/>
      <c r="W688" s="260"/>
      <c r="X688" s="260"/>
      <c r="Y688" s="260"/>
      <c r="Z688" s="260"/>
      <c r="AA688" s="260"/>
      <c r="AB688" s="260"/>
      <c r="AC688" s="260"/>
      <c r="AD688" s="260"/>
    </row>
    <row r="689" spans="1:30" ht="15" thickBot="1">
      <c r="A689" s="260"/>
      <c r="B689" s="260"/>
      <c r="C689" s="260"/>
      <c r="D689" s="260"/>
      <c r="E689" s="260"/>
      <c r="F689" s="260"/>
      <c r="G689" s="260"/>
      <c r="H689" s="260"/>
      <c r="I689" s="260"/>
      <c r="J689" s="260"/>
      <c r="K689" s="260"/>
      <c r="L689" s="260"/>
      <c r="M689" s="260"/>
      <c r="N689" s="260"/>
      <c r="O689" s="260"/>
      <c r="P689" s="260"/>
      <c r="Q689" s="260"/>
      <c r="R689" s="260"/>
      <c r="S689" s="260"/>
      <c r="T689" s="260"/>
      <c r="U689" s="260"/>
      <c r="V689" s="260"/>
      <c r="W689" s="260"/>
      <c r="X689" s="260"/>
      <c r="Y689" s="260"/>
      <c r="Z689" s="260"/>
      <c r="AA689" s="260"/>
      <c r="AB689" s="260"/>
      <c r="AC689" s="260"/>
      <c r="AD689" s="260"/>
    </row>
    <row r="690" spans="1:30" ht="15" thickBot="1">
      <c r="A690" s="260"/>
      <c r="B690" s="260"/>
      <c r="C690" s="260"/>
      <c r="D690" s="260"/>
      <c r="E690" s="260"/>
      <c r="F690" s="260"/>
      <c r="G690" s="260"/>
      <c r="H690" s="260"/>
      <c r="I690" s="260"/>
      <c r="J690" s="260"/>
      <c r="K690" s="260"/>
      <c r="L690" s="260"/>
      <c r="M690" s="260"/>
      <c r="N690" s="260"/>
      <c r="O690" s="260"/>
      <c r="P690" s="260"/>
      <c r="Q690" s="260"/>
      <c r="R690" s="260"/>
      <c r="S690" s="260"/>
      <c r="T690" s="260"/>
      <c r="U690" s="260"/>
      <c r="V690" s="260"/>
      <c r="W690" s="260"/>
      <c r="X690" s="260"/>
      <c r="Y690" s="260"/>
      <c r="Z690" s="260"/>
      <c r="AA690" s="260"/>
      <c r="AB690" s="260"/>
      <c r="AC690" s="260"/>
      <c r="AD690" s="260"/>
    </row>
    <row r="691" spans="1:30" ht="15" thickBot="1">
      <c r="A691" s="260"/>
      <c r="B691" s="260"/>
      <c r="C691" s="260"/>
      <c r="D691" s="260"/>
      <c r="E691" s="260"/>
      <c r="F691" s="260"/>
      <c r="G691" s="260"/>
      <c r="H691" s="260"/>
      <c r="I691" s="260"/>
      <c r="J691" s="260"/>
      <c r="K691" s="260"/>
      <c r="L691" s="260"/>
      <c r="M691" s="260"/>
      <c r="N691" s="260"/>
      <c r="O691" s="260"/>
      <c r="P691" s="260"/>
      <c r="Q691" s="260"/>
      <c r="R691" s="260"/>
      <c r="S691" s="260"/>
      <c r="T691" s="260"/>
      <c r="U691" s="260"/>
      <c r="V691" s="260"/>
      <c r="W691" s="260"/>
      <c r="X691" s="260"/>
      <c r="Y691" s="260"/>
      <c r="Z691" s="260"/>
      <c r="AA691" s="260"/>
      <c r="AB691" s="260"/>
      <c r="AC691" s="260"/>
      <c r="AD691" s="260"/>
    </row>
    <row r="692" spans="1:30" ht="15" thickBot="1">
      <c r="A692" s="260"/>
      <c r="B692" s="260"/>
      <c r="C692" s="260"/>
      <c r="D692" s="260"/>
      <c r="E692" s="260"/>
      <c r="F692" s="260"/>
      <c r="G692" s="260"/>
      <c r="H692" s="260"/>
      <c r="I692" s="260"/>
      <c r="J692" s="260"/>
      <c r="K692" s="260"/>
      <c r="L692" s="260"/>
      <c r="M692" s="260"/>
      <c r="N692" s="260"/>
      <c r="O692" s="260"/>
      <c r="P692" s="260"/>
      <c r="Q692" s="260"/>
      <c r="R692" s="260"/>
      <c r="S692" s="260"/>
      <c r="T692" s="260"/>
      <c r="U692" s="260"/>
      <c r="V692" s="260"/>
      <c r="W692" s="260"/>
      <c r="X692" s="260"/>
      <c r="Y692" s="260"/>
      <c r="Z692" s="260"/>
      <c r="AA692" s="260"/>
      <c r="AB692" s="260"/>
      <c r="AC692" s="260"/>
      <c r="AD692" s="260"/>
    </row>
    <row r="693" spans="1:30" ht="15" thickBot="1">
      <c r="A693" s="260"/>
      <c r="B693" s="260"/>
      <c r="C693" s="260"/>
      <c r="D693" s="260"/>
      <c r="E693" s="260"/>
      <c r="F693" s="260"/>
      <c r="G693" s="260"/>
      <c r="H693" s="260"/>
      <c r="I693" s="260"/>
      <c r="J693" s="260"/>
      <c r="K693" s="260"/>
      <c r="L693" s="260"/>
      <c r="M693" s="260"/>
      <c r="N693" s="260"/>
      <c r="O693" s="260"/>
      <c r="P693" s="260"/>
      <c r="Q693" s="260"/>
      <c r="R693" s="260"/>
      <c r="S693" s="260"/>
      <c r="T693" s="260"/>
      <c r="U693" s="260"/>
      <c r="V693" s="260"/>
      <c r="W693" s="260"/>
      <c r="X693" s="260"/>
      <c r="Y693" s="260"/>
      <c r="Z693" s="260"/>
      <c r="AA693" s="260"/>
      <c r="AB693" s="260"/>
      <c r="AC693" s="260"/>
      <c r="AD693" s="260"/>
    </row>
    <row r="694" spans="1:30" ht="15" thickBot="1">
      <c r="A694" s="260"/>
      <c r="B694" s="260"/>
      <c r="C694" s="260"/>
      <c r="D694" s="260"/>
      <c r="E694" s="260"/>
      <c r="F694" s="260"/>
      <c r="G694" s="260"/>
      <c r="H694" s="260"/>
      <c r="I694" s="260"/>
      <c r="J694" s="260"/>
      <c r="K694" s="260"/>
      <c r="L694" s="260"/>
      <c r="M694" s="260"/>
      <c r="N694" s="260"/>
      <c r="O694" s="260"/>
      <c r="P694" s="260"/>
      <c r="Q694" s="260"/>
      <c r="R694" s="260"/>
      <c r="S694" s="260"/>
      <c r="T694" s="260"/>
      <c r="U694" s="260"/>
      <c r="V694" s="260"/>
      <c r="W694" s="260"/>
      <c r="X694" s="260"/>
      <c r="Y694" s="260"/>
      <c r="Z694" s="260"/>
      <c r="AA694" s="260"/>
      <c r="AB694" s="260"/>
      <c r="AC694" s="260"/>
      <c r="AD694" s="260"/>
    </row>
    <row r="695" spans="1:30" ht="15" thickBot="1">
      <c r="A695" s="260"/>
      <c r="B695" s="260"/>
      <c r="C695" s="260"/>
      <c r="D695" s="260"/>
      <c r="E695" s="260"/>
      <c r="F695" s="260"/>
      <c r="G695" s="260"/>
      <c r="H695" s="260"/>
      <c r="I695" s="260"/>
      <c r="J695" s="260"/>
      <c r="K695" s="260"/>
      <c r="L695" s="260"/>
      <c r="M695" s="260"/>
      <c r="N695" s="260"/>
      <c r="O695" s="260"/>
      <c r="P695" s="260"/>
      <c r="Q695" s="260"/>
      <c r="R695" s="260"/>
      <c r="S695" s="260"/>
      <c r="T695" s="260"/>
      <c r="U695" s="260"/>
      <c r="V695" s="260"/>
      <c r="W695" s="260"/>
      <c r="X695" s="260"/>
      <c r="Y695" s="260"/>
      <c r="Z695" s="260"/>
      <c r="AA695" s="260"/>
      <c r="AB695" s="260"/>
      <c r="AC695" s="260"/>
      <c r="AD695" s="260"/>
    </row>
    <row r="696" spans="1:30" ht="15" thickBot="1">
      <c r="A696" s="260"/>
      <c r="B696" s="260"/>
      <c r="C696" s="260"/>
      <c r="D696" s="260"/>
      <c r="E696" s="260"/>
      <c r="F696" s="260"/>
      <c r="G696" s="260"/>
      <c r="H696" s="260"/>
      <c r="I696" s="260"/>
      <c r="J696" s="260"/>
      <c r="K696" s="260"/>
      <c r="L696" s="260"/>
      <c r="M696" s="260"/>
      <c r="N696" s="260"/>
      <c r="O696" s="260"/>
      <c r="P696" s="260"/>
      <c r="Q696" s="260"/>
      <c r="R696" s="260"/>
      <c r="S696" s="260"/>
      <c r="T696" s="260"/>
      <c r="U696" s="260"/>
      <c r="V696" s="260"/>
      <c r="W696" s="260"/>
      <c r="X696" s="260"/>
      <c r="Y696" s="260"/>
      <c r="Z696" s="260"/>
      <c r="AA696" s="260"/>
      <c r="AB696" s="260"/>
      <c r="AC696" s="260"/>
      <c r="AD696" s="260"/>
    </row>
    <row r="697" spans="1:30" ht="15" thickBot="1">
      <c r="A697" s="260"/>
      <c r="B697" s="260"/>
      <c r="C697" s="260"/>
      <c r="D697" s="260"/>
      <c r="E697" s="260"/>
      <c r="F697" s="260"/>
      <c r="G697" s="260"/>
      <c r="H697" s="260"/>
      <c r="I697" s="260"/>
      <c r="J697" s="260"/>
      <c r="K697" s="260"/>
      <c r="L697" s="260"/>
      <c r="M697" s="260"/>
      <c r="N697" s="260"/>
      <c r="O697" s="260"/>
      <c r="P697" s="260"/>
      <c r="Q697" s="260"/>
      <c r="R697" s="260"/>
      <c r="S697" s="260"/>
      <c r="T697" s="260"/>
      <c r="U697" s="260"/>
      <c r="V697" s="260"/>
      <c r="W697" s="260"/>
      <c r="X697" s="260"/>
      <c r="Y697" s="260"/>
      <c r="Z697" s="260"/>
      <c r="AA697" s="260"/>
      <c r="AB697" s="260"/>
      <c r="AC697" s="260"/>
      <c r="AD697" s="260"/>
    </row>
    <row r="698" spans="1:30" ht="15" thickBot="1">
      <c r="A698" s="260"/>
      <c r="B698" s="260"/>
      <c r="C698" s="260"/>
      <c r="D698" s="260"/>
      <c r="E698" s="260"/>
      <c r="F698" s="260"/>
      <c r="G698" s="260"/>
      <c r="H698" s="260"/>
      <c r="I698" s="260"/>
      <c r="J698" s="260"/>
      <c r="K698" s="260"/>
      <c r="L698" s="260"/>
      <c r="M698" s="260"/>
      <c r="N698" s="260"/>
      <c r="O698" s="260"/>
      <c r="P698" s="260"/>
      <c r="Q698" s="260"/>
      <c r="R698" s="260"/>
      <c r="S698" s="260"/>
      <c r="T698" s="260"/>
      <c r="U698" s="260"/>
      <c r="V698" s="260"/>
      <c r="W698" s="260"/>
      <c r="X698" s="260"/>
      <c r="Y698" s="260"/>
      <c r="Z698" s="260"/>
      <c r="AA698" s="260"/>
      <c r="AB698" s="260"/>
      <c r="AC698" s="260"/>
      <c r="AD698" s="260"/>
    </row>
    <row r="699" spans="1:30" ht="15" thickBot="1">
      <c r="A699" s="260"/>
      <c r="B699" s="260"/>
      <c r="C699" s="260"/>
      <c r="D699" s="260"/>
      <c r="E699" s="260"/>
      <c r="F699" s="260"/>
      <c r="G699" s="260"/>
      <c r="H699" s="260"/>
      <c r="I699" s="260"/>
      <c r="J699" s="260"/>
      <c r="K699" s="260"/>
      <c r="L699" s="260"/>
      <c r="M699" s="260"/>
      <c r="N699" s="260"/>
      <c r="O699" s="260"/>
      <c r="P699" s="260"/>
      <c r="Q699" s="260"/>
      <c r="R699" s="260"/>
      <c r="S699" s="260"/>
      <c r="T699" s="260"/>
      <c r="U699" s="260"/>
      <c r="V699" s="260"/>
      <c r="W699" s="260"/>
      <c r="X699" s="260"/>
      <c r="Y699" s="260"/>
      <c r="Z699" s="260"/>
      <c r="AA699" s="260"/>
      <c r="AB699" s="260"/>
      <c r="AC699" s="260"/>
      <c r="AD699" s="260"/>
    </row>
    <row r="700" spans="1:30" ht="15" thickBot="1">
      <c r="A700" s="260"/>
      <c r="B700" s="260"/>
      <c r="C700" s="260"/>
      <c r="D700" s="260"/>
      <c r="E700" s="260"/>
      <c r="F700" s="260"/>
      <c r="G700" s="260"/>
      <c r="H700" s="260"/>
      <c r="I700" s="260"/>
      <c r="J700" s="260"/>
      <c r="K700" s="260"/>
      <c r="L700" s="260"/>
      <c r="M700" s="260"/>
      <c r="N700" s="260"/>
      <c r="O700" s="260"/>
      <c r="P700" s="260"/>
      <c r="Q700" s="260"/>
      <c r="R700" s="260"/>
      <c r="S700" s="260"/>
      <c r="T700" s="260"/>
      <c r="U700" s="260"/>
      <c r="V700" s="260"/>
      <c r="W700" s="260"/>
      <c r="X700" s="260"/>
      <c r="Y700" s="260"/>
      <c r="Z700" s="260"/>
      <c r="AA700" s="260"/>
      <c r="AB700" s="260"/>
      <c r="AC700" s="260"/>
      <c r="AD700" s="260"/>
    </row>
    <row r="701" spans="1:30" ht="15" thickBot="1">
      <c r="A701" s="260"/>
      <c r="B701" s="260"/>
      <c r="C701" s="260"/>
      <c r="D701" s="260"/>
      <c r="E701" s="260"/>
      <c r="F701" s="260"/>
      <c r="G701" s="260"/>
      <c r="H701" s="260"/>
      <c r="I701" s="260"/>
      <c r="J701" s="260"/>
      <c r="K701" s="260"/>
      <c r="L701" s="260"/>
      <c r="M701" s="260"/>
      <c r="N701" s="260"/>
      <c r="O701" s="260"/>
      <c r="P701" s="260"/>
      <c r="Q701" s="260"/>
      <c r="R701" s="260"/>
      <c r="S701" s="260"/>
      <c r="T701" s="260"/>
      <c r="U701" s="260"/>
      <c r="V701" s="260"/>
      <c r="W701" s="260"/>
      <c r="X701" s="260"/>
      <c r="Y701" s="260"/>
      <c r="Z701" s="260"/>
      <c r="AA701" s="260"/>
      <c r="AB701" s="260"/>
      <c r="AC701" s="260"/>
      <c r="AD701" s="260"/>
    </row>
    <row r="702" spans="1:30" ht="15" thickBot="1">
      <c r="A702" s="260"/>
      <c r="B702" s="260"/>
      <c r="C702" s="260"/>
      <c r="D702" s="260"/>
      <c r="E702" s="260"/>
      <c r="F702" s="260"/>
      <c r="G702" s="260"/>
      <c r="H702" s="260"/>
      <c r="I702" s="260"/>
      <c r="J702" s="260"/>
      <c r="K702" s="260"/>
      <c r="L702" s="260"/>
      <c r="M702" s="260"/>
      <c r="N702" s="260"/>
      <c r="O702" s="260"/>
      <c r="P702" s="260"/>
      <c r="Q702" s="260"/>
      <c r="R702" s="260"/>
      <c r="S702" s="260"/>
      <c r="T702" s="260"/>
      <c r="U702" s="260"/>
      <c r="V702" s="260"/>
      <c r="W702" s="260"/>
      <c r="X702" s="260"/>
      <c r="Y702" s="260"/>
      <c r="Z702" s="260"/>
      <c r="AA702" s="260"/>
      <c r="AB702" s="260"/>
      <c r="AC702" s="260"/>
      <c r="AD702" s="260"/>
    </row>
    <row r="703" spans="1:30" ht="15" thickBot="1">
      <c r="A703" s="260"/>
      <c r="B703" s="260"/>
      <c r="C703" s="260"/>
      <c r="D703" s="260"/>
      <c r="E703" s="260"/>
      <c r="F703" s="260"/>
      <c r="G703" s="260"/>
      <c r="H703" s="260"/>
      <c r="I703" s="260"/>
      <c r="J703" s="260"/>
      <c r="K703" s="260"/>
      <c r="L703" s="260"/>
      <c r="M703" s="260"/>
      <c r="N703" s="260"/>
      <c r="O703" s="260"/>
      <c r="P703" s="260"/>
      <c r="Q703" s="260"/>
      <c r="R703" s="260"/>
      <c r="S703" s="260"/>
      <c r="T703" s="260"/>
      <c r="U703" s="260"/>
      <c r="V703" s="260"/>
      <c r="W703" s="260"/>
      <c r="X703" s="260"/>
      <c r="Y703" s="260"/>
      <c r="Z703" s="260"/>
      <c r="AA703" s="260"/>
      <c r="AB703" s="260"/>
      <c r="AC703" s="260"/>
      <c r="AD703" s="260"/>
    </row>
    <row r="704" spans="1:30" ht="15" thickBot="1">
      <c r="A704" s="260"/>
      <c r="B704" s="260"/>
      <c r="C704" s="260"/>
      <c r="D704" s="260"/>
      <c r="E704" s="260"/>
      <c r="F704" s="260"/>
      <c r="G704" s="260"/>
      <c r="H704" s="260"/>
      <c r="I704" s="260"/>
      <c r="J704" s="260"/>
      <c r="K704" s="260"/>
      <c r="L704" s="260"/>
      <c r="M704" s="260"/>
      <c r="N704" s="260"/>
      <c r="O704" s="260"/>
      <c r="P704" s="260"/>
      <c r="Q704" s="260"/>
      <c r="R704" s="260"/>
      <c r="S704" s="260"/>
      <c r="T704" s="260"/>
      <c r="U704" s="260"/>
      <c r="V704" s="260"/>
      <c r="W704" s="260"/>
      <c r="X704" s="260"/>
      <c r="Y704" s="260"/>
      <c r="Z704" s="260"/>
      <c r="AA704" s="260"/>
      <c r="AB704" s="260"/>
      <c r="AC704" s="260"/>
      <c r="AD704" s="260"/>
    </row>
    <row r="705" spans="1:30" ht="15" thickBot="1">
      <c r="A705" s="260"/>
      <c r="B705" s="260"/>
      <c r="C705" s="260"/>
      <c r="D705" s="260"/>
      <c r="E705" s="260"/>
      <c r="F705" s="260"/>
      <c r="G705" s="260"/>
      <c r="H705" s="260"/>
      <c r="I705" s="260"/>
      <c r="J705" s="260"/>
      <c r="K705" s="260"/>
      <c r="L705" s="260"/>
      <c r="M705" s="260"/>
      <c r="N705" s="260"/>
      <c r="O705" s="260"/>
      <c r="P705" s="260"/>
      <c r="Q705" s="260"/>
      <c r="R705" s="260"/>
      <c r="S705" s="260"/>
      <c r="T705" s="260"/>
      <c r="U705" s="260"/>
      <c r="V705" s="260"/>
      <c r="W705" s="260"/>
      <c r="X705" s="260"/>
      <c r="Y705" s="260"/>
      <c r="Z705" s="260"/>
      <c r="AA705" s="260"/>
      <c r="AB705" s="260"/>
      <c r="AC705" s="260"/>
      <c r="AD705" s="260"/>
    </row>
    <row r="706" spans="1:30" ht="15" thickBot="1">
      <c r="A706" s="260"/>
      <c r="B706" s="260"/>
      <c r="C706" s="260"/>
      <c r="D706" s="260"/>
      <c r="E706" s="260"/>
      <c r="F706" s="260"/>
      <c r="G706" s="260"/>
      <c r="H706" s="260"/>
      <c r="I706" s="260"/>
      <c r="J706" s="260"/>
      <c r="K706" s="260"/>
      <c r="L706" s="260"/>
      <c r="M706" s="260"/>
      <c r="N706" s="260"/>
      <c r="O706" s="260"/>
      <c r="P706" s="260"/>
      <c r="Q706" s="260"/>
      <c r="R706" s="260"/>
      <c r="S706" s="260"/>
      <c r="T706" s="260"/>
      <c r="U706" s="260"/>
      <c r="V706" s="260"/>
      <c r="W706" s="260"/>
      <c r="X706" s="260"/>
      <c r="Y706" s="260"/>
      <c r="Z706" s="260"/>
      <c r="AA706" s="260"/>
      <c r="AB706" s="260"/>
      <c r="AC706" s="260"/>
      <c r="AD706" s="260"/>
    </row>
    <row r="707" spans="1:30" ht="15" thickBot="1">
      <c r="A707" s="260"/>
      <c r="B707" s="260"/>
      <c r="C707" s="260"/>
      <c r="D707" s="260"/>
      <c r="E707" s="260"/>
      <c r="F707" s="260"/>
      <c r="G707" s="260"/>
      <c r="H707" s="260"/>
      <c r="I707" s="260"/>
      <c r="J707" s="260"/>
      <c r="K707" s="260"/>
      <c r="L707" s="260"/>
      <c r="M707" s="260"/>
      <c r="N707" s="260"/>
      <c r="O707" s="260"/>
      <c r="P707" s="260"/>
      <c r="Q707" s="260"/>
      <c r="R707" s="260"/>
      <c r="S707" s="260"/>
      <c r="T707" s="260"/>
      <c r="U707" s="260"/>
      <c r="V707" s="260"/>
      <c r="W707" s="260"/>
      <c r="X707" s="260"/>
      <c r="Y707" s="260"/>
      <c r="Z707" s="260"/>
      <c r="AA707" s="260"/>
      <c r="AB707" s="260"/>
      <c r="AC707" s="260"/>
      <c r="AD707" s="260"/>
    </row>
    <row r="708" spans="1:30" ht="15" thickBot="1">
      <c r="A708" s="260"/>
      <c r="B708" s="260"/>
      <c r="C708" s="260"/>
      <c r="D708" s="260"/>
      <c r="E708" s="260"/>
      <c r="F708" s="260"/>
      <c r="G708" s="260"/>
      <c r="H708" s="260"/>
      <c r="I708" s="260"/>
      <c r="J708" s="260"/>
      <c r="K708" s="260"/>
      <c r="L708" s="260"/>
      <c r="M708" s="260"/>
      <c r="N708" s="260"/>
      <c r="O708" s="260"/>
      <c r="P708" s="260"/>
      <c r="Q708" s="260"/>
      <c r="R708" s="260"/>
      <c r="S708" s="260"/>
      <c r="T708" s="260"/>
      <c r="U708" s="260"/>
      <c r="V708" s="260"/>
      <c r="W708" s="260"/>
      <c r="X708" s="260"/>
      <c r="Y708" s="260"/>
      <c r="Z708" s="260"/>
      <c r="AA708" s="260"/>
      <c r="AB708" s="260"/>
      <c r="AC708" s="260"/>
      <c r="AD708" s="260"/>
    </row>
    <row r="709" spans="1:30" ht="15" thickBot="1">
      <c r="A709" s="260"/>
      <c r="B709" s="260"/>
      <c r="C709" s="260"/>
      <c r="D709" s="260"/>
      <c r="E709" s="260"/>
      <c r="F709" s="260"/>
      <c r="G709" s="260"/>
      <c r="H709" s="260"/>
      <c r="I709" s="260"/>
      <c r="J709" s="260"/>
      <c r="K709" s="260"/>
      <c r="L709" s="260"/>
      <c r="M709" s="260"/>
      <c r="N709" s="260"/>
      <c r="O709" s="260"/>
      <c r="P709" s="260"/>
      <c r="Q709" s="260"/>
      <c r="R709" s="260"/>
      <c r="S709" s="260"/>
      <c r="T709" s="260"/>
      <c r="U709" s="260"/>
      <c r="V709" s="260"/>
      <c r="W709" s="260"/>
      <c r="X709" s="260"/>
      <c r="Y709" s="260"/>
      <c r="Z709" s="260"/>
      <c r="AA709" s="260"/>
      <c r="AB709" s="260"/>
      <c r="AC709" s="260"/>
      <c r="AD709" s="260"/>
    </row>
    <row r="710" spans="1:30" ht="15" thickBot="1">
      <c r="A710" s="260"/>
      <c r="B710" s="260"/>
      <c r="C710" s="260"/>
      <c r="D710" s="260"/>
      <c r="E710" s="260"/>
      <c r="F710" s="260"/>
      <c r="G710" s="260"/>
      <c r="H710" s="260"/>
      <c r="I710" s="260"/>
      <c r="J710" s="260"/>
      <c r="K710" s="260"/>
      <c r="L710" s="260"/>
      <c r="M710" s="260"/>
      <c r="N710" s="260"/>
      <c r="O710" s="260"/>
      <c r="P710" s="260"/>
      <c r="Q710" s="260"/>
      <c r="R710" s="260"/>
      <c r="S710" s="260"/>
      <c r="T710" s="260"/>
      <c r="U710" s="260"/>
      <c r="V710" s="260"/>
      <c r="W710" s="260"/>
      <c r="X710" s="260"/>
      <c r="Y710" s="260"/>
      <c r="Z710" s="260"/>
      <c r="AA710" s="260"/>
      <c r="AB710" s="260"/>
      <c r="AC710" s="260"/>
      <c r="AD710" s="260"/>
    </row>
    <row r="711" spans="1:30" ht="15" thickBot="1">
      <c r="A711" s="260"/>
      <c r="B711" s="260"/>
      <c r="C711" s="260"/>
      <c r="D711" s="260"/>
      <c r="E711" s="260"/>
      <c r="F711" s="260"/>
      <c r="G711" s="260"/>
      <c r="H711" s="260"/>
      <c r="I711" s="260"/>
      <c r="J711" s="260"/>
      <c r="K711" s="260"/>
      <c r="L711" s="260"/>
      <c r="M711" s="260"/>
      <c r="N711" s="260"/>
      <c r="O711" s="260"/>
      <c r="P711" s="260"/>
      <c r="Q711" s="260"/>
      <c r="R711" s="260"/>
      <c r="S711" s="260"/>
      <c r="T711" s="260"/>
      <c r="U711" s="260"/>
      <c r="V711" s="260"/>
      <c r="W711" s="260"/>
      <c r="X711" s="260"/>
      <c r="Y711" s="260"/>
      <c r="Z711" s="260"/>
      <c r="AA711" s="260"/>
      <c r="AB711" s="260"/>
      <c r="AC711" s="260"/>
      <c r="AD711" s="260"/>
    </row>
    <row r="712" spans="1:30" ht="15" thickBot="1">
      <c r="A712" s="260"/>
      <c r="B712" s="260"/>
      <c r="C712" s="260"/>
      <c r="D712" s="260"/>
      <c r="E712" s="260"/>
      <c r="F712" s="260"/>
      <c r="G712" s="260"/>
      <c r="H712" s="260"/>
      <c r="I712" s="260"/>
      <c r="J712" s="260"/>
      <c r="K712" s="260"/>
      <c r="L712" s="260"/>
      <c r="M712" s="260"/>
      <c r="N712" s="260"/>
      <c r="O712" s="260"/>
      <c r="P712" s="260"/>
      <c r="Q712" s="260"/>
      <c r="R712" s="260"/>
      <c r="S712" s="260"/>
      <c r="T712" s="260"/>
      <c r="U712" s="260"/>
      <c r="V712" s="260"/>
      <c r="W712" s="260"/>
      <c r="X712" s="260"/>
      <c r="Y712" s="260"/>
      <c r="Z712" s="260"/>
      <c r="AA712" s="260"/>
      <c r="AB712" s="260"/>
      <c r="AC712" s="260"/>
      <c r="AD712" s="260"/>
    </row>
    <row r="713" spans="1:30" ht="15" thickBot="1">
      <c r="A713" s="260"/>
      <c r="B713" s="260"/>
      <c r="C713" s="260"/>
      <c r="D713" s="260"/>
      <c r="E713" s="260"/>
      <c r="F713" s="260"/>
      <c r="G713" s="260"/>
      <c r="H713" s="260"/>
      <c r="I713" s="260"/>
      <c r="J713" s="260"/>
      <c r="K713" s="260"/>
      <c r="L713" s="260"/>
      <c r="M713" s="260"/>
      <c r="N713" s="260"/>
      <c r="O713" s="260"/>
      <c r="P713" s="260"/>
      <c r="Q713" s="260"/>
      <c r="R713" s="260"/>
      <c r="S713" s="260"/>
      <c r="T713" s="260"/>
      <c r="U713" s="260"/>
      <c r="V713" s="260"/>
      <c r="W713" s="260"/>
      <c r="X713" s="260"/>
      <c r="Y713" s="260"/>
      <c r="Z713" s="260"/>
      <c r="AA713" s="260"/>
      <c r="AB713" s="260"/>
      <c r="AC713" s="260"/>
      <c r="AD713" s="260"/>
    </row>
    <row r="714" spans="1:30" ht="15" thickBot="1">
      <c r="A714" s="260"/>
      <c r="B714" s="260"/>
      <c r="C714" s="260"/>
      <c r="D714" s="260"/>
      <c r="E714" s="260"/>
      <c r="F714" s="260"/>
      <c r="G714" s="260"/>
      <c r="H714" s="260"/>
      <c r="I714" s="260"/>
      <c r="J714" s="260"/>
      <c r="K714" s="260"/>
      <c r="L714" s="260"/>
      <c r="M714" s="260"/>
      <c r="N714" s="260"/>
      <c r="O714" s="260"/>
      <c r="P714" s="260"/>
      <c r="Q714" s="260"/>
      <c r="R714" s="260"/>
      <c r="S714" s="260"/>
      <c r="T714" s="260"/>
      <c r="U714" s="260"/>
      <c r="V714" s="260"/>
      <c r="W714" s="260"/>
      <c r="X714" s="260"/>
      <c r="Y714" s="260"/>
      <c r="Z714" s="260"/>
      <c r="AA714" s="260"/>
      <c r="AB714" s="260"/>
      <c r="AC714" s="260"/>
      <c r="AD714" s="260"/>
    </row>
    <row r="715" spans="1:30" ht="15" thickBot="1">
      <c r="A715" s="260"/>
      <c r="B715" s="260"/>
      <c r="C715" s="260"/>
      <c r="D715" s="260"/>
      <c r="E715" s="260"/>
      <c r="F715" s="260"/>
      <c r="G715" s="260"/>
      <c r="H715" s="260"/>
      <c r="I715" s="260"/>
      <c r="J715" s="260"/>
      <c r="K715" s="260"/>
      <c r="L715" s="260"/>
      <c r="M715" s="260"/>
      <c r="N715" s="260"/>
      <c r="O715" s="260"/>
      <c r="P715" s="260"/>
      <c r="Q715" s="260"/>
      <c r="R715" s="260"/>
      <c r="S715" s="260"/>
      <c r="T715" s="260"/>
      <c r="U715" s="260"/>
      <c r="V715" s="260"/>
      <c r="W715" s="260"/>
      <c r="X715" s="260"/>
      <c r="Y715" s="260"/>
      <c r="Z715" s="260"/>
      <c r="AA715" s="260"/>
      <c r="AB715" s="260"/>
      <c r="AC715" s="260"/>
      <c r="AD715" s="260"/>
    </row>
    <row r="716" spans="1:30" ht="15" thickBot="1">
      <c r="A716" s="260"/>
      <c r="B716" s="260"/>
      <c r="C716" s="260"/>
      <c r="D716" s="260"/>
      <c r="E716" s="260"/>
      <c r="F716" s="260"/>
      <c r="G716" s="260"/>
      <c r="H716" s="260"/>
      <c r="I716" s="260"/>
      <c r="J716" s="260"/>
      <c r="K716" s="260"/>
      <c r="L716" s="260"/>
      <c r="M716" s="260"/>
      <c r="N716" s="260"/>
      <c r="O716" s="260"/>
      <c r="P716" s="260"/>
      <c r="Q716" s="260"/>
      <c r="R716" s="260"/>
      <c r="S716" s="260"/>
      <c r="T716" s="260"/>
      <c r="U716" s="260"/>
      <c r="V716" s="260"/>
      <c r="W716" s="260"/>
      <c r="X716" s="260"/>
      <c r="Y716" s="260"/>
      <c r="Z716" s="260"/>
      <c r="AA716" s="260"/>
      <c r="AB716" s="260"/>
      <c r="AC716" s="260"/>
      <c r="AD716" s="260"/>
    </row>
    <row r="717" spans="1:30" ht="15" thickBot="1">
      <c r="A717" s="260"/>
      <c r="B717" s="260"/>
      <c r="C717" s="260"/>
      <c r="D717" s="260"/>
      <c r="E717" s="260"/>
      <c r="F717" s="260"/>
      <c r="G717" s="260"/>
      <c r="H717" s="260"/>
      <c r="I717" s="260"/>
      <c r="J717" s="260"/>
      <c r="K717" s="260"/>
      <c r="L717" s="260"/>
      <c r="M717" s="260"/>
      <c r="N717" s="260"/>
      <c r="O717" s="260"/>
      <c r="P717" s="260"/>
      <c r="Q717" s="260"/>
      <c r="R717" s="260"/>
      <c r="S717" s="260"/>
      <c r="T717" s="260"/>
      <c r="U717" s="260"/>
      <c r="V717" s="260"/>
      <c r="W717" s="260"/>
      <c r="X717" s="260"/>
      <c r="Y717" s="260"/>
      <c r="Z717" s="260"/>
      <c r="AA717" s="260"/>
      <c r="AB717" s="260"/>
      <c r="AC717" s="260"/>
      <c r="AD717" s="260"/>
    </row>
    <row r="718" spans="1:30" ht="15" thickBot="1">
      <c r="A718" s="260"/>
      <c r="B718" s="260"/>
      <c r="C718" s="260"/>
      <c r="D718" s="260"/>
      <c r="E718" s="260"/>
      <c r="F718" s="260"/>
      <c r="G718" s="260"/>
      <c r="H718" s="260"/>
      <c r="I718" s="260"/>
      <c r="J718" s="260"/>
      <c r="K718" s="260"/>
      <c r="L718" s="260"/>
      <c r="M718" s="260"/>
      <c r="N718" s="260"/>
      <c r="O718" s="260"/>
      <c r="P718" s="260"/>
      <c r="Q718" s="260"/>
      <c r="R718" s="260"/>
      <c r="S718" s="260"/>
      <c r="T718" s="260"/>
      <c r="U718" s="260"/>
      <c r="V718" s="260"/>
      <c r="W718" s="260"/>
      <c r="X718" s="260"/>
      <c r="Y718" s="260"/>
      <c r="Z718" s="260"/>
      <c r="AA718" s="260"/>
      <c r="AB718" s="260"/>
      <c r="AC718" s="260"/>
      <c r="AD718" s="260"/>
    </row>
    <row r="719" spans="1:30" ht="15" thickBot="1">
      <c r="A719" s="260"/>
      <c r="B719" s="260"/>
      <c r="C719" s="260"/>
      <c r="D719" s="260"/>
      <c r="E719" s="260"/>
      <c r="F719" s="260"/>
      <c r="G719" s="260"/>
      <c r="H719" s="260"/>
      <c r="I719" s="260"/>
      <c r="J719" s="260"/>
      <c r="K719" s="260"/>
      <c r="L719" s="260"/>
      <c r="M719" s="260"/>
      <c r="N719" s="260"/>
      <c r="O719" s="260"/>
      <c r="P719" s="260"/>
      <c r="Q719" s="260"/>
      <c r="R719" s="260"/>
      <c r="S719" s="260"/>
      <c r="T719" s="260"/>
      <c r="U719" s="260"/>
      <c r="V719" s="260"/>
      <c r="W719" s="260"/>
      <c r="X719" s="260"/>
      <c r="Y719" s="260"/>
      <c r="Z719" s="260"/>
      <c r="AA719" s="260"/>
      <c r="AB719" s="260"/>
      <c r="AC719" s="260"/>
      <c r="AD719" s="260"/>
    </row>
    <row r="720" spans="1:30" ht="15" thickBot="1">
      <c r="A720" s="260"/>
      <c r="B720" s="260"/>
      <c r="C720" s="260"/>
      <c r="D720" s="260"/>
      <c r="E720" s="260"/>
      <c r="F720" s="260"/>
      <c r="G720" s="260"/>
      <c r="H720" s="260"/>
      <c r="I720" s="260"/>
      <c r="J720" s="260"/>
      <c r="K720" s="260"/>
      <c r="L720" s="260"/>
      <c r="M720" s="260"/>
      <c r="N720" s="260"/>
      <c r="O720" s="260"/>
      <c r="P720" s="260"/>
      <c r="Q720" s="260"/>
      <c r="R720" s="260"/>
      <c r="S720" s="260"/>
      <c r="T720" s="260"/>
      <c r="U720" s="260"/>
      <c r="V720" s="260"/>
      <c r="W720" s="260"/>
      <c r="X720" s="260"/>
      <c r="Y720" s="260"/>
      <c r="Z720" s="260"/>
      <c r="AA720" s="260"/>
      <c r="AB720" s="260"/>
      <c r="AC720" s="260"/>
      <c r="AD720" s="260"/>
    </row>
    <row r="721" spans="1:30" ht="15" thickBot="1">
      <c r="A721" s="260"/>
      <c r="B721" s="260"/>
      <c r="C721" s="260"/>
      <c r="D721" s="260"/>
      <c r="E721" s="260"/>
      <c r="F721" s="260"/>
      <c r="G721" s="260"/>
      <c r="H721" s="260"/>
      <c r="I721" s="260"/>
      <c r="J721" s="260"/>
      <c r="K721" s="260"/>
      <c r="L721" s="260"/>
      <c r="M721" s="260"/>
      <c r="N721" s="260"/>
      <c r="O721" s="260"/>
      <c r="P721" s="260"/>
      <c r="Q721" s="260"/>
      <c r="R721" s="260"/>
      <c r="S721" s="260"/>
      <c r="T721" s="260"/>
      <c r="U721" s="260"/>
      <c r="V721" s="260"/>
      <c r="W721" s="260"/>
      <c r="X721" s="260"/>
      <c r="Y721" s="260"/>
      <c r="Z721" s="260"/>
      <c r="AA721" s="260"/>
      <c r="AB721" s="260"/>
      <c r="AC721" s="260"/>
      <c r="AD721" s="260"/>
    </row>
    <row r="722" spans="1:30" ht="15" thickBot="1">
      <c r="A722" s="260"/>
      <c r="B722" s="260"/>
      <c r="C722" s="260"/>
      <c r="D722" s="260"/>
      <c r="E722" s="260"/>
      <c r="F722" s="260"/>
      <c r="G722" s="260"/>
      <c r="H722" s="260"/>
      <c r="I722" s="260"/>
      <c r="J722" s="260"/>
      <c r="K722" s="260"/>
      <c r="L722" s="260"/>
      <c r="M722" s="260"/>
      <c r="N722" s="260"/>
      <c r="O722" s="260"/>
      <c r="P722" s="260"/>
      <c r="Q722" s="260"/>
      <c r="R722" s="260"/>
      <c r="S722" s="260"/>
      <c r="T722" s="260"/>
      <c r="U722" s="260"/>
      <c r="V722" s="260"/>
      <c r="W722" s="260"/>
      <c r="X722" s="260"/>
      <c r="Y722" s="260"/>
      <c r="Z722" s="260"/>
      <c r="AA722" s="260"/>
      <c r="AB722" s="260"/>
      <c r="AC722" s="260"/>
      <c r="AD722" s="260"/>
    </row>
    <row r="723" spans="1:30" ht="15" thickBot="1">
      <c r="A723" s="260"/>
      <c r="B723" s="260"/>
      <c r="C723" s="260"/>
      <c r="D723" s="260"/>
      <c r="E723" s="260"/>
      <c r="F723" s="260"/>
      <c r="G723" s="260"/>
      <c r="H723" s="260"/>
      <c r="I723" s="260"/>
      <c r="J723" s="260"/>
      <c r="K723" s="260"/>
      <c r="L723" s="260"/>
      <c r="M723" s="260"/>
      <c r="N723" s="260"/>
      <c r="O723" s="260"/>
      <c r="P723" s="260"/>
      <c r="Q723" s="260"/>
      <c r="R723" s="260"/>
      <c r="S723" s="260"/>
      <c r="T723" s="260"/>
      <c r="U723" s="260"/>
      <c r="V723" s="260"/>
      <c r="W723" s="260"/>
      <c r="X723" s="260"/>
      <c r="Y723" s="260"/>
      <c r="Z723" s="260"/>
      <c r="AA723" s="260"/>
      <c r="AB723" s="260"/>
      <c r="AC723" s="260"/>
      <c r="AD723" s="260"/>
    </row>
    <row r="724" spans="1:30" ht="15" thickBot="1">
      <c r="A724" s="260"/>
      <c r="B724" s="260"/>
      <c r="C724" s="260"/>
      <c r="D724" s="260"/>
      <c r="E724" s="260"/>
      <c r="F724" s="260"/>
      <c r="G724" s="260"/>
      <c r="H724" s="260"/>
      <c r="I724" s="260"/>
      <c r="J724" s="260"/>
      <c r="K724" s="260"/>
      <c r="L724" s="260"/>
      <c r="M724" s="260"/>
      <c r="N724" s="260"/>
      <c r="O724" s="260"/>
      <c r="P724" s="260"/>
      <c r="Q724" s="260"/>
      <c r="R724" s="260"/>
      <c r="S724" s="260"/>
      <c r="T724" s="260"/>
      <c r="U724" s="260"/>
      <c r="V724" s="260"/>
      <c r="W724" s="260"/>
      <c r="X724" s="260"/>
      <c r="Y724" s="260"/>
      <c r="Z724" s="260"/>
      <c r="AA724" s="260"/>
      <c r="AB724" s="260"/>
      <c r="AC724" s="260"/>
      <c r="AD724" s="260"/>
    </row>
    <row r="725" spans="1:30" ht="15" thickBot="1">
      <c r="A725" s="260"/>
      <c r="B725" s="260"/>
      <c r="C725" s="260"/>
      <c r="D725" s="260"/>
      <c r="E725" s="260"/>
      <c r="F725" s="260"/>
      <c r="G725" s="260"/>
      <c r="H725" s="260"/>
      <c r="I725" s="260"/>
      <c r="J725" s="260"/>
      <c r="K725" s="260"/>
      <c r="L725" s="260"/>
      <c r="M725" s="260"/>
      <c r="N725" s="260"/>
      <c r="O725" s="260"/>
      <c r="P725" s="260"/>
      <c r="Q725" s="260"/>
      <c r="R725" s="260"/>
      <c r="S725" s="260"/>
      <c r="T725" s="260"/>
      <c r="U725" s="260"/>
      <c r="V725" s="260"/>
      <c r="W725" s="260"/>
      <c r="X725" s="260"/>
      <c r="Y725" s="260"/>
      <c r="Z725" s="260"/>
      <c r="AA725" s="260"/>
      <c r="AB725" s="260"/>
      <c r="AC725" s="260"/>
      <c r="AD725" s="260"/>
    </row>
    <row r="726" spans="1:30" ht="15" thickBot="1">
      <c r="A726" s="260"/>
      <c r="B726" s="260"/>
      <c r="C726" s="260"/>
      <c r="D726" s="260"/>
      <c r="E726" s="260"/>
      <c r="F726" s="260"/>
      <c r="G726" s="260"/>
      <c r="H726" s="260"/>
      <c r="I726" s="260"/>
      <c r="J726" s="260"/>
      <c r="K726" s="260"/>
      <c r="L726" s="260"/>
      <c r="M726" s="260"/>
      <c r="N726" s="260"/>
      <c r="O726" s="260"/>
      <c r="P726" s="260"/>
      <c r="Q726" s="260"/>
      <c r="R726" s="260"/>
      <c r="S726" s="260"/>
      <c r="T726" s="260"/>
      <c r="U726" s="260"/>
      <c r="V726" s="260"/>
      <c r="W726" s="260"/>
      <c r="X726" s="260"/>
      <c r="Y726" s="260"/>
      <c r="Z726" s="260"/>
      <c r="AA726" s="260"/>
      <c r="AB726" s="260"/>
      <c r="AC726" s="260"/>
      <c r="AD726" s="260"/>
    </row>
    <row r="727" spans="1:30" ht="15" thickBot="1">
      <c r="A727" s="260"/>
      <c r="B727" s="260"/>
      <c r="C727" s="260"/>
      <c r="D727" s="260"/>
      <c r="E727" s="260"/>
      <c r="F727" s="260"/>
      <c r="G727" s="260"/>
      <c r="H727" s="260"/>
      <c r="I727" s="260"/>
      <c r="J727" s="260"/>
      <c r="K727" s="260"/>
      <c r="L727" s="260"/>
      <c r="M727" s="260"/>
      <c r="N727" s="260"/>
      <c r="O727" s="260"/>
      <c r="P727" s="260"/>
      <c r="Q727" s="260"/>
      <c r="R727" s="260"/>
      <c r="S727" s="260"/>
      <c r="T727" s="260"/>
      <c r="U727" s="260"/>
      <c r="V727" s="260"/>
      <c r="W727" s="260"/>
      <c r="X727" s="260"/>
      <c r="Y727" s="260"/>
      <c r="Z727" s="260"/>
      <c r="AA727" s="260"/>
      <c r="AB727" s="260"/>
      <c r="AC727" s="260"/>
      <c r="AD727" s="260"/>
    </row>
    <row r="728" spans="1:30" ht="15" thickBot="1">
      <c r="A728" s="260"/>
      <c r="B728" s="260"/>
      <c r="C728" s="260"/>
      <c r="D728" s="260"/>
      <c r="E728" s="260"/>
      <c r="F728" s="260"/>
      <c r="G728" s="260"/>
      <c r="H728" s="260"/>
      <c r="I728" s="260"/>
      <c r="J728" s="260"/>
      <c r="K728" s="260"/>
      <c r="L728" s="260"/>
      <c r="M728" s="260"/>
      <c r="N728" s="260"/>
      <c r="O728" s="260"/>
      <c r="P728" s="260"/>
      <c r="Q728" s="260"/>
      <c r="R728" s="260"/>
      <c r="S728" s="260"/>
      <c r="T728" s="260"/>
      <c r="U728" s="260"/>
      <c r="V728" s="260"/>
      <c r="W728" s="260"/>
      <c r="X728" s="260"/>
      <c r="Y728" s="260"/>
      <c r="Z728" s="260"/>
      <c r="AA728" s="260"/>
      <c r="AB728" s="260"/>
      <c r="AC728" s="260"/>
      <c r="AD728" s="260"/>
    </row>
    <row r="729" spans="1:30" ht="15" thickBot="1">
      <c r="A729" s="260"/>
      <c r="B729" s="260"/>
      <c r="C729" s="260"/>
      <c r="D729" s="260"/>
      <c r="E729" s="260"/>
      <c r="F729" s="260"/>
      <c r="G729" s="260"/>
      <c r="H729" s="260"/>
      <c r="I729" s="260"/>
      <c r="J729" s="260"/>
      <c r="K729" s="260"/>
      <c r="L729" s="260"/>
      <c r="M729" s="260"/>
      <c r="N729" s="260"/>
      <c r="O729" s="260"/>
      <c r="P729" s="260"/>
      <c r="Q729" s="260"/>
      <c r="R729" s="260"/>
      <c r="S729" s="260"/>
      <c r="T729" s="260"/>
      <c r="U729" s="260"/>
      <c r="V729" s="260"/>
      <c r="W729" s="260"/>
      <c r="X729" s="260"/>
      <c r="Y729" s="260"/>
      <c r="Z729" s="260"/>
      <c r="AA729" s="260"/>
      <c r="AB729" s="260"/>
      <c r="AC729" s="260"/>
      <c r="AD729" s="260"/>
    </row>
    <row r="730" spans="1:30" ht="15" thickBot="1">
      <c r="A730" s="260"/>
      <c r="B730" s="260"/>
      <c r="C730" s="260"/>
      <c r="D730" s="260"/>
      <c r="E730" s="260"/>
      <c r="F730" s="260"/>
      <c r="G730" s="260"/>
      <c r="H730" s="260"/>
      <c r="I730" s="260"/>
      <c r="J730" s="260"/>
      <c r="K730" s="260"/>
      <c r="L730" s="260"/>
      <c r="M730" s="260"/>
      <c r="N730" s="260"/>
      <c r="O730" s="260"/>
      <c r="P730" s="260"/>
      <c r="Q730" s="260"/>
      <c r="R730" s="260"/>
      <c r="S730" s="260"/>
      <c r="T730" s="260"/>
      <c r="U730" s="260"/>
      <c r="V730" s="260"/>
      <c r="W730" s="260"/>
      <c r="X730" s="260"/>
      <c r="Y730" s="260"/>
      <c r="Z730" s="260"/>
      <c r="AA730" s="260"/>
      <c r="AB730" s="260"/>
      <c r="AC730" s="260"/>
      <c r="AD730" s="260"/>
    </row>
    <row r="731" spans="1:30" ht="15" thickBot="1">
      <c r="A731" s="260"/>
      <c r="B731" s="260"/>
      <c r="C731" s="260"/>
      <c r="D731" s="260"/>
      <c r="E731" s="260"/>
      <c r="F731" s="260"/>
      <c r="G731" s="260"/>
      <c r="H731" s="260"/>
      <c r="I731" s="260"/>
      <c r="J731" s="260"/>
      <c r="K731" s="260"/>
      <c r="L731" s="260"/>
      <c r="M731" s="260"/>
      <c r="N731" s="260"/>
      <c r="O731" s="260"/>
      <c r="P731" s="260"/>
      <c r="Q731" s="260"/>
      <c r="R731" s="260"/>
      <c r="S731" s="260"/>
      <c r="T731" s="260"/>
      <c r="U731" s="260"/>
      <c r="V731" s="260"/>
      <c r="W731" s="260"/>
      <c r="X731" s="260"/>
      <c r="Y731" s="260"/>
      <c r="Z731" s="260"/>
      <c r="AA731" s="260"/>
      <c r="AB731" s="260"/>
      <c r="AC731" s="260"/>
      <c r="AD731" s="260"/>
    </row>
    <row r="732" spans="1:30" ht="15" thickBot="1">
      <c r="A732" s="260"/>
      <c r="B732" s="260"/>
      <c r="C732" s="260"/>
      <c r="D732" s="260"/>
      <c r="E732" s="260"/>
      <c r="F732" s="260"/>
      <c r="G732" s="260"/>
      <c r="H732" s="260"/>
      <c r="I732" s="260"/>
      <c r="J732" s="260"/>
      <c r="K732" s="260"/>
      <c r="L732" s="260"/>
      <c r="M732" s="260"/>
      <c r="N732" s="260"/>
      <c r="O732" s="260"/>
      <c r="P732" s="260"/>
      <c r="Q732" s="260"/>
      <c r="R732" s="260"/>
      <c r="S732" s="260"/>
      <c r="T732" s="260"/>
      <c r="U732" s="260"/>
      <c r="V732" s="260"/>
      <c r="W732" s="260"/>
      <c r="X732" s="260"/>
      <c r="Y732" s="260"/>
      <c r="Z732" s="260"/>
      <c r="AA732" s="260"/>
      <c r="AB732" s="260"/>
      <c r="AC732" s="260"/>
      <c r="AD732" s="260"/>
    </row>
    <row r="733" spans="1:30" ht="15" thickBot="1">
      <c r="A733" s="260"/>
      <c r="B733" s="260"/>
      <c r="C733" s="260"/>
      <c r="D733" s="260"/>
      <c r="E733" s="260"/>
      <c r="F733" s="260"/>
      <c r="G733" s="260"/>
      <c r="H733" s="260"/>
      <c r="I733" s="260"/>
      <c r="J733" s="260"/>
      <c r="K733" s="260"/>
      <c r="L733" s="260"/>
      <c r="M733" s="260"/>
      <c r="N733" s="260"/>
      <c r="O733" s="260"/>
      <c r="P733" s="260"/>
      <c r="Q733" s="260"/>
      <c r="R733" s="260"/>
      <c r="S733" s="260"/>
      <c r="T733" s="260"/>
      <c r="U733" s="260"/>
      <c r="V733" s="260"/>
      <c r="W733" s="260"/>
      <c r="X733" s="260"/>
      <c r="Y733" s="260"/>
      <c r="Z733" s="260"/>
      <c r="AA733" s="260"/>
      <c r="AB733" s="260"/>
      <c r="AC733" s="260"/>
      <c r="AD733" s="260"/>
    </row>
    <row r="734" spans="1:30" ht="15" thickBot="1">
      <c r="A734" s="260"/>
      <c r="B734" s="260"/>
      <c r="C734" s="260"/>
      <c r="D734" s="260"/>
      <c r="E734" s="260"/>
      <c r="F734" s="260"/>
      <c r="G734" s="260"/>
      <c r="H734" s="260"/>
      <c r="I734" s="260"/>
      <c r="J734" s="260"/>
      <c r="K734" s="260"/>
      <c r="L734" s="260"/>
      <c r="M734" s="260"/>
      <c r="N734" s="260"/>
      <c r="O734" s="260"/>
      <c r="P734" s="260"/>
      <c r="Q734" s="260"/>
      <c r="R734" s="260"/>
      <c r="S734" s="260"/>
      <c r="T734" s="260"/>
      <c r="U734" s="260"/>
      <c r="V734" s="260"/>
      <c r="W734" s="260"/>
      <c r="X734" s="260"/>
      <c r="Y734" s="260"/>
      <c r="Z734" s="260"/>
      <c r="AA734" s="260"/>
      <c r="AB734" s="260"/>
      <c r="AC734" s="260"/>
      <c r="AD734" s="260"/>
    </row>
    <row r="735" spans="1:30" ht="15" thickBot="1">
      <c r="A735" s="260"/>
      <c r="B735" s="260"/>
      <c r="C735" s="260"/>
      <c r="D735" s="260"/>
      <c r="E735" s="260"/>
      <c r="F735" s="260"/>
      <c r="G735" s="260"/>
      <c r="H735" s="260"/>
      <c r="I735" s="260"/>
      <c r="J735" s="260"/>
      <c r="K735" s="260"/>
      <c r="L735" s="260"/>
      <c r="M735" s="260"/>
      <c r="N735" s="260"/>
      <c r="O735" s="260"/>
      <c r="P735" s="260"/>
      <c r="Q735" s="260"/>
      <c r="R735" s="260"/>
      <c r="S735" s="260"/>
      <c r="T735" s="260"/>
      <c r="U735" s="260"/>
      <c r="V735" s="260"/>
      <c r="W735" s="260"/>
      <c r="X735" s="260"/>
      <c r="Y735" s="260"/>
      <c r="Z735" s="260"/>
      <c r="AA735" s="260"/>
      <c r="AB735" s="260"/>
      <c r="AC735" s="260"/>
      <c r="AD735" s="260"/>
    </row>
    <row r="736" spans="1:30" ht="15" thickBot="1">
      <c r="A736" s="260"/>
      <c r="B736" s="260"/>
      <c r="C736" s="260"/>
      <c r="D736" s="260"/>
      <c r="E736" s="260"/>
      <c r="F736" s="260"/>
      <c r="G736" s="260"/>
      <c r="H736" s="260"/>
      <c r="I736" s="260"/>
      <c r="J736" s="260"/>
      <c r="K736" s="260"/>
      <c r="L736" s="260"/>
      <c r="M736" s="260"/>
      <c r="N736" s="260"/>
      <c r="O736" s="260"/>
      <c r="P736" s="260"/>
      <c r="Q736" s="260"/>
      <c r="R736" s="260"/>
      <c r="S736" s="260"/>
      <c r="T736" s="260"/>
      <c r="U736" s="260"/>
      <c r="V736" s="260"/>
      <c r="W736" s="260"/>
      <c r="X736" s="260"/>
      <c r="Y736" s="260"/>
      <c r="Z736" s="260"/>
      <c r="AA736" s="260"/>
      <c r="AB736" s="260"/>
      <c r="AC736" s="260"/>
      <c r="AD736" s="260"/>
    </row>
    <row r="737" spans="1:30" ht="15" thickBot="1">
      <c r="A737" s="260"/>
      <c r="B737" s="260"/>
      <c r="C737" s="260"/>
      <c r="D737" s="260"/>
      <c r="E737" s="260"/>
      <c r="F737" s="260"/>
      <c r="G737" s="260"/>
      <c r="H737" s="260"/>
      <c r="I737" s="260"/>
      <c r="J737" s="260"/>
      <c r="K737" s="260"/>
      <c r="L737" s="260"/>
      <c r="M737" s="260"/>
      <c r="N737" s="260"/>
      <c r="O737" s="260"/>
      <c r="P737" s="260"/>
      <c r="Q737" s="260"/>
      <c r="R737" s="260"/>
      <c r="S737" s="260"/>
      <c r="T737" s="260"/>
      <c r="U737" s="260"/>
      <c r="V737" s="260"/>
      <c r="W737" s="260"/>
      <c r="X737" s="260"/>
      <c r="Y737" s="260"/>
      <c r="Z737" s="260"/>
      <c r="AA737" s="260"/>
      <c r="AB737" s="260"/>
      <c r="AC737" s="260"/>
      <c r="AD737" s="260"/>
    </row>
    <row r="738" spans="1:30" ht="15" thickBot="1">
      <c r="A738" s="260"/>
      <c r="B738" s="260"/>
      <c r="C738" s="260"/>
      <c r="D738" s="260"/>
      <c r="E738" s="260"/>
      <c r="F738" s="260"/>
      <c r="G738" s="260"/>
      <c r="H738" s="260"/>
      <c r="I738" s="260"/>
      <c r="J738" s="260"/>
      <c r="K738" s="260"/>
      <c r="L738" s="260"/>
      <c r="M738" s="260"/>
      <c r="N738" s="260"/>
      <c r="O738" s="260"/>
      <c r="P738" s="260"/>
      <c r="Q738" s="260"/>
      <c r="R738" s="260"/>
      <c r="S738" s="260"/>
      <c r="T738" s="260"/>
      <c r="U738" s="260"/>
      <c r="V738" s="260"/>
      <c r="W738" s="260"/>
      <c r="X738" s="260"/>
      <c r="Y738" s="260"/>
      <c r="Z738" s="260"/>
      <c r="AA738" s="260"/>
      <c r="AB738" s="260"/>
      <c r="AC738" s="260"/>
      <c r="AD738" s="260"/>
    </row>
    <row r="739" spans="1:30" ht="15" thickBot="1">
      <c r="A739" s="260"/>
      <c r="B739" s="260"/>
      <c r="C739" s="260"/>
      <c r="D739" s="260"/>
      <c r="E739" s="260"/>
      <c r="F739" s="260"/>
      <c r="G739" s="260"/>
      <c r="H739" s="260"/>
      <c r="I739" s="260"/>
      <c r="J739" s="260"/>
      <c r="K739" s="260"/>
      <c r="L739" s="260"/>
      <c r="M739" s="260"/>
      <c r="N739" s="260"/>
      <c r="O739" s="260"/>
      <c r="P739" s="260"/>
      <c r="Q739" s="260"/>
      <c r="R739" s="260"/>
      <c r="S739" s="260"/>
      <c r="T739" s="260"/>
      <c r="U739" s="260"/>
      <c r="V739" s="260"/>
      <c r="W739" s="260"/>
      <c r="X739" s="260"/>
      <c r="Y739" s="260"/>
      <c r="Z739" s="260"/>
      <c r="AA739" s="260"/>
      <c r="AB739" s="260"/>
      <c r="AC739" s="260"/>
      <c r="AD739" s="260"/>
    </row>
    <row r="740" spans="1:30" ht="15" thickBot="1">
      <c r="A740" s="260"/>
      <c r="B740" s="260"/>
      <c r="C740" s="260"/>
      <c r="D740" s="260"/>
      <c r="E740" s="260"/>
      <c r="F740" s="260"/>
      <c r="G740" s="260"/>
      <c r="H740" s="260"/>
      <c r="I740" s="260"/>
      <c r="J740" s="260"/>
      <c r="K740" s="260"/>
      <c r="L740" s="260"/>
      <c r="M740" s="260"/>
      <c r="N740" s="260"/>
      <c r="O740" s="260"/>
      <c r="P740" s="260"/>
      <c r="Q740" s="260"/>
      <c r="R740" s="260"/>
      <c r="S740" s="260"/>
      <c r="T740" s="260"/>
      <c r="U740" s="260"/>
      <c r="V740" s="260"/>
      <c r="W740" s="260"/>
      <c r="X740" s="260"/>
      <c r="Y740" s="260"/>
      <c r="Z740" s="260"/>
      <c r="AA740" s="260"/>
      <c r="AB740" s="260"/>
      <c r="AC740" s="260"/>
      <c r="AD740" s="260"/>
    </row>
    <row r="741" spans="1:30" ht="15" thickBot="1">
      <c r="A741" s="260"/>
      <c r="B741" s="260"/>
      <c r="C741" s="260"/>
      <c r="D741" s="260"/>
      <c r="E741" s="260"/>
      <c r="F741" s="260"/>
      <c r="G741" s="260"/>
      <c r="H741" s="260"/>
      <c r="I741" s="260"/>
      <c r="J741" s="260"/>
      <c r="K741" s="260"/>
      <c r="L741" s="260"/>
      <c r="M741" s="260"/>
      <c r="N741" s="260"/>
      <c r="O741" s="260"/>
      <c r="P741" s="260"/>
      <c r="Q741" s="260"/>
      <c r="R741" s="260"/>
      <c r="S741" s="260"/>
      <c r="T741" s="260"/>
      <c r="U741" s="260"/>
      <c r="V741" s="260"/>
      <c r="W741" s="260"/>
      <c r="X741" s="260"/>
      <c r="Y741" s="260"/>
      <c r="Z741" s="260"/>
      <c r="AA741" s="260"/>
      <c r="AB741" s="260"/>
      <c r="AC741" s="260"/>
      <c r="AD741" s="260"/>
    </row>
    <row r="742" spans="1:30" ht="15" thickBot="1">
      <c r="A742" s="260"/>
      <c r="B742" s="260"/>
      <c r="C742" s="260"/>
      <c r="D742" s="260"/>
      <c r="E742" s="260"/>
      <c r="F742" s="260"/>
      <c r="G742" s="260"/>
      <c r="H742" s="260"/>
      <c r="I742" s="260"/>
      <c r="J742" s="260"/>
      <c r="K742" s="260"/>
      <c r="L742" s="260"/>
      <c r="M742" s="260"/>
      <c r="N742" s="260"/>
      <c r="O742" s="260"/>
      <c r="P742" s="260"/>
      <c r="Q742" s="260"/>
      <c r="R742" s="260"/>
      <c r="S742" s="260"/>
      <c r="T742" s="260"/>
      <c r="U742" s="260"/>
      <c r="V742" s="260"/>
      <c r="W742" s="260"/>
      <c r="X742" s="260"/>
      <c r="Y742" s="260"/>
      <c r="Z742" s="260"/>
      <c r="AA742" s="260"/>
      <c r="AB742" s="260"/>
      <c r="AC742" s="260"/>
      <c r="AD742" s="260"/>
    </row>
    <row r="743" spans="1:30" ht="15" thickBot="1">
      <c r="A743" s="260"/>
      <c r="B743" s="260"/>
      <c r="C743" s="260"/>
      <c r="D743" s="260"/>
      <c r="E743" s="260"/>
      <c r="F743" s="260"/>
      <c r="G743" s="260"/>
      <c r="H743" s="260"/>
      <c r="I743" s="260"/>
      <c r="J743" s="260"/>
      <c r="K743" s="260"/>
      <c r="L743" s="260"/>
      <c r="M743" s="260"/>
      <c r="N743" s="260"/>
      <c r="O743" s="260"/>
      <c r="P743" s="260"/>
      <c r="Q743" s="260"/>
      <c r="R743" s="260"/>
      <c r="S743" s="260"/>
      <c r="T743" s="260"/>
      <c r="U743" s="260"/>
      <c r="V743" s="260"/>
      <c r="W743" s="260"/>
      <c r="X743" s="260"/>
      <c r="Y743" s="260"/>
      <c r="Z743" s="260"/>
      <c r="AA743" s="260"/>
      <c r="AB743" s="260"/>
      <c r="AC743" s="260"/>
      <c r="AD743" s="260"/>
    </row>
    <row r="744" spans="1:30" ht="15" thickBot="1">
      <c r="A744" s="260"/>
      <c r="B744" s="260"/>
      <c r="C744" s="260"/>
      <c r="D744" s="260"/>
      <c r="E744" s="260"/>
      <c r="F744" s="260"/>
      <c r="G744" s="260"/>
      <c r="H744" s="260"/>
      <c r="I744" s="260"/>
      <c r="J744" s="260"/>
      <c r="K744" s="260"/>
      <c r="L744" s="260"/>
      <c r="M744" s="260"/>
      <c r="N744" s="260"/>
      <c r="O744" s="260"/>
      <c r="P744" s="260"/>
      <c r="Q744" s="260"/>
      <c r="R744" s="260"/>
      <c r="S744" s="260"/>
      <c r="T744" s="260"/>
      <c r="U744" s="260"/>
      <c r="V744" s="260"/>
      <c r="W744" s="260"/>
      <c r="X744" s="260"/>
      <c r="Y744" s="260"/>
      <c r="Z744" s="260"/>
      <c r="AA744" s="260"/>
      <c r="AB744" s="260"/>
      <c r="AC744" s="260"/>
      <c r="AD744" s="260"/>
    </row>
    <row r="745" spans="1:30" ht="15" thickBot="1">
      <c r="A745" s="260"/>
      <c r="B745" s="260"/>
      <c r="C745" s="260"/>
      <c r="D745" s="260"/>
      <c r="E745" s="260"/>
      <c r="F745" s="260"/>
      <c r="G745" s="260"/>
      <c r="H745" s="260"/>
      <c r="I745" s="260"/>
      <c r="J745" s="260"/>
      <c r="K745" s="260"/>
      <c r="L745" s="260"/>
      <c r="M745" s="260"/>
      <c r="N745" s="260"/>
      <c r="O745" s="260"/>
      <c r="P745" s="260"/>
      <c r="Q745" s="260"/>
      <c r="R745" s="260"/>
      <c r="S745" s="260"/>
      <c r="T745" s="260"/>
      <c r="U745" s="260"/>
      <c r="V745" s="260"/>
      <c r="W745" s="260"/>
      <c r="X745" s="260"/>
      <c r="Y745" s="260"/>
      <c r="Z745" s="260"/>
      <c r="AA745" s="260"/>
      <c r="AB745" s="260"/>
      <c r="AC745" s="260"/>
      <c r="AD745" s="260"/>
    </row>
    <row r="746" spans="1:30" ht="15" thickBot="1">
      <c r="A746" s="260"/>
      <c r="B746" s="260"/>
      <c r="C746" s="260"/>
      <c r="D746" s="260"/>
      <c r="E746" s="260"/>
      <c r="F746" s="260"/>
      <c r="G746" s="260"/>
      <c r="H746" s="260"/>
      <c r="I746" s="260"/>
      <c r="J746" s="260"/>
      <c r="K746" s="260"/>
      <c r="L746" s="260"/>
      <c r="M746" s="260"/>
      <c r="N746" s="260"/>
      <c r="O746" s="260"/>
      <c r="P746" s="260"/>
      <c r="Q746" s="260"/>
      <c r="R746" s="260"/>
      <c r="S746" s="260"/>
      <c r="T746" s="260"/>
      <c r="U746" s="260"/>
      <c r="V746" s="260"/>
      <c r="W746" s="260"/>
      <c r="X746" s="260"/>
      <c r="Y746" s="260"/>
      <c r="Z746" s="260"/>
      <c r="AA746" s="260"/>
      <c r="AB746" s="260"/>
      <c r="AC746" s="260"/>
      <c r="AD746" s="260"/>
    </row>
    <row r="747" spans="1:30" ht="15" thickBot="1">
      <c r="A747" s="260"/>
      <c r="B747" s="260"/>
      <c r="C747" s="260"/>
      <c r="D747" s="260"/>
      <c r="E747" s="260"/>
      <c r="F747" s="260"/>
      <c r="G747" s="260"/>
      <c r="H747" s="260"/>
      <c r="I747" s="260"/>
      <c r="J747" s="260"/>
      <c r="K747" s="260"/>
      <c r="L747" s="260"/>
      <c r="M747" s="260"/>
      <c r="N747" s="260"/>
      <c r="O747" s="260"/>
      <c r="P747" s="260"/>
      <c r="Q747" s="260"/>
      <c r="R747" s="260"/>
      <c r="S747" s="260"/>
      <c r="T747" s="260"/>
      <c r="U747" s="260"/>
      <c r="V747" s="260"/>
      <c r="W747" s="260"/>
      <c r="X747" s="260"/>
      <c r="Y747" s="260"/>
      <c r="Z747" s="260"/>
      <c r="AA747" s="260"/>
      <c r="AB747" s="260"/>
      <c r="AC747" s="260"/>
      <c r="AD747" s="260"/>
    </row>
    <row r="748" spans="1:30" ht="15" thickBot="1">
      <c r="A748" s="260"/>
      <c r="B748" s="260"/>
      <c r="C748" s="260"/>
      <c r="D748" s="260"/>
      <c r="E748" s="260"/>
      <c r="F748" s="260"/>
      <c r="G748" s="260"/>
      <c r="H748" s="260"/>
      <c r="I748" s="260"/>
      <c r="J748" s="260"/>
      <c r="K748" s="260"/>
      <c r="L748" s="260"/>
      <c r="M748" s="260"/>
      <c r="N748" s="260"/>
      <c r="O748" s="260"/>
      <c r="P748" s="260"/>
      <c r="Q748" s="260"/>
      <c r="R748" s="260"/>
      <c r="S748" s="260"/>
      <c r="T748" s="260"/>
      <c r="U748" s="260"/>
      <c r="V748" s="260"/>
      <c r="W748" s="260"/>
      <c r="X748" s="260"/>
      <c r="Y748" s="260"/>
      <c r="Z748" s="260"/>
      <c r="AA748" s="260"/>
      <c r="AB748" s="260"/>
      <c r="AC748" s="260"/>
      <c r="AD748" s="260"/>
    </row>
    <row r="749" spans="1:30" ht="15" thickBot="1">
      <c r="A749" s="260"/>
      <c r="B749" s="260"/>
      <c r="C749" s="260"/>
      <c r="D749" s="260"/>
      <c r="E749" s="260"/>
      <c r="F749" s="260"/>
      <c r="G749" s="260"/>
      <c r="H749" s="260"/>
      <c r="I749" s="260"/>
      <c r="J749" s="260"/>
      <c r="K749" s="260"/>
      <c r="L749" s="260"/>
      <c r="M749" s="260"/>
      <c r="N749" s="260"/>
      <c r="O749" s="260"/>
      <c r="P749" s="260"/>
      <c r="Q749" s="260"/>
      <c r="R749" s="260"/>
      <c r="S749" s="260"/>
      <c r="T749" s="260"/>
      <c r="U749" s="260"/>
      <c r="V749" s="260"/>
      <c r="W749" s="260"/>
      <c r="X749" s="260"/>
      <c r="Y749" s="260"/>
      <c r="Z749" s="260"/>
      <c r="AA749" s="260"/>
      <c r="AB749" s="260"/>
      <c r="AC749" s="260"/>
      <c r="AD749" s="260"/>
    </row>
    <row r="750" spans="1:30" ht="15" thickBot="1">
      <c r="A750" s="260"/>
      <c r="B750" s="260"/>
      <c r="C750" s="260"/>
      <c r="D750" s="260"/>
      <c r="E750" s="260"/>
      <c r="F750" s="260"/>
      <c r="G750" s="260"/>
      <c r="H750" s="260"/>
      <c r="I750" s="260"/>
      <c r="J750" s="260"/>
      <c r="K750" s="260"/>
      <c r="L750" s="260"/>
      <c r="M750" s="260"/>
      <c r="N750" s="260"/>
      <c r="O750" s="260"/>
      <c r="P750" s="260"/>
      <c r="Q750" s="260"/>
      <c r="R750" s="260"/>
      <c r="S750" s="260"/>
      <c r="T750" s="260"/>
      <c r="U750" s="260"/>
      <c r="V750" s="260"/>
      <c r="W750" s="260"/>
      <c r="X750" s="260"/>
      <c r="Y750" s="260"/>
      <c r="Z750" s="260"/>
      <c r="AA750" s="260"/>
      <c r="AB750" s="260"/>
      <c r="AC750" s="260"/>
      <c r="AD750" s="260"/>
    </row>
    <row r="751" spans="1:30" ht="15" thickBot="1">
      <c r="A751" s="260"/>
      <c r="B751" s="260"/>
      <c r="C751" s="260"/>
      <c r="D751" s="260"/>
      <c r="E751" s="260"/>
      <c r="F751" s="260"/>
      <c r="G751" s="260"/>
      <c r="H751" s="260"/>
      <c r="I751" s="260"/>
      <c r="J751" s="260"/>
      <c r="K751" s="260"/>
      <c r="L751" s="260"/>
      <c r="M751" s="260"/>
      <c r="N751" s="260"/>
      <c r="O751" s="260"/>
      <c r="P751" s="260"/>
      <c r="Q751" s="260"/>
      <c r="R751" s="260"/>
      <c r="S751" s="260"/>
      <c r="T751" s="260"/>
      <c r="U751" s="260"/>
      <c r="V751" s="260"/>
      <c r="W751" s="260"/>
      <c r="X751" s="260"/>
      <c r="Y751" s="260"/>
      <c r="Z751" s="260"/>
      <c r="AA751" s="260"/>
      <c r="AB751" s="260"/>
      <c r="AC751" s="260"/>
      <c r="AD751" s="260"/>
    </row>
    <row r="752" spans="1:30" ht="15" thickBot="1">
      <c r="A752" s="260"/>
      <c r="B752" s="260"/>
      <c r="C752" s="260"/>
      <c r="D752" s="260"/>
      <c r="E752" s="260"/>
      <c r="F752" s="260"/>
      <c r="G752" s="260"/>
      <c r="H752" s="260"/>
      <c r="I752" s="260"/>
      <c r="J752" s="260"/>
      <c r="K752" s="260"/>
      <c r="L752" s="260"/>
      <c r="M752" s="260"/>
      <c r="N752" s="260"/>
      <c r="O752" s="260"/>
      <c r="P752" s="260"/>
      <c r="Q752" s="260"/>
      <c r="R752" s="260"/>
      <c r="S752" s="260"/>
      <c r="T752" s="260"/>
      <c r="U752" s="260"/>
      <c r="V752" s="260"/>
      <c r="W752" s="260"/>
      <c r="X752" s="260"/>
      <c r="Y752" s="260"/>
      <c r="Z752" s="260"/>
      <c r="AA752" s="260"/>
      <c r="AB752" s="260"/>
      <c r="AC752" s="260"/>
      <c r="AD752" s="260"/>
    </row>
    <row r="753" spans="1:30" ht="15" thickBot="1">
      <c r="A753" s="260"/>
      <c r="B753" s="260"/>
      <c r="C753" s="260"/>
      <c r="D753" s="260"/>
      <c r="E753" s="260"/>
      <c r="F753" s="260"/>
      <c r="G753" s="260"/>
      <c r="H753" s="260"/>
      <c r="I753" s="260"/>
      <c r="J753" s="260"/>
      <c r="K753" s="260"/>
      <c r="L753" s="260"/>
      <c r="M753" s="260"/>
      <c r="N753" s="260"/>
      <c r="O753" s="260"/>
      <c r="P753" s="260"/>
      <c r="Q753" s="260"/>
      <c r="R753" s="260"/>
      <c r="S753" s="260"/>
      <c r="T753" s="260"/>
      <c r="U753" s="260"/>
      <c r="V753" s="260"/>
      <c r="W753" s="260"/>
      <c r="X753" s="260"/>
      <c r="Y753" s="260"/>
      <c r="Z753" s="260"/>
      <c r="AA753" s="260"/>
      <c r="AB753" s="260"/>
      <c r="AC753" s="260"/>
      <c r="AD753" s="260"/>
    </row>
    <row r="754" spans="1:30" ht="15" thickBot="1">
      <c r="A754" s="260"/>
      <c r="B754" s="260"/>
      <c r="C754" s="260"/>
      <c r="D754" s="260"/>
      <c r="E754" s="260"/>
      <c r="F754" s="260"/>
      <c r="G754" s="260"/>
      <c r="H754" s="260"/>
      <c r="I754" s="260"/>
      <c r="J754" s="260"/>
      <c r="K754" s="260"/>
      <c r="L754" s="260"/>
      <c r="M754" s="260"/>
      <c r="N754" s="260"/>
      <c r="O754" s="260"/>
      <c r="P754" s="260"/>
      <c r="Q754" s="260"/>
      <c r="R754" s="260"/>
      <c r="S754" s="260"/>
      <c r="T754" s="260"/>
      <c r="U754" s="260"/>
      <c r="V754" s="260"/>
      <c r="W754" s="260"/>
      <c r="X754" s="260"/>
      <c r="Y754" s="260"/>
      <c r="Z754" s="260"/>
      <c r="AA754" s="260"/>
      <c r="AB754" s="260"/>
      <c r="AC754" s="260"/>
      <c r="AD754" s="260"/>
    </row>
    <row r="755" spans="1:30" ht="15" thickBot="1">
      <c r="A755" s="260"/>
      <c r="B755" s="260"/>
      <c r="C755" s="260"/>
      <c r="D755" s="260"/>
      <c r="E755" s="260"/>
      <c r="F755" s="260"/>
      <c r="G755" s="260"/>
      <c r="H755" s="260"/>
      <c r="I755" s="260"/>
      <c r="J755" s="260"/>
      <c r="K755" s="260"/>
      <c r="L755" s="260"/>
      <c r="M755" s="260"/>
      <c r="N755" s="260"/>
      <c r="O755" s="260"/>
      <c r="P755" s="260"/>
      <c r="Q755" s="260"/>
      <c r="R755" s="260"/>
      <c r="S755" s="260"/>
      <c r="T755" s="260"/>
      <c r="U755" s="260"/>
      <c r="V755" s="260"/>
      <c r="W755" s="260"/>
      <c r="X755" s="260"/>
      <c r="Y755" s="260"/>
      <c r="Z755" s="260"/>
      <c r="AA755" s="260"/>
      <c r="AB755" s="260"/>
      <c r="AC755" s="260"/>
      <c r="AD755" s="260"/>
    </row>
    <row r="756" spans="1:30" ht="15" thickBot="1">
      <c r="A756" s="260"/>
      <c r="B756" s="260"/>
      <c r="C756" s="260"/>
      <c r="D756" s="260"/>
      <c r="E756" s="260"/>
      <c r="F756" s="260"/>
      <c r="G756" s="260"/>
      <c r="H756" s="260"/>
      <c r="I756" s="260"/>
      <c r="J756" s="260"/>
      <c r="K756" s="260"/>
      <c r="L756" s="260"/>
      <c r="M756" s="260"/>
      <c r="N756" s="260"/>
      <c r="O756" s="260"/>
      <c r="P756" s="260"/>
      <c r="Q756" s="260"/>
      <c r="R756" s="260"/>
      <c r="S756" s="260"/>
      <c r="T756" s="260"/>
      <c r="U756" s="260"/>
      <c r="V756" s="260"/>
      <c r="W756" s="260"/>
      <c r="X756" s="260"/>
      <c r="Y756" s="260"/>
      <c r="Z756" s="260"/>
      <c r="AA756" s="260"/>
      <c r="AB756" s="260"/>
      <c r="AC756" s="260"/>
      <c r="AD756" s="260"/>
    </row>
    <row r="757" spans="1:30" ht="15" thickBot="1">
      <c r="A757" s="260"/>
      <c r="B757" s="260"/>
      <c r="C757" s="260"/>
      <c r="D757" s="260"/>
      <c r="E757" s="260"/>
      <c r="F757" s="260"/>
      <c r="G757" s="260"/>
      <c r="H757" s="260"/>
      <c r="I757" s="260"/>
      <c r="J757" s="260"/>
      <c r="K757" s="260"/>
      <c r="L757" s="260"/>
      <c r="M757" s="260"/>
      <c r="N757" s="260"/>
      <c r="O757" s="260"/>
      <c r="P757" s="260"/>
      <c r="Q757" s="260"/>
      <c r="R757" s="260"/>
      <c r="S757" s="260"/>
      <c r="T757" s="260"/>
      <c r="U757" s="260"/>
      <c r="V757" s="260"/>
      <c r="W757" s="260"/>
      <c r="X757" s="260"/>
      <c r="Y757" s="260"/>
      <c r="Z757" s="260"/>
      <c r="AA757" s="260"/>
      <c r="AB757" s="260"/>
      <c r="AC757" s="260"/>
      <c r="AD757" s="260"/>
    </row>
    <row r="758" spans="1:30" ht="15" thickBot="1">
      <c r="A758" s="260"/>
      <c r="B758" s="260"/>
      <c r="C758" s="260"/>
      <c r="D758" s="260"/>
      <c r="E758" s="260"/>
      <c r="F758" s="260"/>
      <c r="G758" s="260"/>
      <c r="H758" s="260"/>
      <c r="I758" s="260"/>
      <c r="J758" s="260"/>
      <c r="K758" s="260"/>
      <c r="L758" s="260"/>
      <c r="M758" s="260"/>
      <c r="N758" s="260"/>
      <c r="O758" s="260"/>
      <c r="P758" s="260"/>
      <c r="Q758" s="260"/>
      <c r="R758" s="260"/>
      <c r="S758" s="260"/>
      <c r="T758" s="260"/>
      <c r="U758" s="260"/>
      <c r="V758" s="260"/>
      <c r="W758" s="260"/>
      <c r="X758" s="260"/>
      <c r="Y758" s="260"/>
      <c r="Z758" s="260"/>
      <c r="AA758" s="260"/>
      <c r="AB758" s="260"/>
      <c r="AC758" s="260"/>
      <c r="AD758" s="260"/>
    </row>
    <row r="759" spans="1:30" ht="15" thickBot="1">
      <c r="A759" s="260"/>
      <c r="B759" s="260"/>
      <c r="C759" s="260"/>
      <c r="D759" s="260"/>
      <c r="E759" s="260"/>
      <c r="F759" s="260"/>
      <c r="G759" s="260"/>
      <c r="H759" s="260"/>
      <c r="I759" s="260"/>
      <c r="J759" s="260"/>
      <c r="K759" s="260"/>
      <c r="L759" s="260"/>
      <c r="M759" s="260"/>
      <c r="N759" s="260"/>
      <c r="O759" s="260"/>
      <c r="P759" s="260"/>
      <c r="Q759" s="260"/>
      <c r="R759" s="260"/>
      <c r="S759" s="260"/>
      <c r="T759" s="260"/>
      <c r="U759" s="260"/>
      <c r="V759" s="260"/>
      <c r="W759" s="260"/>
      <c r="X759" s="260"/>
      <c r="Y759" s="260"/>
      <c r="Z759" s="260"/>
      <c r="AA759" s="260"/>
      <c r="AB759" s="260"/>
      <c r="AC759" s="260"/>
      <c r="AD759" s="260"/>
    </row>
    <row r="760" spans="1:30" ht="15" thickBot="1">
      <c r="A760" s="260"/>
      <c r="B760" s="260"/>
      <c r="C760" s="260"/>
      <c r="D760" s="260"/>
      <c r="E760" s="260"/>
      <c r="F760" s="260"/>
      <c r="G760" s="260"/>
      <c r="H760" s="260"/>
      <c r="I760" s="260"/>
      <c r="J760" s="260"/>
      <c r="K760" s="260"/>
      <c r="L760" s="260"/>
      <c r="M760" s="260"/>
      <c r="N760" s="260"/>
      <c r="O760" s="260"/>
      <c r="P760" s="260"/>
      <c r="Q760" s="260"/>
      <c r="R760" s="260"/>
      <c r="S760" s="260"/>
      <c r="T760" s="260"/>
      <c r="U760" s="260"/>
      <c r="V760" s="260"/>
      <c r="W760" s="260"/>
      <c r="X760" s="260"/>
      <c r="Y760" s="260"/>
      <c r="Z760" s="260"/>
      <c r="AA760" s="260"/>
      <c r="AB760" s="260"/>
      <c r="AC760" s="260"/>
      <c r="AD760" s="260"/>
    </row>
    <row r="761" spans="1:30" ht="15" thickBot="1">
      <c r="A761" s="260"/>
      <c r="B761" s="260"/>
      <c r="C761" s="260"/>
      <c r="D761" s="260"/>
      <c r="E761" s="260"/>
      <c r="F761" s="260"/>
      <c r="G761" s="260"/>
      <c r="H761" s="260"/>
      <c r="I761" s="260"/>
      <c r="J761" s="260"/>
      <c r="K761" s="260"/>
      <c r="L761" s="260"/>
      <c r="M761" s="260"/>
      <c r="N761" s="260"/>
      <c r="O761" s="260"/>
      <c r="P761" s="260"/>
      <c r="Q761" s="260"/>
      <c r="R761" s="260"/>
      <c r="S761" s="260"/>
      <c r="T761" s="260"/>
      <c r="U761" s="260"/>
      <c r="V761" s="260"/>
      <c r="W761" s="260"/>
      <c r="X761" s="260"/>
      <c r="Y761" s="260"/>
      <c r="Z761" s="260"/>
      <c r="AA761" s="260"/>
      <c r="AB761" s="260"/>
      <c r="AC761" s="260"/>
      <c r="AD761" s="260"/>
    </row>
    <row r="762" spans="1:30" ht="15" thickBot="1">
      <c r="A762" s="260"/>
      <c r="B762" s="260"/>
      <c r="C762" s="260"/>
      <c r="D762" s="260"/>
      <c r="E762" s="260"/>
      <c r="F762" s="260"/>
      <c r="G762" s="260"/>
      <c r="H762" s="260"/>
      <c r="I762" s="260"/>
      <c r="J762" s="260"/>
      <c r="K762" s="260"/>
      <c r="L762" s="260"/>
      <c r="M762" s="260"/>
      <c r="N762" s="260"/>
      <c r="O762" s="260"/>
      <c r="P762" s="260"/>
      <c r="Q762" s="260"/>
      <c r="R762" s="260"/>
      <c r="S762" s="260"/>
      <c r="T762" s="260"/>
      <c r="U762" s="260"/>
      <c r="V762" s="260"/>
      <c r="W762" s="260"/>
      <c r="X762" s="260"/>
      <c r="Y762" s="260"/>
      <c r="Z762" s="260"/>
      <c r="AA762" s="260"/>
      <c r="AB762" s="260"/>
      <c r="AC762" s="260"/>
      <c r="AD762" s="260"/>
    </row>
    <row r="763" spans="1:30" ht="15" thickBot="1">
      <c r="A763" s="260"/>
      <c r="B763" s="260"/>
      <c r="C763" s="260"/>
      <c r="D763" s="260"/>
      <c r="E763" s="260"/>
      <c r="F763" s="260"/>
      <c r="G763" s="260"/>
      <c r="H763" s="260"/>
      <c r="I763" s="260"/>
      <c r="J763" s="260"/>
      <c r="K763" s="260"/>
      <c r="L763" s="260"/>
      <c r="M763" s="260"/>
      <c r="N763" s="260"/>
      <c r="O763" s="260"/>
      <c r="P763" s="260"/>
      <c r="Q763" s="260"/>
      <c r="R763" s="260"/>
      <c r="S763" s="260"/>
      <c r="T763" s="260"/>
      <c r="U763" s="260"/>
      <c r="V763" s="260"/>
      <c r="W763" s="260"/>
      <c r="X763" s="260"/>
      <c r="Y763" s="260"/>
      <c r="Z763" s="260"/>
      <c r="AA763" s="260"/>
      <c r="AB763" s="260"/>
      <c r="AC763" s="260"/>
      <c r="AD763" s="260"/>
    </row>
    <row r="764" spans="1:30" ht="15" thickBot="1">
      <c r="A764" s="260"/>
      <c r="B764" s="260"/>
      <c r="C764" s="260"/>
      <c r="D764" s="260"/>
      <c r="E764" s="260"/>
      <c r="F764" s="260"/>
      <c r="G764" s="260"/>
      <c r="H764" s="260"/>
      <c r="I764" s="260"/>
      <c r="J764" s="260"/>
      <c r="K764" s="260"/>
      <c r="L764" s="260"/>
      <c r="M764" s="260"/>
      <c r="N764" s="260"/>
      <c r="O764" s="260"/>
      <c r="P764" s="260"/>
      <c r="Q764" s="260"/>
      <c r="R764" s="260"/>
      <c r="S764" s="260"/>
      <c r="T764" s="260"/>
      <c r="U764" s="260"/>
      <c r="V764" s="260"/>
      <c r="W764" s="260"/>
      <c r="X764" s="260"/>
      <c r="Y764" s="260"/>
      <c r="Z764" s="260"/>
      <c r="AA764" s="260"/>
      <c r="AB764" s="260"/>
      <c r="AC764" s="260"/>
      <c r="AD764" s="260"/>
    </row>
    <row r="765" spans="1:30" ht="15" thickBot="1">
      <c r="A765" s="260"/>
      <c r="B765" s="260"/>
      <c r="C765" s="260"/>
      <c r="D765" s="260"/>
      <c r="E765" s="260"/>
      <c r="F765" s="260"/>
      <c r="G765" s="260"/>
      <c r="H765" s="260"/>
      <c r="I765" s="260"/>
      <c r="J765" s="260"/>
      <c r="K765" s="260"/>
      <c r="L765" s="260"/>
      <c r="M765" s="260"/>
      <c r="N765" s="260"/>
      <c r="O765" s="260"/>
      <c r="P765" s="260"/>
      <c r="Q765" s="260"/>
      <c r="R765" s="260"/>
      <c r="S765" s="260"/>
      <c r="T765" s="260"/>
      <c r="U765" s="260"/>
      <c r="V765" s="260"/>
      <c r="W765" s="260"/>
      <c r="X765" s="260"/>
      <c r="Y765" s="260"/>
      <c r="Z765" s="260"/>
      <c r="AA765" s="260"/>
      <c r="AB765" s="260"/>
      <c r="AC765" s="260"/>
      <c r="AD765" s="260"/>
    </row>
    <row r="766" spans="1:30" ht="15" thickBot="1">
      <c r="A766" s="260"/>
      <c r="B766" s="260"/>
      <c r="C766" s="260"/>
      <c r="D766" s="260"/>
      <c r="E766" s="260"/>
      <c r="F766" s="260"/>
      <c r="G766" s="260"/>
      <c r="H766" s="260"/>
      <c r="I766" s="260"/>
      <c r="J766" s="260"/>
      <c r="K766" s="260"/>
      <c r="L766" s="260"/>
      <c r="M766" s="260"/>
      <c r="N766" s="260"/>
      <c r="O766" s="260"/>
      <c r="P766" s="260"/>
      <c r="Q766" s="260"/>
      <c r="R766" s="260"/>
      <c r="S766" s="260"/>
      <c r="T766" s="260"/>
      <c r="U766" s="260"/>
      <c r="V766" s="260"/>
      <c r="W766" s="260"/>
      <c r="X766" s="260"/>
      <c r="Y766" s="260"/>
      <c r="Z766" s="260"/>
      <c r="AA766" s="260"/>
      <c r="AB766" s="260"/>
      <c r="AC766" s="260"/>
      <c r="AD766" s="260"/>
    </row>
    <row r="767" spans="1:30" ht="15" thickBot="1">
      <c r="A767" s="260"/>
      <c r="B767" s="260"/>
      <c r="C767" s="260"/>
      <c r="D767" s="260"/>
      <c r="E767" s="260"/>
      <c r="F767" s="260"/>
      <c r="G767" s="260"/>
      <c r="H767" s="260"/>
      <c r="I767" s="260"/>
      <c r="J767" s="260"/>
      <c r="K767" s="260"/>
      <c r="L767" s="260"/>
      <c r="M767" s="260"/>
      <c r="N767" s="260"/>
      <c r="O767" s="260"/>
      <c r="P767" s="260"/>
      <c r="Q767" s="260"/>
      <c r="R767" s="260"/>
      <c r="S767" s="260"/>
      <c r="T767" s="260"/>
      <c r="U767" s="260"/>
      <c r="V767" s="260"/>
      <c r="W767" s="260"/>
      <c r="X767" s="260"/>
      <c r="Y767" s="260"/>
      <c r="Z767" s="260"/>
      <c r="AA767" s="260"/>
      <c r="AB767" s="260"/>
      <c r="AC767" s="260"/>
      <c r="AD767" s="260"/>
    </row>
    <row r="768" spans="1:30" ht="15" thickBot="1">
      <c r="A768" s="260"/>
      <c r="B768" s="260"/>
      <c r="C768" s="260"/>
      <c r="D768" s="260"/>
      <c r="E768" s="260"/>
      <c r="F768" s="260"/>
      <c r="G768" s="260"/>
      <c r="H768" s="260"/>
      <c r="I768" s="260"/>
      <c r="J768" s="260"/>
      <c r="K768" s="260"/>
      <c r="L768" s="260"/>
      <c r="M768" s="260"/>
      <c r="N768" s="260"/>
      <c r="O768" s="260"/>
      <c r="P768" s="260"/>
      <c r="Q768" s="260"/>
      <c r="R768" s="260"/>
      <c r="S768" s="260"/>
      <c r="T768" s="260"/>
      <c r="U768" s="260"/>
      <c r="V768" s="260"/>
      <c r="W768" s="260"/>
      <c r="X768" s="260"/>
      <c r="Y768" s="260"/>
      <c r="Z768" s="260"/>
      <c r="AA768" s="260"/>
      <c r="AB768" s="260"/>
      <c r="AC768" s="260"/>
      <c r="AD768" s="260"/>
    </row>
    <row r="769" spans="1:30" ht="15" thickBot="1">
      <c r="A769" s="260"/>
      <c r="B769" s="260"/>
      <c r="C769" s="260"/>
      <c r="D769" s="260"/>
      <c r="E769" s="260"/>
      <c r="F769" s="260"/>
      <c r="G769" s="260"/>
      <c r="H769" s="260"/>
      <c r="I769" s="260"/>
      <c r="J769" s="260"/>
      <c r="K769" s="260"/>
      <c r="L769" s="260"/>
      <c r="M769" s="260"/>
      <c r="N769" s="260"/>
      <c r="O769" s="260"/>
      <c r="P769" s="260"/>
      <c r="Q769" s="260"/>
      <c r="R769" s="260"/>
      <c r="S769" s="260"/>
      <c r="T769" s="260"/>
      <c r="U769" s="260"/>
      <c r="V769" s="260"/>
      <c r="W769" s="260"/>
      <c r="X769" s="260"/>
      <c r="Y769" s="260"/>
      <c r="Z769" s="260"/>
      <c r="AA769" s="260"/>
      <c r="AB769" s="260"/>
      <c r="AC769" s="260"/>
      <c r="AD769" s="260"/>
    </row>
    <row r="770" spans="1:30" ht="15" thickBot="1">
      <c r="A770" s="260"/>
      <c r="B770" s="260"/>
      <c r="C770" s="260"/>
      <c r="D770" s="260"/>
      <c r="E770" s="260"/>
      <c r="F770" s="260"/>
      <c r="G770" s="260"/>
      <c r="H770" s="260"/>
      <c r="I770" s="260"/>
      <c r="J770" s="260"/>
      <c r="K770" s="260"/>
      <c r="L770" s="260"/>
      <c r="M770" s="260"/>
      <c r="N770" s="260"/>
      <c r="O770" s="260"/>
      <c r="P770" s="260"/>
      <c r="Q770" s="260"/>
      <c r="R770" s="260"/>
      <c r="S770" s="260"/>
      <c r="T770" s="260"/>
      <c r="U770" s="260"/>
      <c r="V770" s="260"/>
      <c r="W770" s="260"/>
      <c r="X770" s="260"/>
      <c r="Y770" s="260"/>
      <c r="Z770" s="260"/>
      <c r="AA770" s="260"/>
      <c r="AB770" s="260"/>
      <c r="AC770" s="260"/>
      <c r="AD770" s="260"/>
    </row>
    <row r="771" spans="1:30" ht="15" thickBot="1">
      <c r="A771" s="260"/>
      <c r="B771" s="260"/>
      <c r="C771" s="260"/>
      <c r="D771" s="260"/>
      <c r="E771" s="260"/>
      <c r="F771" s="260"/>
      <c r="G771" s="260"/>
      <c r="H771" s="260"/>
      <c r="I771" s="260"/>
      <c r="J771" s="260"/>
      <c r="K771" s="260"/>
      <c r="L771" s="260"/>
      <c r="M771" s="260"/>
      <c r="N771" s="260"/>
      <c r="O771" s="260"/>
      <c r="P771" s="260"/>
      <c r="Q771" s="260"/>
      <c r="R771" s="260"/>
      <c r="S771" s="260"/>
      <c r="T771" s="260"/>
      <c r="U771" s="260"/>
      <c r="V771" s="260"/>
      <c r="W771" s="260"/>
      <c r="X771" s="260"/>
      <c r="Y771" s="260"/>
      <c r="Z771" s="260"/>
      <c r="AA771" s="260"/>
      <c r="AB771" s="260"/>
      <c r="AC771" s="260"/>
      <c r="AD771" s="260"/>
    </row>
    <row r="772" spans="1:30" ht="15" thickBot="1">
      <c r="A772" s="260"/>
      <c r="B772" s="260"/>
      <c r="C772" s="260"/>
      <c r="D772" s="260"/>
      <c r="E772" s="260"/>
      <c r="F772" s="260"/>
      <c r="G772" s="260"/>
      <c r="H772" s="260"/>
      <c r="I772" s="260"/>
      <c r="J772" s="260"/>
      <c r="K772" s="260"/>
      <c r="L772" s="260"/>
      <c r="M772" s="260"/>
      <c r="N772" s="260"/>
      <c r="O772" s="260"/>
      <c r="P772" s="260"/>
      <c r="Q772" s="260"/>
      <c r="R772" s="260"/>
      <c r="S772" s="260"/>
      <c r="T772" s="260"/>
      <c r="U772" s="260"/>
      <c r="V772" s="260"/>
      <c r="W772" s="260"/>
      <c r="X772" s="260"/>
      <c r="Y772" s="260"/>
      <c r="Z772" s="260"/>
      <c r="AA772" s="260"/>
      <c r="AB772" s="260"/>
      <c r="AC772" s="260"/>
      <c r="AD772" s="260"/>
    </row>
    <row r="773" spans="1:30" ht="15" thickBot="1">
      <c r="A773" s="260"/>
      <c r="B773" s="260"/>
      <c r="C773" s="260"/>
      <c r="D773" s="260"/>
      <c r="E773" s="260"/>
      <c r="F773" s="260"/>
      <c r="G773" s="260"/>
      <c r="H773" s="260"/>
      <c r="I773" s="260"/>
      <c r="J773" s="260"/>
      <c r="K773" s="260"/>
      <c r="L773" s="260"/>
      <c r="M773" s="260"/>
      <c r="N773" s="260"/>
      <c r="O773" s="260"/>
      <c r="P773" s="260"/>
      <c r="Q773" s="260"/>
      <c r="R773" s="260"/>
      <c r="S773" s="260"/>
      <c r="T773" s="260"/>
      <c r="U773" s="260"/>
      <c r="V773" s="260"/>
      <c r="W773" s="260"/>
      <c r="X773" s="260"/>
      <c r="Y773" s="260"/>
      <c r="Z773" s="260"/>
      <c r="AA773" s="260"/>
      <c r="AB773" s="260"/>
      <c r="AC773" s="260"/>
      <c r="AD773" s="260"/>
    </row>
    <row r="774" spans="1:30" ht="15" thickBot="1">
      <c r="A774" s="260"/>
      <c r="B774" s="260"/>
      <c r="C774" s="260"/>
      <c r="D774" s="260"/>
      <c r="E774" s="260"/>
      <c r="F774" s="260"/>
      <c r="G774" s="260"/>
      <c r="H774" s="260"/>
      <c r="I774" s="260"/>
      <c r="J774" s="260"/>
      <c r="K774" s="260"/>
      <c r="L774" s="260"/>
      <c r="M774" s="260"/>
      <c r="N774" s="260"/>
      <c r="O774" s="260"/>
      <c r="P774" s="260"/>
      <c r="Q774" s="260"/>
      <c r="R774" s="260"/>
      <c r="S774" s="260"/>
      <c r="T774" s="260"/>
      <c r="U774" s="260"/>
      <c r="V774" s="260"/>
      <c r="W774" s="260"/>
      <c r="X774" s="260"/>
      <c r="Y774" s="260"/>
      <c r="Z774" s="260"/>
      <c r="AA774" s="260"/>
      <c r="AB774" s="260"/>
      <c r="AC774" s="260"/>
      <c r="AD774" s="260"/>
    </row>
    <row r="775" spans="1:30" ht="15" thickBot="1">
      <c r="A775" s="260"/>
      <c r="B775" s="260"/>
      <c r="C775" s="260"/>
      <c r="D775" s="260"/>
      <c r="E775" s="260"/>
      <c r="F775" s="260"/>
      <c r="G775" s="260"/>
      <c r="H775" s="260"/>
      <c r="I775" s="260"/>
      <c r="J775" s="260"/>
      <c r="K775" s="260"/>
      <c r="L775" s="260"/>
      <c r="M775" s="260"/>
      <c r="N775" s="260"/>
      <c r="O775" s="260"/>
      <c r="P775" s="260"/>
      <c r="Q775" s="260"/>
      <c r="R775" s="260"/>
      <c r="S775" s="260"/>
      <c r="T775" s="260"/>
      <c r="U775" s="260"/>
      <c r="V775" s="260"/>
      <c r="W775" s="260"/>
      <c r="X775" s="260"/>
      <c r="Y775" s="260"/>
      <c r="Z775" s="260"/>
      <c r="AA775" s="260"/>
      <c r="AB775" s="260"/>
      <c r="AC775" s="260"/>
      <c r="AD775" s="260"/>
    </row>
    <row r="776" spans="1:30" ht="15" thickBot="1">
      <c r="A776" s="260"/>
      <c r="B776" s="260"/>
      <c r="C776" s="260"/>
      <c r="D776" s="260"/>
      <c r="E776" s="260"/>
      <c r="F776" s="260"/>
      <c r="G776" s="260"/>
      <c r="H776" s="260"/>
      <c r="I776" s="260"/>
      <c r="J776" s="260"/>
      <c r="K776" s="260"/>
      <c r="L776" s="260"/>
      <c r="M776" s="260"/>
      <c r="N776" s="260"/>
      <c r="O776" s="260"/>
      <c r="P776" s="260"/>
      <c r="Q776" s="260"/>
      <c r="R776" s="260"/>
      <c r="S776" s="260"/>
      <c r="T776" s="260"/>
      <c r="U776" s="260"/>
      <c r="V776" s="260"/>
      <c r="W776" s="260"/>
      <c r="X776" s="260"/>
      <c r="Y776" s="260"/>
      <c r="Z776" s="260"/>
      <c r="AA776" s="260"/>
      <c r="AB776" s="260"/>
      <c r="AC776" s="260"/>
      <c r="AD776" s="260"/>
    </row>
    <row r="777" spans="1:30" ht="15" thickBot="1">
      <c r="A777" s="260"/>
      <c r="B777" s="260"/>
      <c r="C777" s="260"/>
      <c r="D777" s="260"/>
      <c r="E777" s="260"/>
      <c r="F777" s="260"/>
      <c r="G777" s="260"/>
      <c r="H777" s="260"/>
      <c r="I777" s="260"/>
      <c r="J777" s="260"/>
      <c r="K777" s="260"/>
      <c r="L777" s="260"/>
      <c r="M777" s="260"/>
      <c r="N777" s="260"/>
      <c r="O777" s="260"/>
      <c r="P777" s="260"/>
      <c r="Q777" s="260"/>
      <c r="R777" s="260"/>
      <c r="S777" s="260"/>
      <c r="T777" s="260"/>
      <c r="U777" s="260"/>
      <c r="V777" s="260"/>
      <c r="W777" s="260"/>
      <c r="X777" s="260"/>
      <c r="Y777" s="260"/>
      <c r="Z777" s="260"/>
      <c r="AA777" s="260"/>
      <c r="AB777" s="260"/>
      <c r="AC777" s="260"/>
      <c r="AD777" s="260"/>
    </row>
    <row r="778" spans="1:30" ht="15" thickBot="1">
      <c r="A778" s="260"/>
      <c r="B778" s="260"/>
      <c r="C778" s="260"/>
      <c r="D778" s="260"/>
      <c r="E778" s="260"/>
      <c r="F778" s="260"/>
      <c r="G778" s="260"/>
      <c r="H778" s="260"/>
      <c r="I778" s="260"/>
      <c r="J778" s="260"/>
      <c r="K778" s="260"/>
      <c r="L778" s="260"/>
      <c r="M778" s="260"/>
      <c r="N778" s="260"/>
      <c r="O778" s="260"/>
      <c r="P778" s="260"/>
      <c r="Q778" s="260"/>
      <c r="R778" s="260"/>
      <c r="S778" s="260"/>
      <c r="T778" s="260"/>
      <c r="U778" s="260"/>
      <c r="V778" s="260"/>
      <c r="W778" s="260"/>
      <c r="X778" s="260"/>
      <c r="Y778" s="260"/>
      <c r="Z778" s="260"/>
      <c r="AA778" s="260"/>
      <c r="AB778" s="260"/>
      <c r="AC778" s="260"/>
      <c r="AD778" s="260"/>
    </row>
    <row r="779" spans="1:30" ht="15" thickBot="1">
      <c r="A779" s="260"/>
      <c r="B779" s="260"/>
      <c r="C779" s="260"/>
      <c r="D779" s="260"/>
      <c r="E779" s="260"/>
      <c r="F779" s="260"/>
      <c r="G779" s="260"/>
      <c r="H779" s="260"/>
      <c r="I779" s="260"/>
      <c r="J779" s="260"/>
      <c r="K779" s="260"/>
      <c r="L779" s="260"/>
      <c r="M779" s="260"/>
      <c r="N779" s="260"/>
      <c r="O779" s="260"/>
      <c r="P779" s="260"/>
      <c r="Q779" s="260"/>
      <c r="R779" s="260"/>
      <c r="S779" s="260"/>
      <c r="T779" s="260"/>
      <c r="U779" s="260"/>
      <c r="V779" s="260"/>
      <c r="W779" s="260"/>
      <c r="X779" s="260"/>
      <c r="Y779" s="260"/>
      <c r="Z779" s="260"/>
      <c r="AA779" s="260"/>
      <c r="AB779" s="260"/>
      <c r="AC779" s="260"/>
      <c r="AD779" s="260"/>
    </row>
    <row r="780" spans="1:30" ht="15" thickBot="1">
      <c r="A780" s="260"/>
      <c r="B780" s="260"/>
      <c r="C780" s="260"/>
      <c r="D780" s="260"/>
      <c r="E780" s="260"/>
      <c r="F780" s="260"/>
      <c r="G780" s="260"/>
      <c r="H780" s="260"/>
      <c r="I780" s="260"/>
      <c r="J780" s="260"/>
      <c r="K780" s="260"/>
      <c r="L780" s="260"/>
      <c r="M780" s="260"/>
      <c r="N780" s="260"/>
      <c r="O780" s="260"/>
      <c r="P780" s="260"/>
      <c r="Q780" s="260"/>
      <c r="R780" s="260"/>
      <c r="S780" s="260"/>
      <c r="T780" s="260"/>
      <c r="U780" s="260"/>
      <c r="V780" s="260"/>
      <c r="W780" s="260"/>
      <c r="X780" s="260"/>
      <c r="Y780" s="260"/>
      <c r="Z780" s="260"/>
      <c r="AA780" s="260"/>
      <c r="AB780" s="260"/>
      <c r="AC780" s="260"/>
      <c r="AD780" s="260"/>
    </row>
    <row r="781" spans="1:30" ht="15" thickBot="1">
      <c r="A781" s="260"/>
      <c r="B781" s="260"/>
      <c r="C781" s="260"/>
      <c r="D781" s="260"/>
      <c r="E781" s="260"/>
      <c r="F781" s="260"/>
      <c r="G781" s="260"/>
      <c r="H781" s="260"/>
      <c r="I781" s="260"/>
      <c r="J781" s="260"/>
      <c r="K781" s="260"/>
      <c r="L781" s="260"/>
      <c r="M781" s="260"/>
      <c r="N781" s="260"/>
      <c r="O781" s="260"/>
      <c r="P781" s="260"/>
      <c r="Q781" s="260"/>
      <c r="R781" s="260"/>
      <c r="S781" s="260"/>
      <c r="T781" s="260"/>
      <c r="U781" s="260"/>
      <c r="V781" s="260"/>
      <c r="W781" s="260"/>
      <c r="X781" s="260"/>
      <c r="Y781" s="260"/>
      <c r="Z781" s="260"/>
      <c r="AA781" s="260"/>
      <c r="AB781" s="260"/>
      <c r="AC781" s="260"/>
      <c r="AD781" s="260"/>
    </row>
    <row r="782" spans="1:30" ht="15" thickBot="1">
      <c r="A782" s="260"/>
      <c r="B782" s="260"/>
      <c r="C782" s="260"/>
      <c r="D782" s="260"/>
      <c r="E782" s="260"/>
      <c r="F782" s="260"/>
      <c r="G782" s="260"/>
      <c r="H782" s="260"/>
      <c r="I782" s="260"/>
      <c r="J782" s="260"/>
      <c r="K782" s="260"/>
      <c r="L782" s="260"/>
      <c r="M782" s="260"/>
      <c r="N782" s="260"/>
      <c r="O782" s="260"/>
      <c r="P782" s="260"/>
      <c r="Q782" s="260"/>
      <c r="R782" s="260"/>
      <c r="S782" s="260"/>
      <c r="T782" s="260"/>
      <c r="U782" s="260"/>
      <c r="V782" s="260"/>
      <c r="W782" s="260"/>
      <c r="X782" s="260"/>
      <c r="Y782" s="260"/>
      <c r="Z782" s="260"/>
      <c r="AA782" s="260"/>
      <c r="AB782" s="260"/>
      <c r="AC782" s="260"/>
      <c r="AD782" s="260"/>
    </row>
    <row r="783" spans="1:30" ht="15" thickBot="1">
      <c r="A783" s="260"/>
      <c r="B783" s="260"/>
      <c r="C783" s="260"/>
      <c r="D783" s="260"/>
      <c r="E783" s="260"/>
      <c r="F783" s="260"/>
      <c r="G783" s="260"/>
      <c r="H783" s="260"/>
      <c r="I783" s="260"/>
      <c r="J783" s="260"/>
      <c r="K783" s="260"/>
      <c r="L783" s="260"/>
      <c r="M783" s="260"/>
      <c r="N783" s="260"/>
      <c r="O783" s="260"/>
      <c r="P783" s="260"/>
      <c r="Q783" s="260"/>
      <c r="R783" s="260"/>
      <c r="S783" s="260"/>
      <c r="T783" s="260"/>
      <c r="U783" s="260"/>
      <c r="V783" s="260"/>
      <c r="W783" s="260"/>
      <c r="X783" s="260"/>
      <c r="Y783" s="260"/>
      <c r="Z783" s="260"/>
      <c r="AA783" s="260"/>
      <c r="AB783" s="260"/>
      <c r="AC783" s="260"/>
      <c r="AD783" s="260"/>
    </row>
    <row r="784" spans="1:30" ht="15" thickBot="1">
      <c r="A784" s="260"/>
      <c r="B784" s="260"/>
      <c r="C784" s="260"/>
      <c r="D784" s="260"/>
      <c r="E784" s="260"/>
      <c r="F784" s="260"/>
      <c r="G784" s="260"/>
      <c r="H784" s="260"/>
      <c r="I784" s="260"/>
      <c r="J784" s="260"/>
      <c r="K784" s="260"/>
      <c r="L784" s="260"/>
      <c r="M784" s="260"/>
      <c r="N784" s="260"/>
      <c r="O784" s="260"/>
      <c r="P784" s="260"/>
      <c r="Q784" s="260"/>
      <c r="R784" s="260"/>
      <c r="S784" s="260"/>
      <c r="T784" s="260"/>
      <c r="U784" s="260"/>
      <c r="V784" s="260"/>
      <c r="W784" s="260"/>
      <c r="X784" s="260"/>
      <c r="Y784" s="260"/>
      <c r="Z784" s="260"/>
      <c r="AA784" s="260"/>
      <c r="AB784" s="260"/>
      <c r="AC784" s="260"/>
      <c r="AD784" s="260"/>
    </row>
    <row r="785" spans="1:30" ht="15" thickBot="1">
      <c r="A785" s="260"/>
      <c r="B785" s="260"/>
      <c r="C785" s="260"/>
      <c r="D785" s="260"/>
      <c r="E785" s="260"/>
      <c r="F785" s="260"/>
      <c r="G785" s="260"/>
      <c r="H785" s="260"/>
      <c r="I785" s="260"/>
      <c r="J785" s="260"/>
      <c r="K785" s="260"/>
      <c r="L785" s="260"/>
      <c r="M785" s="260"/>
      <c r="N785" s="260"/>
      <c r="O785" s="260"/>
      <c r="P785" s="260"/>
      <c r="Q785" s="260"/>
      <c r="R785" s="260"/>
      <c r="S785" s="260"/>
      <c r="T785" s="260"/>
      <c r="U785" s="260"/>
      <c r="V785" s="260"/>
      <c r="W785" s="260"/>
      <c r="X785" s="260"/>
      <c r="Y785" s="260"/>
      <c r="Z785" s="260"/>
      <c r="AA785" s="260"/>
      <c r="AB785" s="260"/>
      <c r="AC785" s="260"/>
      <c r="AD785" s="260"/>
    </row>
    <row r="786" spans="1:30" ht="15" thickBot="1">
      <c r="A786" s="260"/>
      <c r="B786" s="260"/>
      <c r="C786" s="260"/>
      <c r="D786" s="260"/>
      <c r="E786" s="260"/>
      <c r="F786" s="260"/>
      <c r="G786" s="260"/>
      <c r="H786" s="260"/>
      <c r="I786" s="260"/>
      <c r="J786" s="260"/>
      <c r="K786" s="260"/>
      <c r="L786" s="260"/>
      <c r="M786" s="260"/>
      <c r="N786" s="260"/>
      <c r="O786" s="260"/>
      <c r="P786" s="260"/>
      <c r="Q786" s="260"/>
      <c r="R786" s="260"/>
      <c r="S786" s="260"/>
      <c r="T786" s="260"/>
      <c r="U786" s="260"/>
      <c r="V786" s="260"/>
      <c r="W786" s="260"/>
      <c r="X786" s="260"/>
      <c r="Y786" s="260"/>
      <c r="Z786" s="260"/>
      <c r="AA786" s="260"/>
      <c r="AB786" s="260"/>
      <c r="AC786" s="260"/>
      <c r="AD786" s="260"/>
    </row>
    <row r="787" spans="1:30" ht="15" thickBot="1">
      <c r="A787" s="260"/>
      <c r="B787" s="260"/>
      <c r="C787" s="260"/>
      <c r="D787" s="260"/>
      <c r="E787" s="260"/>
      <c r="F787" s="260"/>
      <c r="G787" s="260"/>
      <c r="H787" s="260"/>
      <c r="I787" s="260"/>
      <c r="J787" s="260"/>
      <c r="K787" s="260"/>
      <c r="L787" s="260"/>
      <c r="M787" s="260"/>
      <c r="N787" s="260"/>
      <c r="O787" s="260"/>
      <c r="P787" s="260"/>
      <c r="Q787" s="260"/>
      <c r="R787" s="260"/>
      <c r="S787" s="260"/>
      <c r="T787" s="260"/>
      <c r="U787" s="260"/>
      <c r="V787" s="260"/>
      <c r="W787" s="260"/>
      <c r="X787" s="260"/>
      <c r="Y787" s="260"/>
      <c r="Z787" s="260"/>
      <c r="AA787" s="260"/>
      <c r="AB787" s="260"/>
      <c r="AC787" s="260"/>
      <c r="AD787" s="260"/>
    </row>
    <row r="788" spans="1:30" ht="15" thickBot="1">
      <c r="A788" s="260"/>
      <c r="B788" s="260"/>
      <c r="C788" s="260"/>
      <c r="D788" s="260"/>
      <c r="E788" s="260"/>
      <c r="F788" s="260"/>
      <c r="G788" s="260"/>
      <c r="H788" s="260"/>
      <c r="I788" s="260"/>
      <c r="J788" s="260"/>
      <c r="K788" s="260"/>
      <c r="L788" s="260"/>
      <c r="M788" s="260"/>
      <c r="N788" s="260"/>
      <c r="O788" s="260"/>
      <c r="P788" s="260"/>
      <c r="Q788" s="260"/>
      <c r="R788" s="260"/>
      <c r="S788" s="260"/>
      <c r="T788" s="260"/>
      <c r="U788" s="260"/>
      <c r="V788" s="260"/>
      <c r="W788" s="260"/>
      <c r="X788" s="260"/>
      <c r="Y788" s="260"/>
      <c r="Z788" s="260"/>
      <c r="AA788" s="260"/>
      <c r="AB788" s="260"/>
      <c r="AC788" s="260"/>
      <c r="AD788" s="260"/>
    </row>
    <row r="789" spans="1:30" ht="15" thickBot="1">
      <c r="A789" s="260"/>
      <c r="B789" s="260"/>
      <c r="C789" s="260"/>
      <c r="D789" s="260"/>
      <c r="E789" s="260"/>
      <c r="F789" s="260"/>
      <c r="G789" s="260"/>
      <c r="H789" s="260"/>
      <c r="I789" s="260"/>
      <c r="J789" s="260"/>
      <c r="K789" s="260"/>
      <c r="L789" s="260"/>
      <c r="M789" s="260"/>
      <c r="N789" s="260"/>
      <c r="O789" s="260"/>
      <c r="P789" s="260"/>
      <c r="Q789" s="260"/>
      <c r="R789" s="260"/>
      <c r="S789" s="260"/>
      <c r="T789" s="260"/>
      <c r="U789" s="260"/>
      <c r="V789" s="260"/>
      <c r="W789" s="260"/>
      <c r="X789" s="260"/>
      <c r="Y789" s="260"/>
      <c r="Z789" s="260"/>
      <c r="AA789" s="260"/>
      <c r="AB789" s="260"/>
      <c r="AC789" s="260"/>
      <c r="AD789" s="260"/>
    </row>
    <row r="790" spans="1:30" ht="15" thickBot="1">
      <c r="A790" s="260"/>
      <c r="B790" s="260"/>
      <c r="C790" s="260"/>
      <c r="D790" s="260"/>
      <c r="E790" s="260"/>
      <c r="F790" s="260"/>
      <c r="G790" s="260"/>
      <c r="H790" s="260"/>
      <c r="I790" s="260"/>
      <c r="J790" s="260"/>
      <c r="K790" s="260"/>
      <c r="L790" s="260"/>
      <c r="M790" s="260"/>
      <c r="N790" s="260"/>
      <c r="O790" s="260"/>
      <c r="P790" s="260"/>
      <c r="Q790" s="260"/>
      <c r="R790" s="260"/>
      <c r="S790" s="260"/>
      <c r="T790" s="260"/>
      <c r="U790" s="260"/>
      <c r="V790" s="260"/>
      <c r="W790" s="260"/>
      <c r="X790" s="260"/>
      <c r="Y790" s="260"/>
      <c r="Z790" s="260"/>
      <c r="AA790" s="260"/>
      <c r="AB790" s="260"/>
      <c r="AC790" s="260"/>
      <c r="AD790" s="260"/>
    </row>
    <row r="791" spans="1:30" ht="15" thickBot="1">
      <c r="A791" s="260"/>
      <c r="B791" s="260"/>
      <c r="C791" s="260"/>
      <c r="D791" s="260"/>
      <c r="E791" s="260"/>
      <c r="F791" s="260"/>
      <c r="G791" s="260"/>
      <c r="H791" s="260"/>
      <c r="I791" s="260"/>
      <c r="J791" s="260"/>
      <c r="K791" s="260"/>
      <c r="L791" s="260"/>
      <c r="M791" s="260"/>
      <c r="N791" s="260"/>
      <c r="O791" s="260"/>
      <c r="P791" s="260"/>
      <c r="Q791" s="260"/>
      <c r="R791" s="260"/>
      <c r="S791" s="260"/>
      <c r="T791" s="260"/>
      <c r="U791" s="260"/>
      <c r="V791" s="260"/>
      <c r="W791" s="260"/>
      <c r="X791" s="260"/>
      <c r="Y791" s="260"/>
      <c r="Z791" s="260"/>
      <c r="AA791" s="260"/>
      <c r="AB791" s="260"/>
      <c r="AC791" s="260"/>
      <c r="AD791" s="260"/>
    </row>
    <row r="792" spans="1:30" ht="15" thickBot="1">
      <c r="A792" s="260"/>
      <c r="B792" s="260"/>
      <c r="C792" s="260"/>
      <c r="D792" s="260"/>
      <c r="E792" s="260"/>
      <c r="F792" s="260"/>
      <c r="G792" s="260"/>
      <c r="H792" s="260"/>
      <c r="I792" s="260"/>
      <c r="J792" s="260"/>
      <c r="K792" s="260"/>
      <c r="L792" s="260"/>
      <c r="M792" s="260"/>
      <c r="N792" s="260"/>
      <c r="O792" s="260"/>
      <c r="P792" s="260"/>
      <c r="Q792" s="260"/>
      <c r="R792" s="260"/>
      <c r="S792" s="260"/>
      <c r="T792" s="260"/>
      <c r="U792" s="260"/>
      <c r="V792" s="260"/>
      <c r="W792" s="260"/>
      <c r="X792" s="260"/>
      <c r="Y792" s="260"/>
      <c r="Z792" s="260"/>
      <c r="AA792" s="260"/>
      <c r="AB792" s="260"/>
      <c r="AC792" s="260"/>
      <c r="AD792" s="260"/>
    </row>
    <row r="793" spans="1:30" ht="15" thickBot="1">
      <c r="A793" s="260"/>
      <c r="B793" s="260"/>
      <c r="C793" s="260"/>
      <c r="D793" s="260"/>
      <c r="E793" s="260"/>
      <c r="F793" s="260"/>
      <c r="G793" s="260"/>
      <c r="H793" s="260"/>
      <c r="I793" s="260"/>
      <c r="J793" s="260"/>
      <c r="K793" s="260"/>
      <c r="L793" s="260"/>
      <c r="M793" s="260"/>
      <c r="N793" s="260"/>
      <c r="O793" s="260"/>
      <c r="P793" s="260"/>
      <c r="Q793" s="260"/>
      <c r="R793" s="260"/>
      <c r="S793" s="260"/>
      <c r="T793" s="260"/>
      <c r="U793" s="260"/>
      <c r="V793" s="260"/>
      <c r="W793" s="260"/>
      <c r="X793" s="260"/>
      <c r="Y793" s="260"/>
      <c r="Z793" s="260"/>
      <c r="AA793" s="260"/>
      <c r="AB793" s="260"/>
      <c r="AC793" s="260"/>
      <c r="AD793" s="260"/>
    </row>
    <row r="794" spans="1:30" ht="15" thickBot="1">
      <c r="A794" s="260"/>
      <c r="B794" s="260"/>
      <c r="C794" s="260"/>
      <c r="D794" s="260"/>
      <c r="E794" s="260"/>
      <c r="F794" s="260"/>
      <c r="G794" s="260"/>
      <c r="H794" s="260"/>
      <c r="I794" s="260"/>
      <c r="J794" s="260"/>
      <c r="K794" s="260"/>
      <c r="L794" s="260"/>
      <c r="M794" s="260"/>
      <c r="N794" s="260"/>
      <c r="O794" s="260"/>
      <c r="P794" s="260"/>
      <c r="Q794" s="260"/>
      <c r="R794" s="260"/>
      <c r="S794" s="260"/>
      <c r="T794" s="260"/>
      <c r="U794" s="260"/>
      <c r="V794" s="260"/>
      <c r="W794" s="260"/>
      <c r="X794" s="260"/>
      <c r="Y794" s="260"/>
      <c r="Z794" s="260"/>
      <c r="AA794" s="260"/>
      <c r="AB794" s="260"/>
      <c r="AC794" s="260"/>
      <c r="AD794" s="260"/>
    </row>
    <row r="795" spans="1:30" ht="15" thickBot="1">
      <c r="A795" s="260"/>
      <c r="B795" s="260"/>
      <c r="C795" s="260"/>
      <c r="D795" s="260"/>
      <c r="E795" s="260"/>
      <c r="F795" s="260"/>
      <c r="G795" s="260"/>
      <c r="H795" s="260"/>
      <c r="I795" s="260"/>
      <c r="J795" s="260"/>
      <c r="K795" s="260"/>
      <c r="L795" s="260"/>
      <c r="M795" s="260"/>
      <c r="N795" s="260"/>
      <c r="O795" s="260"/>
      <c r="P795" s="260"/>
      <c r="Q795" s="260"/>
      <c r="R795" s="260"/>
      <c r="S795" s="260"/>
      <c r="T795" s="260"/>
      <c r="U795" s="260"/>
      <c r="V795" s="260"/>
      <c r="W795" s="260"/>
      <c r="X795" s="260"/>
      <c r="Y795" s="260"/>
      <c r="Z795" s="260"/>
      <c r="AA795" s="260"/>
      <c r="AB795" s="260"/>
      <c r="AC795" s="260"/>
      <c r="AD795" s="260"/>
    </row>
    <row r="796" spans="1:30" ht="15" thickBot="1">
      <c r="A796" s="260"/>
      <c r="B796" s="260"/>
      <c r="C796" s="260"/>
      <c r="D796" s="260"/>
      <c r="E796" s="260"/>
      <c r="F796" s="260"/>
      <c r="G796" s="260"/>
      <c r="H796" s="260"/>
      <c r="I796" s="260"/>
      <c r="J796" s="260"/>
      <c r="K796" s="260"/>
      <c r="L796" s="260"/>
      <c r="M796" s="260"/>
      <c r="N796" s="260"/>
      <c r="O796" s="260"/>
      <c r="P796" s="260"/>
      <c r="Q796" s="260"/>
      <c r="R796" s="260"/>
      <c r="S796" s="260"/>
      <c r="T796" s="260"/>
      <c r="U796" s="260"/>
      <c r="V796" s="260"/>
      <c r="W796" s="260"/>
      <c r="X796" s="260"/>
      <c r="Y796" s="260"/>
      <c r="Z796" s="260"/>
      <c r="AA796" s="260"/>
      <c r="AB796" s="260"/>
      <c r="AC796" s="260"/>
      <c r="AD796" s="260"/>
    </row>
    <row r="797" spans="1:30" ht="15" thickBot="1">
      <c r="A797" s="260"/>
      <c r="B797" s="260"/>
      <c r="C797" s="260"/>
      <c r="D797" s="260"/>
      <c r="E797" s="260"/>
      <c r="F797" s="260"/>
      <c r="G797" s="260"/>
      <c r="H797" s="260"/>
      <c r="I797" s="260"/>
      <c r="J797" s="260"/>
      <c r="K797" s="260"/>
      <c r="L797" s="260"/>
      <c r="M797" s="260"/>
      <c r="N797" s="260"/>
      <c r="O797" s="260"/>
      <c r="P797" s="260"/>
      <c r="Q797" s="260"/>
      <c r="R797" s="260"/>
      <c r="S797" s="260"/>
      <c r="T797" s="260"/>
      <c r="U797" s="260"/>
      <c r="V797" s="260"/>
      <c r="W797" s="260"/>
      <c r="X797" s="260"/>
      <c r="Y797" s="260"/>
      <c r="Z797" s="260"/>
      <c r="AA797" s="260"/>
      <c r="AB797" s="260"/>
      <c r="AC797" s="260"/>
      <c r="AD797" s="260"/>
    </row>
    <row r="798" spans="1:30" ht="15" thickBot="1">
      <c r="A798" s="260"/>
      <c r="B798" s="260"/>
      <c r="C798" s="260"/>
      <c r="D798" s="260"/>
      <c r="E798" s="260"/>
      <c r="F798" s="260"/>
      <c r="G798" s="260"/>
      <c r="H798" s="260"/>
      <c r="I798" s="260"/>
      <c r="J798" s="260"/>
      <c r="K798" s="260"/>
      <c r="L798" s="260"/>
      <c r="M798" s="260"/>
      <c r="N798" s="260"/>
      <c r="O798" s="260"/>
      <c r="P798" s="260"/>
      <c r="Q798" s="260"/>
      <c r="R798" s="260"/>
      <c r="S798" s="260"/>
      <c r="T798" s="260"/>
      <c r="U798" s="260"/>
      <c r="V798" s="260"/>
      <c r="W798" s="260"/>
      <c r="X798" s="260"/>
      <c r="Y798" s="260"/>
      <c r="Z798" s="260"/>
      <c r="AA798" s="260"/>
      <c r="AB798" s="260"/>
      <c r="AC798" s="260"/>
      <c r="AD798" s="260"/>
    </row>
    <row r="799" spans="1:30" ht="15" thickBot="1">
      <c r="A799" s="260"/>
      <c r="B799" s="260"/>
      <c r="C799" s="260"/>
      <c r="D799" s="260"/>
      <c r="E799" s="260"/>
      <c r="F799" s="260"/>
      <c r="G799" s="260"/>
      <c r="H799" s="260"/>
      <c r="I799" s="260"/>
      <c r="J799" s="260"/>
      <c r="K799" s="260"/>
      <c r="L799" s="260"/>
      <c r="M799" s="260"/>
      <c r="N799" s="260"/>
      <c r="O799" s="260"/>
      <c r="P799" s="260"/>
      <c r="Q799" s="260"/>
      <c r="R799" s="260"/>
      <c r="S799" s="260"/>
      <c r="T799" s="260"/>
      <c r="U799" s="260"/>
      <c r="V799" s="260"/>
      <c r="W799" s="260"/>
      <c r="X799" s="260"/>
      <c r="Y799" s="260"/>
      <c r="Z799" s="260"/>
      <c r="AA799" s="260"/>
      <c r="AB799" s="260"/>
      <c r="AC799" s="260"/>
      <c r="AD799" s="260"/>
    </row>
    <row r="800" spans="1:30" ht="15" thickBot="1">
      <c r="A800" s="260"/>
      <c r="B800" s="260"/>
      <c r="C800" s="260"/>
      <c r="D800" s="260"/>
      <c r="E800" s="260"/>
      <c r="F800" s="260"/>
      <c r="G800" s="260"/>
      <c r="H800" s="260"/>
      <c r="I800" s="260"/>
      <c r="J800" s="260"/>
      <c r="K800" s="260"/>
      <c r="L800" s="260"/>
      <c r="M800" s="260"/>
      <c r="N800" s="260"/>
      <c r="O800" s="260"/>
      <c r="P800" s="260"/>
      <c r="Q800" s="260"/>
      <c r="R800" s="260"/>
      <c r="S800" s="260"/>
      <c r="T800" s="260"/>
      <c r="U800" s="260"/>
      <c r="V800" s="260"/>
      <c r="W800" s="260"/>
      <c r="X800" s="260"/>
      <c r="Y800" s="260"/>
      <c r="Z800" s="260"/>
      <c r="AA800" s="260"/>
      <c r="AB800" s="260"/>
      <c r="AC800" s="260"/>
      <c r="AD800" s="260"/>
    </row>
    <row r="801" spans="1:30" ht="15" thickBot="1">
      <c r="A801" s="260"/>
      <c r="B801" s="260"/>
      <c r="C801" s="260"/>
      <c r="D801" s="260"/>
      <c r="E801" s="260"/>
      <c r="F801" s="260"/>
      <c r="G801" s="260"/>
      <c r="H801" s="260"/>
      <c r="I801" s="260"/>
      <c r="J801" s="260"/>
      <c r="K801" s="260"/>
      <c r="L801" s="260"/>
      <c r="M801" s="260"/>
      <c r="N801" s="260"/>
      <c r="O801" s="260"/>
      <c r="P801" s="260"/>
      <c r="Q801" s="260"/>
      <c r="R801" s="260"/>
      <c r="S801" s="260"/>
      <c r="T801" s="260"/>
      <c r="U801" s="260"/>
      <c r="V801" s="260"/>
      <c r="W801" s="260"/>
      <c r="X801" s="260"/>
      <c r="Y801" s="260"/>
      <c r="Z801" s="260"/>
      <c r="AA801" s="260"/>
      <c r="AB801" s="260"/>
      <c r="AC801" s="260"/>
      <c r="AD801" s="260"/>
    </row>
    <row r="802" spans="1:30" ht="15" thickBot="1">
      <c r="A802" s="260"/>
      <c r="B802" s="260"/>
      <c r="C802" s="260"/>
      <c r="D802" s="260"/>
      <c r="E802" s="260"/>
      <c r="F802" s="260"/>
      <c r="G802" s="260"/>
      <c r="H802" s="260"/>
      <c r="I802" s="260"/>
      <c r="J802" s="260"/>
      <c r="K802" s="260"/>
      <c r="L802" s="260"/>
      <c r="M802" s="260"/>
      <c r="N802" s="260"/>
      <c r="O802" s="260"/>
      <c r="P802" s="260"/>
      <c r="Q802" s="260"/>
      <c r="R802" s="260"/>
      <c r="S802" s="260"/>
      <c r="T802" s="260"/>
      <c r="U802" s="260"/>
      <c r="V802" s="260"/>
      <c r="W802" s="260"/>
      <c r="X802" s="260"/>
      <c r="Y802" s="260"/>
      <c r="Z802" s="260"/>
      <c r="AA802" s="260"/>
      <c r="AB802" s="260"/>
      <c r="AC802" s="260"/>
      <c r="AD802" s="260"/>
    </row>
    <row r="803" spans="1:30" ht="15" thickBot="1">
      <c r="A803" s="260"/>
      <c r="B803" s="260"/>
      <c r="C803" s="260"/>
      <c r="D803" s="260"/>
      <c r="E803" s="260"/>
      <c r="F803" s="260"/>
      <c r="G803" s="260"/>
      <c r="H803" s="260"/>
      <c r="I803" s="260"/>
      <c r="J803" s="260"/>
      <c r="K803" s="260"/>
      <c r="L803" s="260"/>
      <c r="M803" s="260"/>
      <c r="N803" s="260"/>
      <c r="O803" s="260"/>
      <c r="P803" s="260"/>
      <c r="Q803" s="260"/>
      <c r="R803" s="260"/>
      <c r="S803" s="260"/>
      <c r="T803" s="260"/>
      <c r="U803" s="260"/>
      <c r="V803" s="260"/>
      <c r="W803" s="260"/>
      <c r="X803" s="260"/>
      <c r="Y803" s="260"/>
      <c r="Z803" s="260"/>
      <c r="AA803" s="260"/>
      <c r="AB803" s="260"/>
      <c r="AC803" s="260"/>
      <c r="AD803" s="260"/>
    </row>
    <row r="804" spans="1:30" ht="15" thickBot="1">
      <c r="A804" s="260"/>
      <c r="B804" s="260"/>
      <c r="C804" s="260"/>
      <c r="D804" s="260"/>
      <c r="E804" s="260"/>
      <c r="F804" s="260"/>
      <c r="G804" s="260"/>
      <c r="H804" s="260"/>
      <c r="I804" s="260"/>
      <c r="J804" s="260"/>
      <c r="K804" s="260"/>
      <c r="L804" s="260"/>
      <c r="M804" s="260"/>
      <c r="N804" s="260"/>
      <c r="O804" s="260"/>
      <c r="P804" s="260"/>
      <c r="Q804" s="260"/>
      <c r="R804" s="260"/>
      <c r="S804" s="260"/>
      <c r="T804" s="260"/>
      <c r="U804" s="260"/>
      <c r="V804" s="260"/>
      <c r="W804" s="260"/>
      <c r="X804" s="260"/>
      <c r="Y804" s="260"/>
      <c r="Z804" s="260"/>
      <c r="AA804" s="260"/>
      <c r="AB804" s="260"/>
      <c r="AC804" s="260"/>
      <c r="AD804" s="260"/>
    </row>
    <row r="805" spans="1:30" ht="15" thickBot="1">
      <c r="A805" s="260"/>
      <c r="B805" s="260"/>
      <c r="C805" s="260"/>
      <c r="D805" s="260"/>
      <c r="E805" s="260"/>
      <c r="F805" s="260"/>
      <c r="G805" s="260"/>
      <c r="H805" s="260"/>
      <c r="I805" s="260"/>
      <c r="J805" s="260"/>
      <c r="K805" s="260"/>
      <c r="L805" s="260"/>
      <c r="M805" s="260"/>
      <c r="N805" s="260"/>
      <c r="O805" s="260"/>
      <c r="P805" s="260"/>
      <c r="Q805" s="260"/>
      <c r="R805" s="260"/>
      <c r="S805" s="260"/>
      <c r="T805" s="260"/>
      <c r="U805" s="260"/>
      <c r="V805" s="260"/>
      <c r="W805" s="260"/>
      <c r="X805" s="260"/>
      <c r="Y805" s="260"/>
      <c r="Z805" s="260"/>
      <c r="AA805" s="260"/>
      <c r="AB805" s="260"/>
      <c r="AC805" s="260"/>
      <c r="AD805" s="260"/>
    </row>
    <row r="806" spans="1:30" ht="15" thickBot="1">
      <c r="A806" s="260"/>
      <c r="B806" s="260"/>
      <c r="C806" s="260"/>
      <c r="D806" s="260"/>
      <c r="E806" s="260"/>
      <c r="F806" s="260"/>
      <c r="G806" s="260"/>
      <c r="H806" s="260"/>
      <c r="I806" s="260"/>
      <c r="J806" s="260"/>
      <c r="K806" s="260"/>
      <c r="L806" s="260"/>
      <c r="M806" s="260"/>
      <c r="N806" s="260"/>
      <c r="O806" s="260"/>
      <c r="P806" s="260"/>
      <c r="Q806" s="260"/>
      <c r="R806" s="260"/>
      <c r="S806" s="260"/>
      <c r="T806" s="260"/>
      <c r="U806" s="260"/>
      <c r="V806" s="260"/>
      <c r="W806" s="260"/>
      <c r="X806" s="260"/>
      <c r="Y806" s="260"/>
      <c r="Z806" s="260"/>
      <c r="AA806" s="260"/>
      <c r="AB806" s="260"/>
      <c r="AC806" s="260"/>
      <c r="AD806" s="260"/>
    </row>
    <row r="807" spans="1:30" ht="15" thickBot="1">
      <c r="A807" s="260"/>
      <c r="B807" s="260"/>
      <c r="C807" s="260"/>
      <c r="D807" s="260"/>
      <c r="E807" s="260"/>
      <c r="F807" s="260"/>
      <c r="G807" s="260"/>
      <c r="H807" s="260"/>
      <c r="I807" s="260"/>
      <c r="J807" s="260"/>
      <c r="K807" s="260"/>
      <c r="L807" s="260"/>
      <c r="M807" s="260"/>
      <c r="N807" s="260"/>
      <c r="O807" s="260"/>
      <c r="P807" s="260"/>
      <c r="Q807" s="260"/>
      <c r="R807" s="260"/>
      <c r="S807" s="260"/>
      <c r="T807" s="260"/>
      <c r="U807" s="260"/>
      <c r="V807" s="260"/>
      <c r="W807" s="260"/>
      <c r="X807" s="260"/>
      <c r="Y807" s="260"/>
      <c r="Z807" s="260"/>
      <c r="AA807" s="260"/>
      <c r="AB807" s="260"/>
      <c r="AC807" s="260"/>
      <c r="AD807" s="260"/>
    </row>
    <row r="808" spans="1:30" ht="15" thickBot="1">
      <c r="A808" s="260"/>
      <c r="B808" s="260"/>
      <c r="C808" s="260"/>
      <c r="D808" s="260"/>
      <c r="E808" s="260"/>
      <c r="F808" s="260"/>
      <c r="G808" s="260"/>
      <c r="H808" s="260"/>
      <c r="I808" s="260"/>
      <c r="J808" s="260"/>
      <c r="K808" s="260"/>
      <c r="L808" s="260"/>
      <c r="M808" s="260"/>
      <c r="N808" s="260"/>
      <c r="O808" s="260"/>
      <c r="P808" s="260"/>
      <c r="Q808" s="260"/>
      <c r="R808" s="260"/>
      <c r="S808" s="260"/>
      <c r="T808" s="260"/>
      <c r="U808" s="260"/>
      <c r="V808" s="260"/>
      <c r="W808" s="260"/>
      <c r="X808" s="260"/>
      <c r="Y808" s="260"/>
      <c r="Z808" s="260"/>
      <c r="AA808" s="260"/>
      <c r="AB808" s="260"/>
      <c r="AC808" s="260"/>
      <c r="AD808" s="260"/>
    </row>
    <row r="809" spans="1:30" ht="15" thickBot="1">
      <c r="A809" s="260"/>
      <c r="B809" s="260"/>
      <c r="C809" s="260"/>
      <c r="D809" s="260"/>
      <c r="E809" s="260"/>
      <c r="F809" s="260"/>
      <c r="G809" s="260"/>
      <c r="H809" s="260"/>
      <c r="I809" s="260"/>
      <c r="J809" s="260"/>
      <c r="K809" s="260"/>
      <c r="L809" s="260"/>
      <c r="M809" s="260"/>
      <c r="N809" s="260"/>
      <c r="O809" s="260"/>
      <c r="P809" s="260"/>
      <c r="Q809" s="260"/>
      <c r="R809" s="260"/>
      <c r="S809" s="260"/>
      <c r="T809" s="260"/>
      <c r="U809" s="260"/>
      <c r="V809" s="260"/>
      <c r="W809" s="260"/>
      <c r="X809" s="260"/>
      <c r="Y809" s="260"/>
      <c r="Z809" s="260"/>
      <c r="AA809" s="260"/>
      <c r="AB809" s="260"/>
      <c r="AC809" s="260"/>
      <c r="AD809" s="260"/>
    </row>
    <row r="810" spans="1:30" ht="15" thickBot="1">
      <c r="A810" s="260"/>
      <c r="B810" s="260"/>
      <c r="C810" s="260"/>
      <c r="D810" s="260"/>
      <c r="E810" s="260"/>
      <c r="F810" s="260"/>
      <c r="G810" s="260"/>
      <c r="H810" s="260"/>
      <c r="I810" s="260"/>
      <c r="J810" s="260"/>
      <c r="K810" s="260"/>
      <c r="L810" s="260"/>
      <c r="M810" s="260"/>
      <c r="N810" s="260"/>
      <c r="O810" s="260"/>
      <c r="P810" s="260"/>
      <c r="Q810" s="260"/>
      <c r="R810" s="260"/>
      <c r="S810" s="260"/>
      <c r="T810" s="260"/>
      <c r="U810" s="260"/>
      <c r="V810" s="260"/>
      <c r="W810" s="260"/>
      <c r="X810" s="260"/>
      <c r="Y810" s="260"/>
      <c r="Z810" s="260"/>
      <c r="AA810" s="260"/>
      <c r="AB810" s="260"/>
      <c r="AC810" s="260"/>
      <c r="AD810" s="260"/>
    </row>
    <row r="811" spans="1:30" ht="15" thickBot="1">
      <c r="A811" s="260"/>
      <c r="B811" s="260"/>
      <c r="C811" s="260"/>
      <c r="D811" s="260"/>
      <c r="E811" s="260"/>
      <c r="F811" s="260"/>
      <c r="G811" s="260"/>
      <c r="H811" s="260"/>
      <c r="I811" s="260"/>
      <c r="J811" s="260"/>
      <c r="K811" s="260"/>
      <c r="L811" s="260"/>
      <c r="M811" s="260"/>
      <c r="N811" s="260"/>
      <c r="O811" s="260"/>
      <c r="P811" s="260"/>
      <c r="Q811" s="260"/>
      <c r="R811" s="260"/>
      <c r="S811" s="260"/>
      <c r="T811" s="260"/>
      <c r="U811" s="260"/>
      <c r="V811" s="260"/>
      <c r="W811" s="260"/>
      <c r="X811" s="260"/>
      <c r="Y811" s="260"/>
      <c r="Z811" s="260"/>
      <c r="AA811" s="260"/>
      <c r="AB811" s="260"/>
      <c r="AC811" s="260"/>
      <c r="AD811" s="260"/>
    </row>
    <row r="812" spans="1:30" ht="15" thickBot="1">
      <c r="A812" s="260"/>
      <c r="B812" s="260"/>
      <c r="C812" s="260"/>
      <c r="D812" s="260"/>
      <c r="E812" s="260"/>
      <c r="F812" s="260"/>
      <c r="G812" s="260"/>
      <c r="H812" s="260"/>
      <c r="I812" s="260"/>
      <c r="J812" s="260"/>
      <c r="K812" s="260"/>
      <c r="L812" s="260"/>
      <c r="M812" s="260"/>
      <c r="N812" s="260"/>
      <c r="O812" s="260"/>
      <c r="P812" s="260"/>
      <c r="Q812" s="260"/>
      <c r="R812" s="260"/>
      <c r="S812" s="260"/>
      <c r="T812" s="260"/>
      <c r="U812" s="260"/>
      <c r="V812" s="260"/>
      <c r="W812" s="260"/>
      <c r="X812" s="260"/>
      <c r="Y812" s="260"/>
      <c r="Z812" s="260"/>
      <c r="AA812" s="260"/>
      <c r="AB812" s="260"/>
      <c r="AC812" s="260"/>
      <c r="AD812" s="260"/>
    </row>
    <row r="813" spans="1:30" ht="15" thickBot="1">
      <c r="A813" s="260"/>
      <c r="B813" s="260"/>
      <c r="C813" s="260"/>
      <c r="D813" s="260"/>
      <c r="E813" s="260"/>
      <c r="F813" s="260"/>
      <c r="G813" s="260"/>
      <c r="H813" s="260"/>
      <c r="I813" s="260"/>
      <c r="J813" s="260"/>
      <c r="K813" s="260"/>
      <c r="L813" s="260"/>
      <c r="M813" s="260"/>
      <c r="N813" s="260"/>
      <c r="O813" s="260"/>
      <c r="P813" s="260"/>
      <c r="Q813" s="260"/>
      <c r="R813" s="260"/>
      <c r="S813" s="260"/>
      <c r="T813" s="260"/>
      <c r="U813" s="260"/>
      <c r="V813" s="260"/>
      <c r="W813" s="260"/>
      <c r="X813" s="260"/>
      <c r="Y813" s="260"/>
      <c r="Z813" s="260"/>
      <c r="AA813" s="260"/>
      <c r="AB813" s="260"/>
      <c r="AC813" s="260"/>
      <c r="AD813" s="260"/>
    </row>
    <row r="814" spans="1:30" ht="15" thickBot="1">
      <c r="A814" s="260"/>
      <c r="B814" s="260"/>
      <c r="C814" s="260"/>
      <c r="D814" s="260"/>
      <c r="E814" s="260"/>
      <c r="F814" s="260"/>
      <c r="G814" s="260"/>
      <c r="H814" s="260"/>
      <c r="I814" s="260"/>
      <c r="J814" s="260"/>
      <c r="K814" s="260"/>
      <c r="L814" s="260"/>
      <c r="M814" s="260"/>
      <c r="N814" s="260"/>
      <c r="O814" s="260"/>
      <c r="P814" s="260"/>
      <c r="Q814" s="260"/>
      <c r="R814" s="260"/>
      <c r="S814" s="260"/>
      <c r="T814" s="260"/>
      <c r="U814" s="260"/>
      <c r="V814" s="260"/>
      <c r="W814" s="260"/>
      <c r="X814" s="260"/>
      <c r="Y814" s="260"/>
      <c r="Z814" s="260"/>
      <c r="AA814" s="260"/>
      <c r="AB814" s="260"/>
      <c r="AC814" s="260"/>
      <c r="AD814" s="260"/>
    </row>
    <row r="815" spans="1:30" ht="15" thickBot="1">
      <c r="A815" s="260"/>
      <c r="B815" s="260"/>
      <c r="C815" s="260"/>
      <c r="D815" s="260"/>
      <c r="E815" s="260"/>
      <c r="F815" s="260"/>
      <c r="G815" s="260"/>
      <c r="H815" s="260"/>
      <c r="I815" s="260"/>
      <c r="J815" s="260"/>
      <c r="K815" s="260"/>
      <c r="L815" s="260"/>
      <c r="M815" s="260"/>
      <c r="N815" s="260"/>
      <c r="O815" s="260"/>
      <c r="P815" s="260"/>
      <c r="Q815" s="260"/>
      <c r="R815" s="260"/>
      <c r="S815" s="260"/>
      <c r="T815" s="260"/>
      <c r="U815" s="260"/>
      <c r="V815" s="260"/>
      <c r="W815" s="260"/>
      <c r="X815" s="260"/>
      <c r="Y815" s="260"/>
      <c r="Z815" s="260"/>
      <c r="AA815" s="260"/>
      <c r="AB815" s="260"/>
      <c r="AC815" s="260"/>
      <c r="AD815" s="260"/>
    </row>
    <row r="816" spans="1:30" ht="15" thickBot="1">
      <c r="A816" s="260"/>
      <c r="B816" s="260"/>
      <c r="C816" s="260"/>
      <c r="D816" s="260"/>
      <c r="E816" s="260"/>
      <c r="F816" s="260"/>
      <c r="G816" s="260"/>
      <c r="H816" s="260"/>
      <c r="I816" s="260"/>
      <c r="J816" s="260"/>
      <c r="K816" s="260"/>
      <c r="L816" s="260"/>
      <c r="M816" s="260"/>
      <c r="N816" s="260"/>
      <c r="O816" s="260"/>
      <c r="P816" s="260"/>
      <c r="Q816" s="260"/>
      <c r="R816" s="260"/>
      <c r="S816" s="260"/>
      <c r="T816" s="260"/>
      <c r="U816" s="260"/>
      <c r="V816" s="260"/>
      <c r="W816" s="260"/>
      <c r="X816" s="260"/>
      <c r="Y816" s="260"/>
      <c r="Z816" s="260"/>
      <c r="AA816" s="260"/>
      <c r="AB816" s="260"/>
      <c r="AC816" s="260"/>
      <c r="AD816" s="260"/>
    </row>
    <row r="817" spans="1:30" ht="15" thickBot="1">
      <c r="A817" s="260"/>
      <c r="B817" s="260"/>
      <c r="C817" s="260"/>
      <c r="D817" s="260"/>
      <c r="E817" s="260"/>
      <c r="F817" s="260"/>
      <c r="G817" s="260"/>
      <c r="H817" s="260"/>
      <c r="I817" s="260"/>
      <c r="J817" s="260"/>
      <c r="K817" s="260"/>
      <c r="L817" s="260"/>
      <c r="M817" s="260"/>
      <c r="N817" s="260"/>
      <c r="O817" s="260"/>
      <c r="P817" s="260"/>
      <c r="Q817" s="260"/>
      <c r="R817" s="260"/>
      <c r="S817" s="260"/>
      <c r="T817" s="260"/>
      <c r="U817" s="260"/>
      <c r="V817" s="260"/>
      <c r="W817" s="260"/>
      <c r="X817" s="260"/>
      <c r="Y817" s="260"/>
      <c r="Z817" s="260"/>
      <c r="AA817" s="260"/>
      <c r="AB817" s="260"/>
      <c r="AC817" s="260"/>
      <c r="AD817" s="260"/>
    </row>
    <row r="818" spans="1:30" ht="15" thickBot="1">
      <c r="A818" s="260"/>
      <c r="B818" s="260"/>
      <c r="C818" s="260"/>
      <c r="D818" s="260"/>
      <c r="E818" s="260"/>
      <c r="F818" s="260"/>
      <c r="G818" s="260"/>
      <c r="H818" s="260"/>
      <c r="I818" s="260"/>
      <c r="J818" s="260"/>
      <c r="K818" s="260"/>
      <c r="L818" s="260"/>
      <c r="M818" s="260"/>
      <c r="N818" s="260"/>
      <c r="O818" s="260"/>
      <c r="P818" s="260"/>
      <c r="Q818" s="260"/>
      <c r="R818" s="260"/>
      <c r="S818" s="260"/>
      <c r="T818" s="260"/>
      <c r="U818" s="260"/>
      <c r="V818" s="260"/>
      <c r="W818" s="260"/>
      <c r="X818" s="260"/>
      <c r="Y818" s="260"/>
      <c r="Z818" s="260"/>
      <c r="AA818" s="260"/>
      <c r="AB818" s="260"/>
      <c r="AC818" s="260"/>
      <c r="AD818" s="260"/>
    </row>
    <row r="819" spans="1:30" ht="15" thickBot="1">
      <c r="A819" s="260"/>
      <c r="B819" s="260"/>
      <c r="C819" s="260"/>
      <c r="D819" s="260"/>
      <c r="E819" s="260"/>
      <c r="F819" s="260"/>
      <c r="G819" s="260"/>
      <c r="H819" s="260"/>
      <c r="I819" s="260"/>
      <c r="J819" s="260"/>
      <c r="K819" s="260"/>
      <c r="L819" s="260"/>
      <c r="M819" s="260"/>
      <c r="N819" s="260"/>
      <c r="O819" s="260"/>
      <c r="P819" s="260"/>
      <c r="Q819" s="260"/>
      <c r="R819" s="260"/>
      <c r="S819" s="260"/>
      <c r="T819" s="260"/>
      <c r="U819" s="260"/>
      <c r="V819" s="260"/>
      <c r="W819" s="260"/>
      <c r="X819" s="260"/>
      <c r="Y819" s="260"/>
      <c r="Z819" s="260"/>
      <c r="AA819" s="260"/>
      <c r="AB819" s="260"/>
      <c r="AC819" s="260"/>
      <c r="AD819" s="260"/>
    </row>
    <row r="820" spans="1:30" ht="15" thickBot="1">
      <c r="A820" s="260"/>
      <c r="B820" s="260"/>
      <c r="C820" s="260"/>
      <c r="D820" s="260"/>
      <c r="E820" s="260"/>
      <c r="F820" s="260"/>
      <c r="G820" s="260"/>
      <c r="H820" s="260"/>
      <c r="I820" s="260"/>
      <c r="J820" s="260"/>
      <c r="K820" s="260"/>
      <c r="L820" s="260"/>
      <c r="M820" s="260"/>
      <c r="N820" s="260"/>
      <c r="O820" s="260"/>
      <c r="P820" s="260"/>
      <c r="Q820" s="260"/>
      <c r="R820" s="260"/>
      <c r="S820" s="260"/>
      <c r="T820" s="260"/>
      <c r="U820" s="260"/>
      <c r="V820" s="260"/>
      <c r="W820" s="260"/>
      <c r="X820" s="260"/>
      <c r="Y820" s="260"/>
      <c r="Z820" s="260"/>
      <c r="AA820" s="260"/>
      <c r="AB820" s="260"/>
      <c r="AC820" s="260"/>
      <c r="AD820" s="260"/>
    </row>
    <row r="821" spans="1:30" ht="15" thickBot="1">
      <c r="A821" s="260"/>
      <c r="B821" s="260"/>
      <c r="C821" s="260"/>
      <c r="D821" s="260"/>
      <c r="E821" s="260"/>
      <c r="F821" s="260"/>
      <c r="G821" s="260"/>
      <c r="H821" s="260"/>
      <c r="I821" s="260"/>
      <c r="J821" s="260"/>
      <c r="K821" s="260"/>
      <c r="L821" s="260"/>
      <c r="M821" s="260"/>
      <c r="N821" s="260"/>
      <c r="O821" s="260"/>
      <c r="P821" s="260"/>
      <c r="Q821" s="260"/>
      <c r="R821" s="260"/>
      <c r="S821" s="260"/>
      <c r="T821" s="260"/>
      <c r="U821" s="260"/>
      <c r="V821" s="260"/>
      <c r="W821" s="260"/>
      <c r="X821" s="260"/>
      <c r="Y821" s="260"/>
      <c r="Z821" s="260"/>
      <c r="AA821" s="260"/>
      <c r="AB821" s="260"/>
      <c r="AC821" s="260"/>
      <c r="AD821" s="260"/>
    </row>
    <row r="822" spans="1:30" ht="15" thickBot="1">
      <c r="A822" s="260"/>
      <c r="B822" s="260"/>
      <c r="C822" s="260"/>
      <c r="D822" s="260"/>
      <c r="E822" s="260"/>
      <c r="F822" s="260"/>
      <c r="G822" s="260"/>
      <c r="H822" s="260"/>
      <c r="I822" s="260"/>
      <c r="J822" s="260"/>
      <c r="K822" s="260"/>
      <c r="L822" s="260"/>
      <c r="M822" s="260"/>
      <c r="N822" s="260"/>
      <c r="O822" s="260"/>
      <c r="P822" s="260"/>
      <c r="Q822" s="260"/>
      <c r="R822" s="260"/>
      <c r="S822" s="260"/>
      <c r="T822" s="260"/>
      <c r="U822" s="260"/>
      <c r="V822" s="260"/>
      <c r="W822" s="260"/>
      <c r="X822" s="260"/>
      <c r="Y822" s="260"/>
      <c r="Z822" s="260"/>
      <c r="AA822" s="260"/>
      <c r="AB822" s="260"/>
      <c r="AC822" s="260"/>
      <c r="AD822" s="260"/>
    </row>
    <row r="823" spans="1:30" ht="15" thickBot="1">
      <c r="A823" s="260"/>
      <c r="B823" s="260"/>
      <c r="C823" s="260"/>
      <c r="D823" s="260"/>
      <c r="E823" s="260"/>
      <c r="F823" s="260"/>
      <c r="G823" s="260"/>
      <c r="H823" s="260"/>
      <c r="I823" s="260"/>
      <c r="J823" s="260"/>
      <c r="K823" s="260"/>
      <c r="L823" s="260"/>
      <c r="M823" s="260"/>
      <c r="N823" s="260"/>
      <c r="O823" s="260"/>
      <c r="P823" s="260"/>
      <c r="Q823" s="260"/>
      <c r="R823" s="260"/>
      <c r="S823" s="260"/>
      <c r="T823" s="260"/>
      <c r="U823" s="260"/>
      <c r="V823" s="260"/>
      <c r="W823" s="260"/>
      <c r="X823" s="260"/>
      <c r="Y823" s="260"/>
      <c r="Z823" s="260"/>
      <c r="AA823" s="260"/>
      <c r="AB823" s="260"/>
      <c r="AC823" s="260"/>
      <c r="AD823" s="260"/>
    </row>
    <row r="824" spans="1:30" ht="15" thickBot="1">
      <c r="A824" s="260"/>
      <c r="B824" s="260"/>
      <c r="C824" s="260"/>
      <c r="D824" s="260"/>
      <c r="E824" s="260"/>
      <c r="F824" s="260"/>
      <c r="G824" s="260"/>
      <c r="H824" s="260"/>
      <c r="I824" s="260"/>
      <c r="J824" s="260"/>
      <c r="K824" s="260"/>
      <c r="L824" s="260"/>
      <c r="M824" s="260"/>
      <c r="N824" s="260"/>
      <c r="O824" s="260"/>
      <c r="P824" s="260"/>
      <c r="Q824" s="260"/>
      <c r="R824" s="260"/>
      <c r="S824" s="260"/>
      <c r="T824" s="260"/>
      <c r="U824" s="260"/>
      <c r="V824" s="260"/>
      <c r="W824" s="260"/>
      <c r="X824" s="260"/>
      <c r="Y824" s="260"/>
      <c r="Z824" s="260"/>
      <c r="AA824" s="260"/>
      <c r="AB824" s="260"/>
      <c r="AC824" s="260"/>
      <c r="AD824" s="260"/>
    </row>
    <row r="825" spans="1:30" ht="15" thickBot="1">
      <c r="A825" s="260"/>
      <c r="B825" s="260"/>
      <c r="C825" s="260"/>
      <c r="D825" s="260"/>
      <c r="E825" s="260"/>
      <c r="F825" s="260"/>
      <c r="G825" s="260"/>
      <c r="H825" s="260"/>
      <c r="I825" s="260"/>
      <c r="J825" s="260"/>
      <c r="K825" s="260"/>
      <c r="L825" s="260"/>
      <c r="M825" s="260"/>
      <c r="N825" s="260"/>
      <c r="O825" s="260"/>
      <c r="P825" s="260"/>
      <c r="Q825" s="260"/>
      <c r="R825" s="260"/>
      <c r="S825" s="260"/>
      <c r="T825" s="260"/>
      <c r="U825" s="260"/>
      <c r="V825" s="260"/>
      <c r="W825" s="260"/>
      <c r="X825" s="260"/>
      <c r="Y825" s="260"/>
      <c r="Z825" s="260"/>
      <c r="AA825" s="260"/>
      <c r="AB825" s="260"/>
      <c r="AC825" s="260"/>
      <c r="AD825" s="260"/>
    </row>
    <row r="826" spans="1:30" ht="15" thickBot="1">
      <c r="A826" s="260"/>
      <c r="B826" s="260"/>
      <c r="C826" s="260"/>
      <c r="D826" s="260"/>
      <c r="E826" s="260"/>
      <c r="F826" s="260"/>
      <c r="G826" s="260"/>
      <c r="H826" s="260"/>
      <c r="I826" s="260"/>
      <c r="J826" s="260"/>
      <c r="K826" s="260"/>
      <c r="L826" s="260"/>
      <c r="M826" s="260"/>
      <c r="N826" s="260"/>
      <c r="O826" s="260"/>
      <c r="P826" s="260"/>
      <c r="Q826" s="260"/>
      <c r="R826" s="260"/>
      <c r="S826" s="260"/>
      <c r="T826" s="260"/>
      <c r="U826" s="260"/>
      <c r="V826" s="260"/>
      <c r="W826" s="260"/>
      <c r="X826" s="260"/>
      <c r="Y826" s="260"/>
      <c r="Z826" s="260"/>
      <c r="AA826" s="260"/>
      <c r="AB826" s="260"/>
      <c r="AC826" s="260"/>
      <c r="AD826" s="260"/>
    </row>
    <row r="827" spans="1:30" ht="15" thickBot="1">
      <c r="A827" s="260"/>
      <c r="B827" s="260"/>
      <c r="C827" s="260"/>
      <c r="D827" s="260"/>
      <c r="E827" s="260"/>
      <c r="F827" s="260"/>
      <c r="G827" s="260"/>
      <c r="H827" s="260"/>
      <c r="I827" s="260"/>
      <c r="J827" s="260"/>
      <c r="K827" s="260"/>
      <c r="L827" s="260"/>
      <c r="M827" s="260"/>
      <c r="N827" s="260"/>
      <c r="O827" s="260"/>
      <c r="P827" s="260"/>
      <c r="Q827" s="260"/>
      <c r="R827" s="260"/>
      <c r="S827" s="260"/>
      <c r="T827" s="260"/>
      <c r="U827" s="260"/>
      <c r="V827" s="260"/>
      <c r="W827" s="260"/>
      <c r="X827" s="260"/>
      <c r="Y827" s="260"/>
      <c r="Z827" s="260"/>
      <c r="AA827" s="260"/>
      <c r="AB827" s="260"/>
      <c r="AC827" s="260"/>
      <c r="AD827" s="260"/>
    </row>
    <row r="828" spans="1:30" ht="15" thickBot="1">
      <c r="A828" s="260"/>
      <c r="B828" s="260"/>
      <c r="C828" s="260"/>
      <c r="D828" s="260"/>
      <c r="E828" s="260"/>
      <c r="F828" s="260"/>
      <c r="G828" s="260"/>
      <c r="H828" s="260"/>
      <c r="I828" s="260"/>
      <c r="J828" s="260"/>
      <c r="K828" s="260"/>
      <c r="L828" s="260"/>
      <c r="M828" s="260"/>
      <c r="N828" s="260"/>
      <c r="O828" s="260"/>
      <c r="P828" s="260"/>
      <c r="Q828" s="260"/>
      <c r="R828" s="260"/>
      <c r="S828" s="260"/>
      <c r="T828" s="260"/>
      <c r="U828" s="260"/>
      <c r="V828" s="260"/>
      <c r="W828" s="260"/>
      <c r="X828" s="260"/>
      <c r="Y828" s="260"/>
      <c r="Z828" s="260"/>
      <c r="AA828" s="260"/>
      <c r="AB828" s="260"/>
      <c r="AC828" s="260"/>
      <c r="AD828" s="260"/>
    </row>
    <row r="829" spans="1:30" ht="15" thickBot="1">
      <c r="A829" s="260"/>
      <c r="B829" s="260"/>
      <c r="C829" s="260"/>
      <c r="D829" s="260"/>
      <c r="E829" s="260"/>
      <c r="F829" s="260"/>
      <c r="G829" s="260"/>
      <c r="H829" s="260"/>
      <c r="I829" s="260"/>
      <c r="J829" s="260"/>
      <c r="K829" s="260"/>
      <c r="L829" s="260"/>
      <c r="M829" s="260"/>
      <c r="N829" s="260"/>
      <c r="O829" s="260"/>
      <c r="P829" s="260"/>
      <c r="Q829" s="260"/>
      <c r="R829" s="260"/>
      <c r="S829" s="260"/>
      <c r="T829" s="260"/>
      <c r="U829" s="260"/>
      <c r="V829" s="260"/>
      <c r="W829" s="260"/>
      <c r="X829" s="260"/>
      <c r="Y829" s="260"/>
      <c r="Z829" s="260"/>
      <c r="AA829" s="260"/>
      <c r="AB829" s="260"/>
      <c r="AC829" s="260"/>
      <c r="AD829" s="260"/>
    </row>
    <row r="830" spans="1:30" ht="15" thickBot="1">
      <c r="A830" s="260"/>
      <c r="B830" s="260"/>
      <c r="C830" s="260"/>
      <c r="D830" s="260"/>
      <c r="E830" s="260"/>
      <c r="F830" s="260"/>
      <c r="G830" s="260"/>
      <c r="H830" s="260"/>
      <c r="I830" s="260"/>
      <c r="J830" s="260"/>
      <c r="K830" s="260"/>
      <c r="L830" s="260"/>
      <c r="M830" s="260"/>
      <c r="N830" s="260"/>
      <c r="O830" s="260"/>
      <c r="P830" s="260"/>
      <c r="Q830" s="260"/>
      <c r="R830" s="260"/>
      <c r="S830" s="260"/>
      <c r="T830" s="260"/>
      <c r="U830" s="260"/>
      <c r="V830" s="260"/>
      <c r="W830" s="260"/>
      <c r="X830" s="260"/>
      <c r="Y830" s="260"/>
      <c r="Z830" s="260"/>
      <c r="AA830" s="260"/>
      <c r="AB830" s="260"/>
      <c r="AC830" s="260"/>
      <c r="AD830" s="260"/>
    </row>
    <row r="831" spans="1:30" ht="15" thickBot="1">
      <c r="A831" s="260"/>
      <c r="B831" s="260"/>
      <c r="C831" s="260"/>
      <c r="D831" s="260"/>
      <c r="E831" s="260"/>
      <c r="F831" s="260"/>
      <c r="G831" s="260"/>
      <c r="H831" s="260"/>
      <c r="I831" s="260"/>
      <c r="J831" s="260"/>
      <c r="K831" s="260"/>
      <c r="L831" s="260"/>
      <c r="M831" s="260"/>
      <c r="N831" s="260"/>
      <c r="O831" s="260"/>
      <c r="P831" s="260"/>
      <c r="Q831" s="260"/>
      <c r="R831" s="260"/>
      <c r="S831" s="260"/>
      <c r="T831" s="260"/>
      <c r="U831" s="260"/>
      <c r="V831" s="260"/>
      <c r="W831" s="260"/>
      <c r="X831" s="260"/>
      <c r="Y831" s="260"/>
      <c r="Z831" s="260"/>
      <c r="AA831" s="260"/>
      <c r="AB831" s="260"/>
      <c r="AC831" s="260"/>
      <c r="AD831" s="260"/>
    </row>
    <row r="832" spans="1:30" ht="15" thickBot="1">
      <c r="A832" s="260"/>
      <c r="B832" s="260"/>
      <c r="C832" s="260"/>
      <c r="D832" s="260"/>
      <c r="E832" s="260"/>
      <c r="F832" s="260"/>
      <c r="G832" s="260"/>
      <c r="H832" s="260"/>
      <c r="I832" s="260"/>
      <c r="J832" s="260"/>
      <c r="K832" s="260"/>
      <c r="L832" s="260"/>
      <c r="M832" s="260"/>
      <c r="N832" s="260"/>
      <c r="O832" s="260"/>
      <c r="P832" s="260"/>
      <c r="Q832" s="260"/>
      <c r="R832" s="260"/>
      <c r="S832" s="260"/>
      <c r="T832" s="260"/>
      <c r="U832" s="260"/>
      <c r="V832" s="260"/>
      <c r="W832" s="260"/>
      <c r="X832" s="260"/>
      <c r="Y832" s="260"/>
      <c r="Z832" s="260"/>
      <c r="AA832" s="260"/>
      <c r="AB832" s="260"/>
      <c r="AC832" s="260"/>
      <c r="AD832" s="260"/>
    </row>
    <row r="833" spans="1:30" ht="15" thickBot="1">
      <c r="A833" s="260"/>
      <c r="B833" s="260"/>
      <c r="C833" s="260"/>
      <c r="D833" s="260"/>
      <c r="E833" s="260"/>
      <c r="F833" s="260"/>
      <c r="G833" s="260"/>
      <c r="H833" s="260"/>
      <c r="I833" s="260"/>
      <c r="J833" s="260"/>
      <c r="K833" s="260"/>
      <c r="L833" s="260"/>
      <c r="M833" s="260"/>
      <c r="N833" s="260"/>
      <c r="O833" s="260"/>
      <c r="P833" s="260"/>
      <c r="Q833" s="260"/>
      <c r="R833" s="260"/>
      <c r="S833" s="260"/>
      <c r="T833" s="260"/>
      <c r="U833" s="260"/>
      <c r="V833" s="260"/>
      <c r="W833" s="260"/>
      <c r="X833" s="260"/>
      <c r="Y833" s="260"/>
      <c r="Z833" s="260"/>
      <c r="AA833" s="260"/>
      <c r="AB833" s="260"/>
      <c r="AC833" s="260"/>
      <c r="AD833" s="260"/>
    </row>
    <row r="834" spans="1:30" ht="15" thickBot="1">
      <c r="A834" s="260"/>
      <c r="B834" s="260"/>
      <c r="C834" s="260"/>
      <c r="D834" s="260"/>
      <c r="E834" s="260"/>
      <c r="F834" s="260"/>
      <c r="G834" s="260"/>
      <c r="H834" s="260"/>
      <c r="I834" s="260"/>
      <c r="J834" s="260"/>
      <c r="K834" s="260"/>
      <c r="L834" s="260"/>
      <c r="M834" s="260"/>
      <c r="N834" s="260"/>
      <c r="O834" s="260"/>
      <c r="P834" s="260"/>
      <c r="Q834" s="260"/>
      <c r="R834" s="260"/>
      <c r="S834" s="260"/>
      <c r="T834" s="260"/>
      <c r="U834" s="260"/>
      <c r="V834" s="260"/>
      <c r="W834" s="260"/>
      <c r="X834" s="260"/>
      <c r="Y834" s="260"/>
      <c r="Z834" s="260"/>
      <c r="AA834" s="260"/>
      <c r="AB834" s="260"/>
      <c r="AC834" s="260"/>
      <c r="AD834" s="260"/>
    </row>
    <row r="835" spans="1:30" ht="15" thickBot="1">
      <c r="A835" s="260"/>
      <c r="B835" s="260"/>
      <c r="C835" s="260"/>
      <c r="D835" s="260"/>
      <c r="E835" s="260"/>
      <c r="F835" s="260"/>
      <c r="G835" s="260"/>
      <c r="H835" s="260"/>
      <c r="I835" s="260"/>
      <c r="J835" s="260"/>
      <c r="K835" s="260"/>
      <c r="L835" s="260"/>
      <c r="M835" s="260"/>
      <c r="N835" s="260"/>
      <c r="O835" s="260"/>
      <c r="P835" s="260"/>
      <c r="Q835" s="260"/>
      <c r="R835" s="260"/>
      <c r="S835" s="260"/>
      <c r="T835" s="260"/>
      <c r="U835" s="260"/>
      <c r="V835" s="260"/>
      <c r="W835" s="260"/>
      <c r="X835" s="260"/>
      <c r="Y835" s="260"/>
      <c r="Z835" s="260"/>
      <c r="AA835" s="260"/>
      <c r="AB835" s="260"/>
      <c r="AC835" s="260"/>
      <c r="AD835" s="260"/>
    </row>
    <row r="836" spans="1:30" ht="15" thickBot="1">
      <c r="A836" s="260"/>
      <c r="B836" s="260"/>
      <c r="C836" s="260"/>
      <c r="D836" s="260"/>
      <c r="E836" s="260"/>
      <c r="F836" s="260"/>
      <c r="G836" s="260"/>
      <c r="H836" s="260"/>
      <c r="I836" s="260"/>
      <c r="J836" s="260"/>
      <c r="K836" s="260"/>
      <c r="L836" s="260"/>
      <c r="M836" s="260"/>
      <c r="N836" s="260"/>
      <c r="O836" s="260"/>
      <c r="P836" s="260"/>
      <c r="Q836" s="260"/>
      <c r="R836" s="260"/>
      <c r="S836" s="260"/>
      <c r="T836" s="260"/>
      <c r="U836" s="260"/>
      <c r="V836" s="260"/>
      <c r="W836" s="260"/>
      <c r="X836" s="260"/>
      <c r="Y836" s="260"/>
      <c r="Z836" s="260"/>
      <c r="AA836" s="260"/>
      <c r="AB836" s="260"/>
      <c r="AC836" s="260"/>
      <c r="AD836" s="260"/>
    </row>
    <row r="837" spans="1:30" ht="15" thickBot="1">
      <c r="A837" s="260"/>
      <c r="B837" s="260"/>
      <c r="C837" s="260"/>
      <c r="D837" s="260"/>
      <c r="E837" s="260"/>
      <c r="F837" s="260"/>
      <c r="G837" s="260"/>
      <c r="H837" s="260"/>
      <c r="I837" s="260"/>
      <c r="J837" s="260"/>
      <c r="K837" s="260"/>
      <c r="L837" s="260"/>
      <c r="M837" s="260"/>
      <c r="N837" s="260"/>
      <c r="O837" s="260"/>
      <c r="P837" s="260"/>
      <c r="Q837" s="260"/>
      <c r="R837" s="260"/>
      <c r="S837" s="260"/>
      <c r="T837" s="260"/>
      <c r="U837" s="260"/>
      <c r="V837" s="260"/>
      <c r="W837" s="260"/>
      <c r="X837" s="260"/>
      <c r="Y837" s="260"/>
      <c r="Z837" s="260"/>
      <c r="AA837" s="260"/>
      <c r="AB837" s="260"/>
      <c r="AC837" s="260"/>
      <c r="AD837" s="260"/>
    </row>
    <row r="838" spans="1:30" ht="15" thickBot="1">
      <c r="A838" s="260"/>
      <c r="B838" s="260"/>
      <c r="C838" s="260"/>
      <c r="D838" s="260"/>
      <c r="E838" s="260"/>
      <c r="F838" s="260"/>
      <c r="G838" s="260"/>
      <c r="H838" s="260"/>
      <c r="I838" s="260"/>
      <c r="J838" s="260"/>
      <c r="K838" s="260"/>
      <c r="L838" s="260"/>
      <c r="M838" s="260"/>
      <c r="N838" s="260"/>
      <c r="O838" s="260"/>
      <c r="P838" s="260"/>
      <c r="Q838" s="260"/>
      <c r="R838" s="260"/>
      <c r="S838" s="260"/>
      <c r="T838" s="260"/>
      <c r="U838" s="260"/>
      <c r="V838" s="260"/>
      <c r="W838" s="260"/>
      <c r="X838" s="260"/>
      <c r="Y838" s="260"/>
      <c r="Z838" s="260"/>
      <c r="AA838" s="260"/>
      <c r="AB838" s="260"/>
      <c r="AC838" s="260"/>
      <c r="AD838" s="260"/>
    </row>
    <row r="839" spans="1:30" ht="15" thickBot="1">
      <c r="A839" s="260"/>
      <c r="B839" s="260"/>
      <c r="C839" s="260"/>
      <c r="D839" s="260"/>
      <c r="E839" s="260"/>
      <c r="F839" s="260"/>
      <c r="G839" s="260"/>
      <c r="H839" s="260"/>
      <c r="I839" s="260"/>
      <c r="J839" s="260"/>
      <c r="K839" s="260"/>
      <c r="L839" s="260"/>
      <c r="M839" s="260"/>
      <c r="N839" s="260"/>
      <c r="O839" s="260"/>
      <c r="P839" s="260"/>
      <c r="Q839" s="260"/>
      <c r="R839" s="260"/>
      <c r="S839" s="260"/>
      <c r="T839" s="260"/>
      <c r="U839" s="260"/>
      <c r="V839" s="260"/>
      <c r="W839" s="260"/>
      <c r="X839" s="260"/>
      <c r="Y839" s="260"/>
      <c r="Z839" s="260"/>
      <c r="AA839" s="260"/>
      <c r="AB839" s="260"/>
      <c r="AC839" s="260"/>
      <c r="AD839" s="260"/>
    </row>
    <row r="840" spans="1:30" ht="15" thickBot="1">
      <c r="A840" s="260"/>
      <c r="B840" s="260"/>
      <c r="C840" s="260"/>
      <c r="D840" s="260"/>
      <c r="E840" s="260"/>
      <c r="F840" s="260"/>
      <c r="G840" s="260"/>
      <c r="H840" s="260"/>
      <c r="I840" s="260"/>
      <c r="J840" s="260"/>
      <c r="K840" s="260"/>
      <c r="L840" s="260"/>
      <c r="M840" s="260"/>
      <c r="N840" s="260"/>
      <c r="O840" s="260"/>
      <c r="P840" s="260"/>
      <c r="Q840" s="260"/>
      <c r="R840" s="260"/>
      <c r="S840" s="260"/>
      <c r="T840" s="260"/>
      <c r="U840" s="260"/>
      <c r="V840" s="260"/>
      <c r="W840" s="260"/>
      <c r="X840" s="260"/>
      <c r="Y840" s="260"/>
      <c r="Z840" s="260"/>
      <c r="AA840" s="260"/>
      <c r="AB840" s="260"/>
      <c r="AC840" s="260"/>
      <c r="AD840" s="260"/>
    </row>
    <row r="841" spans="1:30" ht="15" thickBot="1">
      <c r="A841" s="260"/>
      <c r="B841" s="260"/>
      <c r="C841" s="260"/>
      <c r="D841" s="260"/>
      <c r="E841" s="260"/>
      <c r="F841" s="260"/>
      <c r="G841" s="260"/>
      <c r="H841" s="260"/>
      <c r="I841" s="260"/>
      <c r="J841" s="260"/>
      <c r="K841" s="260"/>
      <c r="L841" s="260"/>
      <c r="M841" s="260"/>
      <c r="N841" s="260"/>
      <c r="O841" s="260"/>
      <c r="P841" s="260"/>
      <c r="Q841" s="260"/>
      <c r="R841" s="260"/>
      <c r="S841" s="260"/>
      <c r="T841" s="260"/>
      <c r="U841" s="260"/>
      <c r="V841" s="260"/>
      <c r="W841" s="260"/>
      <c r="X841" s="260"/>
      <c r="Y841" s="260"/>
      <c r="Z841" s="260"/>
      <c r="AA841" s="260"/>
      <c r="AB841" s="260"/>
      <c r="AC841" s="260"/>
      <c r="AD841" s="260"/>
    </row>
    <row r="842" spans="1:30" ht="15" thickBot="1">
      <c r="A842" s="260"/>
      <c r="B842" s="260"/>
      <c r="C842" s="260"/>
      <c r="D842" s="260"/>
      <c r="E842" s="260"/>
      <c r="F842" s="260"/>
      <c r="G842" s="260"/>
      <c r="H842" s="260"/>
      <c r="I842" s="260"/>
      <c r="J842" s="260"/>
      <c r="K842" s="260"/>
      <c r="L842" s="260"/>
      <c r="M842" s="260"/>
      <c r="N842" s="260"/>
      <c r="O842" s="260"/>
      <c r="P842" s="260"/>
      <c r="Q842" s="260"/>
      <c r="R842" s="260"/>
      <c r="S842" s="260"/>
      <c r="T842" s="260"/>
      <c r="U842" s="260"/>
      <c r="V842" s="260"/>
      <c r="W842" s="260"/>
      <c r="X842" s="260"/>
      <c r="Y842" s="260"/>
      <c r="Z842" s="260"/>
      <c r="AA842" s="260"/>
      <c r="AB842" s="260"/>
      <c r="AC842" s="260"/>
      <c r="AD842" s="260"/>
    </row>
    <row r="843" spans="1:30" ht="15" thickBot="1">
      <c r="A843" s="260"/>
      <c r="B843" s="260"/>
      <c r="C843" s="260"/>
      <c r="D843" s="260"/>
      <c r="E843" s="260"/>
      <c r="F843" s="260"/>
      <c r="G843" s="260"/>
      <c r="H843" s="260"/>
      <c r="I843" s="260"/>
      <c r="J843" s="260"/>
      <c r="K843" s="260"/>
      <c r="L843" s="260"/>
      <c r="M843" s="260"/>
      <c r="N843" s="260"/>
      <c r="O843" s="260"/>
      <c r="P843" s="260"/>
      <c r="Q843" s="260"/>
      <c r="R843" s="260"/>
      <c r="S843" s="260"/>
      <c r="T843" s="260"/>
      <c r="U843" s="260"/>
      <c r="V843" s="260"/>
      <c r="W843" s="260"/>
      <c r="X843" s="260"/>
      <c r="Y843" s="260"/>
      <c r="Z843" s="260"/>
      <c r="AA843" s="260"/>
      <c r="AB843" s="260"/>
      <c r="AC843" s="260"/>
      <c r="AD843" s="260"/>
    </row>
    <row r="844" spans="1:30" ht="15" thickBot="1">
      <c r="A844" s="260"/>
      <c r="B844" s="260"/>
      <c r="C844" s="260"/>
      <c r="D844" s="260"/>
      <c r="E844" s="260"/>
      <c r="F844" s="260"/>
      <c r="G844" s="260"/>
      <c r="H844" s="260"/>
      <c r="I844" s="260"/>
      <c r="J844" s="260"/>
      <c r="K844" s="260"/>
      <c r="L844" s="260"/>
      <c r="M844" s="260"/>
      <c r="N844" s="260"/>
      <c r="O844" s="260"/>
      <c r="P844" s="260"/>
      <c r="Q844" s="260"/>
      <c r="R844" s="260"/>
      <c r="S844" s="260"/>
      <c r="T844" s="260"/>
      <c r="U844" s="260"/>
      <c r="V844" s="260"/>
      <c r="W844" s="260"/>
      <c r="X844" s="260"/>
      <c r="Y844" s="260"/>
      <c r="Z844" s="260"/>
      <c r="AA844" s="260"/>
      <c r="AB844" s="260"/>
      <c r="AC844" s="260"/>
      <c r="AD844" s="260"/>
    </row>
    <row r="845" spans="1:30" ht="15" thickBot="1">
      <c r="A845" s="260"/>
      <c r="B845" s="260"/>
      <c r="C845" s="260"/>
      <c r="D845" s="260"/>
      <c r="E845" s="260"/>
      <c r="F845" s="260"/>
      <c r="G845" s="260"/>
      <c r="H845" s="260"/>
      <c r="I845" s="260"/>
      <c r="J845" s="260"/>
      <c r="K845" s="260"/>
      <c r="L845" s="260"/>
      <c r="M845" s="260"/>
      <c r="N845" s="260"/>
      <c r="O845" s="260"/>
      <c r="P845" s="260"/>
      <c r="Q845" s="260"/>
      <c r="R845" s="260"/>
      <c r="S845" s="260"/>
      <c r="T845" s="260"/>
      <c r="U845" s="260"/>
      <c r="V845" s="260"/>
      <c r="W845" s="260"/>
      <c r="X845" s="260"/>
      <c r="Y845" s="260"/>
      <c r="Z845" s="260"/>
      <c r="AA845" s="260"/>
      <c r="AB845" s="260"/>
      <c r="AC845" s="260"/>
      <c r="AD845" s="260"/>
    </row>
    <row r="846" spans="1:30" ht="15" thickBot="1">
      <c r="A846" s="260"/>
      <c r="B846" s="260"/>
      <c r="C846" s="260"/>
      <c r="D846" s="260"/>
      <c r="E846" s="260"/>
      <c r="F846" s="260"/>
      <c r="G846" s="260"/>
      <c r="H846" s="260"/>
      <c r="I846" s="260"/>
      <c r="J846" s="260"/>
      <c r="K846" s="260"/>
      <c r="L846" s="260"/>
      <c r="M846" s="260"/>
      <c r="N846" s="260"/>
      <c r="O846" s="260"/>
      <c r="P846" s="260"/>
      <c r="Q846" s="260"/>
      <c r="R846" s="260"/>
      <c r="S846" s="260"/>
      <c r="T846" s="260"/>
      <c r="U846" s="260"/>
      <c r="V846" s="260"/>
      <c r="W846" s="260"/>
      <c r="X846" s="260"/>
      <c r="Y846" s="260"/>
      <c r="Z846" s="260"/>
      <c r="AA846" s="260"/>
      <c r="AB846" s="260"/>
      <c r="AC846" s="260"/>
      <c r="AD846" s="260"/>
    </row>
    <row r="847" spans="1:30" ht="15" thickBot="1">
      <c r="A847" s="260"/>
      <c r="B847" s="260"/>
      <c r="C847" s="260"/>
      <c r="D847" s="260"/>
      <c r="E847" s="260"/>
      <c r="F847" s="260"/>
      <c r="G847" s="260"/>
      <c r="H847" s="260"/>
      <c r="I847" s="260"/>
      <c r="J847" s="260"/>
      <c r="K847" s="260"/>
      <c r="L847" s="260"/>
      <c r="M847" s="260"/>
      <c r="N847" s="260"/>
      <c r="O847" s="260"/>
      <c r="P847" s="260"/>
      <c r="Q847" s="260"/>
      <c r="R847" s="260"/>
      <c r="S847" s="260"/>
      <c r="T847" s="260"/>
      <c r="U847" s="260"/>
      <c r="V847" s="260"/>
      <c r="W847" s="260"/>
      <c r="X847" s="260"/>
      <c r="Y847" s="260"/>
      <c r="Z847" s="260"/>
      <c r="AA847" s="260"/>
      <c r="AB847" s="260"/>
      <c r="AC847" s="260"/>
      <c r="AD847" s="260"/>
    </row>
    <row r="848" spans="1:30" ht="15" thickBot="1">
      <c r="A848" s="260"/>
      <c r="B848" s="260"/>
      <c r="C848" s="260"/>
      <c r="D848" s="260"/>
      <c r="E848" s="260"/>
      <c r="F848" s="260"/>
      <c r="G848" s="260"/>
      <c r="H848" s="260"/>
      <c r="I848" s="260"/>
      <c r="J848" s="260"/>
      <c r="K848" s="260"/>
      <c r="L848" s="260"/>
      <c r="M848" s="260"/>
      <c r="N848" s="260"/>
      <c r="O848" s="260"/>
      <c r="P848" s="260"/>
      <c r="Q848" s="260"/>
      <c r="R848" s="260"/>
      <c r="S848" s="260"/>
      <c r="T848" s="260"/>
      <c r="U848" s="260"/>
      <c r="V848" s="260"/>
      <c r="W848" s="260"/>
      <c r="X848" s="260"/>
      <c r="Y848" s="260"/>
      <c r="Z848" s="260"/>
      <c r="AA848" s="260"/>
      <c r="AB848" s="260"/>
      <c r="AC848" s="260"/>
      <c r="AD848" s="260"/>
    </row>
    <row r="849" spans="1:30" ht="15" thickBot="1">
      <c r="A849" s="260"/>
      <c r="B849" s="260"/>
      <c r="C849" s="260"/>
      <c r="D849" s="260"/>
      <c r="E849" s="260"/>
      <c r="F849" s="260"/>
      <c r="G849" s="260"/>
      <c r="H849" s="260"/>
      <c r="I849" s="260"/>
      <c r="J849" s="260"/>
      <c r="K849" s="260"/>
      <c r="L849" s="260"/>
      <c r="M849" s="260"/>
      <c r="N849" s="260"/>
      <c r="O849" s="260"/>
      <c r="P849" s="260"/>
      <c r="Q849" s="260"/>
      <c r="R849" s="260"/>
      <c r="S849" s="260"/>
      <c r="T849" s="260"/>
      <c r="U849" s="260"/>
      <c r="V849" s="260"/>
      <c r="W849" s="260"/>
      <c r="X849" s="260"/>
      <c r="Y849" s="260"/>
      <c r="Z849" s="260"/>
      <c r="AA849" s="260"/>
      <c r="AB849" s="260"/>
      <c r="AC849" s="260"/>
      <c r="AD849" s="260"/>
    </row>
    <row r="850" spans="1:30" ht="15" thickBot="1">
      <c r="A850" s="260"/>
      <c r="B850" s="260"/>
      <c r="C850" s="260"/>
      <c r="D850" s="260"/>
      <c r="E850" s="260"/>
      <c r="F850" s="260"/>
      <c r="G850" s="260"/>
      <c r="H850" s="260"/>
      <c r="I850" s="260"/>
      <c r="J850" s="260"/>
      <c r="K850" s="260"/>
      <c r="L850" s="260"/>
      <c r="M850" s="260"/>
      <c r="N850" s="260"/>
      <c r="O850" s="260"/>
      <c r="P850" s="260"/>
      <c r="Q850" s="260"/>
      <c r="R850" s="260"/>
      <c r="S850" s="260"/>
      <c r="T850" s="260"/>
      <c r="U850" s="260"/>
      <c r="V850" s="260"/>
      <c r="W850" s="260"/>
      <c r="X850" s="260"/>
      <c r="Y850" s="260"/>
      <c r="Z850" s="260"/>
      <c r="AA850" s="260"/>
      <c r="AB850" s="260"/>
      <c r="AC850" s="260"/>
      <c r="AD850" s="260"/>
    </row>
    <row r="851" spans="1:30" ht="15" thickBot="1">
      <c r="A851" s="260"/>
      <c r="B851" s="260"/>
      <c r="C851" s="260"/>
      <c r="D851" s="260"/>
      <c r="E851" s="260"/>
      <c r="F851" s="260"/>
      <c r="G851" s="260"/>
      <c r="H851" s="260"/>
      <c r="I851" s="260"/>
      <c r="J851" s="260"/>
      <c r="K851" s="260"/>
      <c r="L851" s="260"/>
      <c r="M851" s="260"/>
      <c r="N851" s="260"/>
      <c r="O851" s="260"/>
      <c r="P851" s="260"/>
      <c r="Q851" s="260"/>
      <c r="R851" s="260"/>
      <c r="S851" s="260"/>
      <c r="T851" s="260"/>
      <c r="U851" s="260"/>
      <c r="V851" s="260"/>
      <c r="W851" s="260"/>
      <c r="X851" s="260"/>
      <c r="Y851" s="260"/>
      <c r="Z851" s="260"/>
      <c r="AA851" s="260"/>
      <c r="AB851" s="260"/>
      <c r="AC851" s="260"/>
      <c r="AD851" s="260"/>
    </row>
    <row r="852" spans="1:30" ht="15" thickBot="1">
      <c r="A852" s="260"/>
      <c r="B852" s="260"/>
      <c r="C852" s="260"/>
      <c r="D852" s="260"/>
      <c r="E852" s="260"/>
      <c r="F852" s="260"/>
      <c r="G852" s="260"/>
      <c r="H852" s="260"/>
      <c r="I852" s="260"/>
      <c r="J852" s="260"/>
      <c r="K852" s="260"/>
      <c r="L852" s="260"/>
      <c r="M852" s="260"/>
      <c r="N852" s="260"/>
      <c r="O852" s="260"/>
      <c r="P852" s="260"/>
      <c r="Q852" s="260"/>
      <c r="R852" s="260"/>
      <c r="S852" s="260"/>
      <c r="T852" s="260"/>
      <c r="U852" s="260"/>
      <c r="V852" s="260"/>
      <c r="W852" s="260"/>
      <c r="X852" s="260"/>
      <c r="Y852" s="260"/>
      <c r="Z852" s="260"/>
      <c r="AA852" s="260"/>
      <c r="AB852" s="260"/>
      <c r="AC852" s="260"/>
      <c r="AD852" s="260"/>
    </row>
    <row r="853" spans="1:30" ht="15" thickBot="1">
      <c r="A853" s="260"/>
      <c r="B853" s="260"/>
      <c r="C853" s="260"/>
      <c r="D853" s="260"/>
      <c r="E853" s="260"/>
      <c r="F853" s="260"/>
      <c r="G853" s="260"/>
      <c r="H853" s="260"/>
      <c r="I853" s="260"/>
      <c r="J853" s="260"/>
      <c r="K853" s="260"/>
      <c r="L853" s="260"/>
      <c r="M853" s="260"/>
      <c r="N853" s="260"/>
      <c r="O853" s="260"/>
      <c r="P853" s="260"/>
      <c r="Q853" s="260"/>
      <c r="R853" s="260"/>
      <c r="S853" s="260"/>
      <c r="T853" s="260"/>
      <c r="U853" s="260"/>
      <c r="V853" s="260"/>
      <c r="W853" s="260"/>
      <c r="X853" s="260"/>
      <c r="Y853" s="260"/>
      <c r="Z853" s="260"/>
      <c r="AA853" s="260"/>
      <c r="AB853" s="260"/>
      <c r="AC853" s="260"/>
      <c r="AD853" s="260"/>
    </row>
    <row r="854" spans="1:30" ht="15" thickBot="1">
      <c r="A854" s="260"/>
      <c r="B854" s="260"/>
      <c r="C854" s="260"/>
      <c r="D854" s="260"/>
      <c r="E854" s="260"/>
      <c r="F854" s="260"/>
      <c r="G854" s="260"/>
      <c r="H854" s="260"/>
      <c r="I854" s="260"/>
      <c r="J854" s="260"/>
      <c r="K854" s="260"/>
      <c r="L854" s="260"/>
      <c r="M854" s="260"/>
      <c r="N854" s="260"/>
      <c r="O854" s="260"/>
      <c r="P854" s="260"/>
      <c r="Q854" s="260"/>
      <c r="R854" s="260"/>
      <c r="S854" s="260"/>
      <c r="T854" s="260"/>
      <c r="U854" s="260"/>
      <c r="V854" s="260"/>
      <c r="W854" s="260"/>
      <c r="X854" s="260"/>
      <c r="Y854" s="260"/>
      <c r="Z854" s="260"/>
      <c r="AA854" s="260"/>
      <c r="AB854" s="260"/>
      <c r="AC854" s="260"/>
      <c r="AD854" s="260"/>
    </row>
    <row r="855" spans="1:30" ht="15" thickBot="1">
      <c r="A855" s="260"/>
      <c r="B855" s="260"/>
      <c r="C855" s="260"/>
      <c r="D855" s="260"/>
      <c r="E855" s="260"/>
      <c r="F855" s="260"/>
      <c r="G855" s="260"/>
      <c r="H855" s="260"/>
      <c r="I855" s="260"/>
      <c r="J855" s="260"/>
      <c r="K855" s="260"/>
      <c r="L855" s="260"/>
      <c r="M855" s="260"/>
      <c r="N855" s="260"/>
      <c r="O855" s="260"/>
      <c r="P855" s="260"/>
      <c r="Q855" s="260"/>
      <c r="R855" s="260"/>
      <c r="S855" s="260"/>
      <c r="T855" s="260"/>
      <c r="U855" s="260"/>
      <c r="V855" s="260"/>
      <c r="W855" s="260"/>
      <c r="X855" s="260"/>
      <c r="Y855" s="260"/>
      <c r="Z855" s="260"/>
      <c r="AA855" s="260"/>
      <c r="AB855" s="260"/>
      <c r="AC855" s="260"/>
      <c r="AD855" s="260"/>
    </row>
    <row r="856" spans="1:30" ht="15" thickBot="1">
      <c r="A856" s="260"/>
      <c r="B856" s="260"/>
      <c r="C856" s="260"/>
      <c r="D856" s="260"/>
      <c r="E856" s="260"/>
      <c r="F856" s="260"/>
      <c r="G856" s="260"/>
      <c r="H856" s="260"/>
      <c r="I856" s="260"/>
      <c r="J856" s="260"/>
      <c r="K856" s="260"/>
      <c r="L856" s="260"/>
      <c r="M856" s="260"/>
      <c r="N856" s="260"/>
      <c r="O856" s="260"/>
      <c r="P856" s="260"/>
      <c r="Q856" s="260"/>
      <c r="R856" s="260"/>
      <c r="S856" s="260"/>
      <c r="T856" s="260"/>
      <c r="U856" s="260"/>
      <c r="V856" s="260"/>
      <c r="W856" s="260"/>
      <c r="X856" s="260"/>
      <c r="Y856" s="260"/>
      <c r="Z856" s="260"/>
      <c r="AA856" s="260"/>
      <c r="AB856" s="260"/>
      <c r="AC856" s="260"/>
      <c r="AD856" s="260"/>
    </row>
    <row r="857" spans="1:30" ht="15" thickBot="1">
      <c r="A857" s="260"/>
      <c r="B857" s="260"/>
      <c r="C857" s="260"/>
      <c r="D857" s="260"/>
      <c r="E857" s="260"/>
      <c r="F857" s="260"/>
      <c r="G857" s="260"/>
      <c r="H857" s="260"/>
      <c r="I857" s="260"/>
      <c r="J857" s="260"/>
      <c r="K857" s="260"/>
      <c r="L857" s="260"/>
      <c r="M857" s="260"/>
      <c r="N857" s="260"/>
      <c r="O857" s="260"/>
      <c r="P857" s="260"/>
      <c r="Q857" s="260"/>
      <c r="R857" s="260"/>
      <c r="S857" s="260"/>
      <c r="T857" s="260"/>
      <c r="U857" s="260"/>
      <c r="V857" s="260"/>
      <c r="W857" s="260"/>
      <c r="X857" s="260"/>
      <c r="Y857" s="260"/>
      <c r="Z857" s="260"/>
      <c r="AA857" s="260"/>
      <c r="AB857" s="260"/>
      <c r="AC857" s="260"/>
      <c r="AD857" s="260"/>
    </row>
    <row r="858" spans="1:30" ht="15" thickBot="1">
      <c r="A858" s="260"/>
      <c r="B858" s="260"/>
      <c r="C858" s="260"/>
      <c r="D858" s="260"/>
      <c r="E858" s="260"/>
      <c r="F858" s="260"/>
      <c r="G858" s="260"/>
      <c r="H858" s="260"/>
      <c r="I858" s="260"/>
      <c r="J858" s="260"/>
      <c r="K858" s="260"/>
      <c r="L858" s="260"/>
      <c r="M858" s="260"/>
      <c r="N858" s="260"/>
      <c r="O858" s="260"/>
      <c r="P858" s="260"/>
      <c r="Q858" s="260"/>
      <c r="R858" s="260"/>
      <c r="S858" s="260"/>
      <c r="T858" s="260"/>
      <c r="U858" s="260"/>
      <c r="V858" s="260"/>
      <c r="W858" s="260"/>
      <c r="X858" s="260"/>
      <c r="Y858" s="260"/>
      <c r="Z858" s="260"/>
      <c r="AA858" s="260"/>
      <c r="AB858" s="260"/>
      <c r="AC858" s="260"/>
      <c r="AD858" s="260"/>
    </row>
    <row r="859" spans="1:30" ht="15" thickBot="1">
      <c r="A859" s="260"/>
      <c r="B859" s="260"/>
      <c r="C859" s="260"/>
      <c r="D859" s="260"/>
      <c r="E859" s="260"/>
      <c r="F859" s="260"/>
      <c r="G859" s="260"/>
      <c r="H859" s="260"/>
      <c r="I859" s="260"/>
      <c r="J859" s="260"/>
      <c r="K859" s="260"/>
      <c r="L859" s="260"/>
      <c r="M859" s="260"/>
      <c r="N859" s="260"/>
      <c r="O859" s="260"/>
      <c r="P859" s="260"/>
      <c r="Q859" s="260"/>
      <c r="R859" s="260"/>
      <c r="S859" s="260"/>
      <c r="T859" s="260"/>
      <c r="U859" s="260"/>
      <c r="V859" s="260"/>
      <c r="W859" s="260"/>
      <c r="X859" s="260"/>
      <c r="Y859" s="260"/>
      <c r="Z859" s="260"/>
      <c r="AA859" s="260"/>
      <c r="AB859" s="260"/>
      <c r="AC859" s="260"/>
      <c r="AD859" s="260"/>
    </row>
    <row r="860" spans="1:30" ht="15" thickBot="1">
      <c r="A860" s="260"/>
      <c r="B860" s="260"/>
      <c r="C860" s="260"/>
      <c r="D860" s="260"/>
      <c r="E860" s="260"/>
      <c r="F860" s="260"/>
      <c r="G860" s="260"/>
      <c r="H860" s="260"/>
      <c r="I860" s="260"/>
      <c r="J860" s="260"/>
      <c r="K860" s="260"/>
      <c r="L860" s="260"/>
      <c r="M860" s="260"/>
      <c r="N860" s="260"/>
      <c r="O860" s="260"/>
      <c r="P860" s="260"/>
      <c r="Q860" s="260"/>
      <c r="R860" s="260"/>
      <c r="S860" s="260"/>
      <c r="T860" s="260"/>
      <c r="U860" s="260"/>
      <c r="V860" s="260"/>
      <c r="W860" s="260"/>
      <c r="X860" s="260"/>
      <c r="Y860" s="260"/>
      <c r="Z860" s="260"/>
      <c r="AA860" s="260"/>
      <c r="AB860" s="260"/>
      <c r="AC860" s="260"/>
      <c r="AD860" s="260"/>
    </row>
    <row r="861" spans="1:30" ht="15" thickBot="1">
      <c r="A861" s="260"/>
      <c r="B861" s="260"/>
      <c r="C861" s="260"/>
      <c r="D861" s="260"/>
      <c r="E861" s="260"/>
      <c r="F861" s="260"/>
      <c r="G861" s="260"/>
      <c r="H861" s="260"/>
      <c r="I861" s="260"/>
      <c r="J861" s="260"/>
      <c r="K861" s="260"/>
      <c r="L861" s="260"/>
      <c r="M861" s="260"/>
      <c r="N861" s="260"/>
      <c r="O861" s="260"/>
      <c r="P861" s="260"/>
      <c r="Q861" s="260"/>
      <c r="R861" s="260"/>
      <c r="S861" s="260"/>
      <c r="T861" s="260"/>
      <c r="U861" s="260"/>
      <c r="V861" s="260"/>
      <c r="W861" s="260"/>
      <c r="X861" s="260"/>
      <c r="Y861" s="260"/>
      <c r="Z861" s="260"/>
      <c r="AA861" s="260"/>
      <c r="AB861" s="260"/>
      <c r="AC861" s="260"/>
      <c r="AD861" s="260"/>
    </row>
    <row r="862" spans="1:30" ht="15" thickBot="1">
      <c r="A862" s="260"/>
      <c r="B862" s="260"/>
      <c r="C862" s="260"/>
      <c r="D862" s="260"/>
      <c r="E862" s="260"/>
      <c r="F862" s="260"/>
      <c r="G862" s="260"/>
      <c r="H862" s="260"/>
      <c r="I862" s="260"/>
      <c r="J862" s="260"/>
      <c r="K862" s="260"/>
      <c r="L862" s="260"/>
      <c r="M862" s="260"/>
      <c r="N862" s="260"/>
      <c r="O862" s="260"/>
      <c r="P862" s="260"/>
      <c r="Q862" s="260"/>
      <c r="R862" s="260"/>
      <c r="S862" s="260"/>
      <c r="T862" s="260"/>
      <c r="U862" s="260"/>
      <c r="V862" s="260"/>
      <c r="W862" s="260"/>
      <c r="X862" s="260"/>
      <c r="Y862" s="260"/>
      <c r="Z862" s="260"/>
      <c r="AA862" s="260"/>
      <c r="AB862" s="260"/>
      <c r="AC862" s="260"/>
      <c r="AD862" s="260"/>
    </row>
    <row r="863" spans="1:30" ht="15" thickBot="1">
      <c r="A863" s="260"/>
      <c r="B863" s="260"/>
      <c r="C863" s="260"/>
      <c r="D863" s="260"/>
      <c r="E863" s="260"/>
      <c r="F863" s="260"/>
      <c r="G863" s="260"/>
      <c r="H863" s="260"/>
      <c r="I863" s="260"/>
      <c r="J863" s="260"/>
      <c r="K863" s="260"/>
      <c r="L863" s="260"/>
      <c r="M863" s="260"/>
      <c r="N863" s="260"/>
      <c r="O863" s="260"/>
      <c r="P863" s="260"/>
      <c r="Q863" s="260"/>
      <c r="R863" s="260"/>
      <c r="S863" s="260"/>
      <c r="T863" s="260"/>
      <c r="U863" s="260"/>
      <c r="V863" s="260"/>
      <c r="W863" s="260"/>
      <c r="X863" s="260"/>
      <c r="Y863" s="260"/>
      <c r="Z863" s="260"/>
      <c r="AA863" s="260"/>
      <c r="AB863" s="260"/>
      <c r="AC863" s="260"/>
      <c r="AD863" s="260"/>
    </row>
    <row r="864" spans="1:30" ht="15" thickBot="1">
      <c r="A864" s="260"/>
      <c r="B864" s="260"/>
      <c r="C864" s="260"/>
      <c r="D864" s="260"/>
      <c r="E864" s="260"/>
      <c r="F864" s="260"/>
      <c r="G864" s="260"/>
      <c r="H864" s="260"/>
      <c r="I864" s="260"/>
      <c r="J864" s="260"/>
      <c r="K864" s="260"/>
      <c r="L864" s="260"/>
      <c r="M864" s="260"/>
      <c r="N864" s="260"/>
      <c r="O864" s="260"/>
      <c r="P864" s="260"/>
      <c r="Q864" s="260"/>
      <c r="R864" s="260"/>
      <c r="S864" s="260"/>
      <c r="T864" s="260"/>
      <c r="U864" s="260"/>
      <c r="V864" s="260"/>
      <c r="W864" s="260"/>
      <c r="X864" s="260"/>
      <c r="Y864" s="260"/>
      <c r="Z864" s="260"/>
      <c r="AA864" s="260"/>
      <c r="AB864" s="260"/>
      <c r="AC864" s="260"/>
      <c r="AD864" s="260"/>
    </row>
    <row r="865" spans="1:30" ht="15" thickBot="1">
      <c r="A865" s="260"/>
      <c r="B865" s="260"/>
      <c r="C865" s="260"/>
      <c r="D865" s="260"/>
      <c r="E865" s="260"/>
      <c r="F865" s="260"/>
      <c r="G865" s="260"/>
      <c r="H865" s="260"/>
      <c r="I865" s="260"/>
      <c r="J865" s="260"/>
      <c r="K865" s="260"/>
      <c r="L865" s="260"/>
      <c r="M865" s="260"/>
      <c r="N865" s="260"/>
      <c r="O865" s="260"/>
      <c r="P865" s="260"/>
      <c r="Q865" s="260"/>
      <c r="R865" s="260"/>
      <c r="S865" s="260"/>
      <c r="T865" s="260"/>
      <c r="U865" s="260"/>
      <c r="V865" s="260"/>
      <c r="W865" s="260"/>
      <c r="X865" s="260"/>
      <c r="Y865" s="260"/>
      <c r="Z865" s="260"/>
      <c r="AA865" s="260"/>
      <c r="AB865" s="260"/>
      <c r="AC865" s="260"/>
      <c r="AD865" s="260"/>
    </row>
    <row r="866" spans="1:30" ht="15" thickBot="1">
      <c r="A866" s="260"/>
      <c r="B866" s="260"/>
      <c r="C866" s="260"/>
      <c r="D866" s="260"/>
      <c r="E866" s="260"/>
      <c r="F866" s="260"/>
      <c r="G866" s="260"/>
      <c r="H866" s="260"/>
      <c r="I866" s="260"/>
      <c r="J866" s="260"/>
      <c r="K866" s="260"/>
      <c r="L866" s="260"/>
      <c r="M866" s="260"/>
      <c r="N866" s="260"/>
      <c r="O866" s="260"/>
      <c r="P866" s="260"/>
      <c r="Q866" s="260"/>
      <c r="R866" s="260"/>
      <c r="S866" s="260"/>
      <c r="T866" s="260"/>
      <c r="U866" s="260"/>
      <c r="V866" s="260"/>
      <c r="W866" s="260"/>
      <c r="X866" s="260"/>
      <c r="Y866" s="260"/>
      <c r="Z866" s="260"/>
      <c r="AA866" s="260"/>
      <c r="AB866" s="260"/>
      <c r="AC866" s="260"/>
      <c r="AD866" s="260"/>
    </row>
    <row r="867" spans="1:30" ht="15" thickBot="1">
      <c r="A867" s="260"/>
      <c r="B867" s="260"/>
      <c r="C867" s="260"/>
      <c r="D867" s="260"/>
      <c r="E867" s="260"/>
      <c r="F867" s="260"/>
      <c r="G867" s="260"/>
      <c r="H867" s="260"/>
      <c r="I867" s="260"/>
      <c r="J867" s="260"/>
      <c r="K867" s="260"/>
      <c r="L867" s="260"/>
      <c r="M867" s="260"/>
      <c r="N867" s="260"/>
      <c r="O867" s="260"/>
      <c r="P867" s="260"/>
      <c r="Q867" s="260"/>
      <c r="R867" s="260"/>
      <c r="S867" s="260"/>
      <c r="T867" s="260"/>
      <c r="U867" s="260"/>
      <c r="V867" s="260"/>
      <c r="W867" s="260"/>
      <c r="X867" s="260"/>
      <c r="Y867" s="260"/>
      <c r="Z867" s="260"/>
      <c r="AA867" s="260"/>
      <c r="AB867" s="260"/>
      <c r="AC867" s="260"/>
      <c r="AD867" s="260"/>
    </row>
    <row r="868" spans="1:30" ht="15" thickBot="1">
      <c r="A868" s="260"/>
      <c r="B868" s="260"/>
      <c r="C868" s="260"/>
      <c r="D868" s="260"/>
      <c r="E868" s="260"/>
      <c r="F868" s="260"/>
      <c r="G868" s="260"/>
      <c r="H868" s="260"/>
      <c r="I868" s="260"/>
      <c r="J868" s="260"/>
      <c r="K868" s="260"/>
      <c r="L868" s="260"/>
      <c r="M868" s="260"/>
      <c r="N868" s="260"/>
      <c r="O868" s="260"/>
      <c r="P868" s="260"/>
      <c r="Q868" s="260"/>
      <c r="R868" s="260"/>
      <c r="S868" s="260"/>
      <c r="T868" s="260"/>
      <c r="U868" s="260"/>
      <c r="V868" s="260"/>
      <c r="W868" s="260"/>
      <c r="X868" s="260"/>
      <c r="Y868" s="260"/>
      <c r="Z868" s="260"/>
      <c r="AA868" s="260"/>
      <c r="AB868" s="260"/>
      <c r="AC868" s="260"/>
      <c r="AD868" s="260"/>
    </row>
    <row r="869" spans="1:30" ht="15" thickBot="1">
      <c r="A869" s="260"/>
      <c r="B869" s="260"/>
      <c r="C869" s="260"/>
      <c r="D869" s="260"/>
      <c r="E869" s="260"/>
      <c r="F869" s="260"/>
      <c r="G869" s="260"/>
      <c r="H869" s="260"/>
      <c r="I869" s="260"/>
      <c r="J869" s="260"/>
      <c r="K869" s="260"/>
      <c r="L869" s="260"/>
      <c r="M869" s="260"/>
      <c r="N869" s="260"/>
      <c r="O869" s="260"/>
      <c r="P869" s="260"/>
      <c r="Q869" s="260"/>
      <c r="R869" s="260"/>
      <c r="S869" s="260"/>
      <c r="T869" s="260"/>
      <c r="U869" s="260"/>
      <c r="V869" s="260"/>
      <c r="W869" s="260"/>
      <c r="X869" s="260"/>
      <c r="Y869" s="260"/>
      <c r="Z869" s="260"/>
      <c r="AA869" s="260"/>
      <c r="AB869" s="260"/>
      <c r="AC869" s="260"/>
      <c r="AD869" s="260"/>
    </row>
    <row r="870" spans="1:30" ht="15" thickBot="1">
      <c r="A870" s="260"/>
      <c r="B870" s="260"/>
      <c r="C870" s="260"/>
      <c r="D870" s="260"/>
      <c r="E870" s="260"/>
      <c r="F870" s="260"/>
      <c r="G870" s="260"/>
      <c r="H870" s="260"/>
      <c r="I870" s="260"/>
      <c r="J870" s="260"/>
      <c r="K870" s="260"/>
      <c r="L870" s="260"/>
      <c r="M870" s="260"/>
      <c r="N870" s="260"/>
      <c r="O870" s="260"/>
      <c r="P870" s="260"/>
      <c r="Q870" s="260"/>
      <c r="R870" s="260"/>
      <c r="S870" s="260"/>
      <c r="T870" s="260"/>
      <c r="U870" s="260"/>
      <c r="V870" s="260"/>
      <c r="W870" s="260"/>
      <c r="X870" s="260"/>
      <c r="Y870" s="260"/>
      <c r="Z870" s="260"/>
      <c r="AA870" s="260"/>
      <c r="AB870" s="260"/>
      <c r="AC870" s="260"/>
      <c r="AD870" s="260"/>
    </row>
    <row r="871" spans="1:30" ht="15" thickBot="1">
      <c r="A871" s="260"/>
      <c r="B871" s="260"/>
      <c r="C871" s="260"/>
      <c r="D871" s="260"/>
      <c r="E871" s="260"/>
      <c r="F871" s="260"/>
      <c r="G871" s="260"/>
      <c r="H871" s="260"/>
      <c r="I871" s="260"/>
      <c r="J871" s="260"/>
      <c r="K871" s="260"/>
      <c r="L871" s="260"/>
      <c r="M871" s="260"/>
      <c r="N871" s="260"/>
      <c r="O871" s="260"/>
      <c r="P871" s="260"/>
      <c r="Q871" s="260"/>
      <c r="R871" s="260"/>
      <c r="S871" s="260"/>
      <c r="T871" s="260"/>
      <c r="U871" s="260"/>
      <c r="V871" s="260"/>
      <c r="W871" s="260"/>
      <c r="X871" s="260"/>
      <c r="Y871" s="260"/>
      <c r="Z871" s="260"/>
      <c r="AA871" s="260"/>
      <c r="AB871" s="260"/>
      <c r="AC871" s="260"/>
      <c r="AD871" s="260"/>
    </row>
    <row r="872" spans="1:30" ht="15" thickBot="1">
      <c r="A872" s="260"/>
      <c r="B872" s="260"/>
      <c r="C872" s="260"/>
      <c r="D872" s="260"/>
      <c r="E872" s="260"/>
      <c r="F872" s="260"/>
      <c r="G872" s="260"/>
      <c r="H872" s="260"/>
      <c r="I872" s="260"/>
      <c r="J872" s="260"/>
      <c r="K872" s="260"/>
      <c r="L872" s="260"/>
      <c r="M872" s="260"/>
      <c r="N872" s="260"/>
      <c r="O872" s="260"/>
      <c r="P872" s="260"/>
      <c r="Q872" s="260"/>
      <c r="R872" s="260"/>
      <c r="S872" s="260"/>
      <c r="T872" s="260"/>
      <c r="U872" s="260"/>
      <c r="V872" s="260"/>
      <c r="W872" s="260"/>
      <c r="X872" s="260"/>
      <c r="Y872" s="260"/>
      <c r="Z872" s="260"/>
      <c r="AA872" s="260"/>
      <c r="AB872" s="260"/>
      <c r="AC872" s="260"/>
      <c r="AD872" s="260"/>
    </row>
    <row r="873" spans="1:30" ht="15" thickBot="1">
      <c r="A873" s="260"/>
      <c r="B873" s="260"/>
      <c r="C873" s="260"/>
      <c r="D873" s="260"/>
      <c r="E873" s="260"/>
      <c r="F873" s="260"/>
      <c r="G873" s="260"/>
      <c r="H873" s="260"/>
      <c r="I873" s="260"/>
      <c r="J873" s="260"/>
      <c r="K873" s="260"/>
      <c r="L873" s="260"/>
      <c r="M873" s="260"/>
      <c r="N873" s="260"/>
      <c r="O873" s="260"/>
      <c r="P873" s="260"/>
      <c r="Q873" s="260"/>
      <c r="R873" s="260"/>
      <c r="S873" s="260"/>
      <c r="T873" s="260"/>
      <c r="U873" s="260"/>
      <c r="V873" s="260"/>
      <c r="W873" s="260"/>
      <c r="X873" s="260"/>
      <c r="Y873" s="260"/>
      <c r="Z873" s="260"/>
      <c r="AA873" s="260"/>
      <c r="AB873" s="260"/>
      <c r="AC873" s="260"/>
      <c r="AD873" s="260"/>
    </row>
    <row r="874" spans="1:30" ht="15" thickBot="1">
      <c r="A874" s="260"/>
      <c r="B874" s="260"/>
      <c r="C874" s="260"/>
      <c r="D874" s="260"/>
      <c r="E874" s="260"/>
      <c r="F874" s="260"/>
      <c r="G874" s="260"/>
      <c r="H874" s="260"/>
      <c r="I874" s="260"/>
      <c r="J874" s="260"/>
      <c r="K874" s="260"/>
      <c r="L874" s="260"/>
      <c r="M874" s="260"/>
      <c r="N874" s="260"/>
      <c r="O874" s="260"/>
      <c r="P874" s="260"/>
      <c r="Q874" s="260"/>
      <c r="R874" s="260"/>
      <c r="S874" s="260"/>
      <c r="T874" s="260"/>
      <c r="U874" s="260"/>
      <c r="V874" s="260"/>
      <c r="W874" s="260"/>
      <c r="X874" s="260"/>
      <c r="Y874" s="260"/>
      <c r="Z874" s="260"/>
      <c r="AA874" s="260"/>
      <c r="AB874" s="260"/>
      <c r="AC874" s="260"/>
      <c r="AD874" s="260"/>
    </row>
    <row r="875" spans="1:30" ht="15" thickBot="1">
      <c r="A875" s="260"/>
      <c r="B875" s="260"/>
      <c r="C875" s="260"/>
      <c r="D875" s="260"/>
      <c r="E875" s="260"/>
      <c r="F875" s="260"/>
      <c r="G875" s="260"/>
      <c r="H875" s="260"/>
      <c r="I875" s="260"/>
      <c r="J875" s="260"/>
      <c r="K875" s="260"/>
      <c r="L875" s="260"/>
      <c r="M875" s="260"/>
      <c r="N875" s="260"/>
      <c r="O875" s="260"/>
      <c r="P875" s="260"/>
      <c r="Q875" s="260"/>
      <c r="R875" s="260"/>
      <c r="S875" s="260"/>
      <c r="T875" s="260"/>
      <c r="U875" s="260"/>
      <c r="V875" s="260"/>
      <c r="W875" s="260"/>
      <c r="X875" s="260"/>
      <c r="Y875" s="260"/>
      <c r="Z875" s="260"/>
      <c r="AA875" s="260"/>
      <c r="AB875" s="260"/>
      <c r="AC875" s="260"/>
      <c r="AD875" s="260"/>
    </row>
    <row r="876" spans="1:30" ht="15" thickBot="1">
      <c r="A876" s="260"/>
      <c r="B876" s="260"/>
      <c r="C876" s="260"/>
      <c r="D876" s="260"/>
      <c r="E876" s="260"/>
      <c r="F876" s="260"/>
      <c r="G876" s="260"/>
      <c r="H876" s="260"/>
      <c r="I876" s="260"/>
      <c r="J876" s="260"/>
      <c r="K876" s="260"/>
      <c r="L876" s="260"/>
      <c r="M876" s="260"/>
      <c r="N876" s="260"/>
      <c r="O876" s="260"/>
      <c r="P876" s="260"/>
      <c r="Q876" s="260"/>
      <c r="R876" s="260"/>
      <c r="S876" s="260"/>
      <c r="T876" s="260"/>
      <c r="U876" s="260"/>
      <c r="V876" s="260"/>
      <c r="W876" s="260"/>
      <c r="X876" s="260"/>
      <c r="Y876" s="260"/>
      <c r="Z876" s="260"/>
      <c r="AA876" s="260"/>
      <c r="AB876" s="260"/>
      <c r="AC876" s="260"/>
      <c r="AD876" s="260"/>
    </row>
    <row r="877" spans="1:30" ht="15" thickBot="1">
      <c r="A877" s="260"/>
      <c r="B877" s="260"/>
      <c r="C877" s="260"/>
      <c r="D877" s="260"/>
      <c r="E877" s="260"/>
      <c r="F877" s="260"/>
      <c r="G877" s="260"/>
      <c r="H877" s="260"/>
      <c r="I877" s="260"/>
      <c r="J877" s="260"/>
      <c r="K877" s="260"/>
      <c r="L877" s="260"/>
      <c r="M877" s="260"/>
      <c r="N877" s="260"/>
      <c r="O877" s="260"/>
      <c r="P877" s="260"/>
      <c r="Q877" s="260"/>
      <c r="R877" s="260"/>
      <c r="S877" s="260"/>
      <c r="T877" s="260"/>
      <c r="U877" s="260"/>
      <c r="V877" s="260"/>
      <c r="W877" s="260"/>
      <c r="X877" s="260"/>
      <c r="Y877" s="260"/>
      <c r="Z877" s="260"/>
      <c r="AA877" s="260"/>
      <c r="AB877" s="260"/>
      <c r="AC877" s="260"/>
      <c r="AD877" s="260"/>
    </row>
    <row r="878" spans="1:30" ht="15" thickBot="1">
      <c r="A878" s="260"/>
      <c r="B878" s="260"/>
      <c r="C878" s="260"/>
      <c r="D878" s="260"/>
      <c r="E878" s="260"/>
      <c r="F878" s="260"/>
      <c r="G878" s="260"/>
      <c r="H878" s="260"/>
      <c r="I878" s="260"/>
      <c r="J878" s="260"/>
      <c r="K878" s="260"/>
      <c r="L878" s="260"/>
      <c r="M878" s="260"/>
      <c r="N878" s="260"/>
      <c r="O878" s="260"/>
      <c r="P878" s="260"/>
      <c r="Q878" s="260"/>
      <c r="R878" s="260"/>
      <c r="S878" s="260"/>
      <c r="T878" s="260"/>
      <c r="U878" s="260"/>
      <c r="V878" s="260"/>
      <c r="W878" s="260"/>
      <c r="X878" s="260"/>
      <c r="Y878" s="260"/>
      <c r="Z878" s="260"/>
      <c r="AA878" s="260"/>
      <c r="AB878" s="260"/>
      <c r="AC878" s="260"/>
      <c r="AD878" s="260"/>
    </row>
    <row r="879" spans="1:30" ht="15" thickBot="1">
      <c r="A879" s="260"/>
      <c r="B879" s="260"/>
      <c r="C879" s="260"/>
      <c r="D879" s="260"/>
      <c r="E879" s="260"/>
      <c r="F879" s="260"/>
      <c r="G879" s="260"/>
      <c r="H879" s="260"/>
      <c r="I879" s="260"/>
      <c r="J879" s="260"/>
      <c r="K879" s="260"/>
      <c r="L879" s="260"/>
      <c r="M879" s="260"/>
      <c r="N879" s="260"/>
      <c r="O879" s="260"/>
      <c r="P879" s="260"/>
      <c r="Q879" s="260"/>
      <c r="R879" s="260"/>
      <c r="S879" s="260"/>
      <c r="T879" s="260"/>
      <c r="U879" s="260"/>
      <c r="V879" s="260"/>
      <c r="W879" s="260"/>
      <c r="X879" s="260"/>
      <c r="Y879" s="260"/>
      <c r="Z879" s="260"/>
      <c r="AA879" s="260"/>
      <c r="AB879" s="260"/>
      <c r="AC879" s="260"/>
      <c r="AD879" s="260"/>
    </row>
    <row r="880" spans="1:30" ht="15" thickBot="1">
      <c r="A880" s="260"/>
      <c r="B880" s="260"/>
      <c r="C880" s="260"/>
      <c r="D880" s="260"/>
      <c r="E880" s="260"/>
      <c r="F880" s="260"/>
      <c r="G880" s="260"/>
      <c r="H880" s="260"/>
      <c r="I880" s="260"/>
      <c r="J880" s="260"/>
      <c r="K880" s="260"/>
      <c r="L880" s="260"/>
      <c r="M880" s="260"/>
      <c r="N880" s="260"/>
      <c r="O880" s="260"/>
      <c r="P880" s="260"/>
      <c r="Q880" s="260"/>
      <c r="R880" s="260"/>
      <c r="S880" s="260"/>
      <c r="T880" s="260"/>
      <c r="U880" s="260"/>
      <c r="V880" s="260"/>
      <c r="W880" s="260"/>
      <c r="X880" s="260"/>
      <c r="Y880" s="260"/>
      <c r="Z880" s="260"/>
      <c r="AA880" s="260"/>
      <c r="AB880" s="260"/>
      <c r="AC880" s="260"/>
      <c r="AD880" s="260"/>
    </row>
    <row r="881" spans="1:30" ht="15" thickBot="1">
      <c r="A881" s="260"/>
      <c r="B881" s="260"/>
      <c r="C881" s="260"/>
      <c r="D881" s="260"/>
      <c r="E881" s="260"/>
      <c r="F881" s="260"/>
      <c r="G881" s="260"/>
      <c r="H881" s="260"/>
      <c r="I881" s="260"/>
      <c r="J881" s="260"/>
      <c r="K881" s="260"/>
      <c r="L881" s="260"/>
      <c r="M881" s="260"/>
      <c r="N881" s="260"/>
      <c r="O881" s="260"/>
      <c r="P881" s="260"/>
      <c r="Q881" s="260"/>
      <c r="R881" s="260"/>
      <c r="S881" s="260"/>
      <c r="T881" s="260"/>
      <c r="U881" s="260"/>
      <c r="V881" s="260"/>
      <c r="W881" s="260"/>
      <c r="X881" s="260"/>
      <c r="Y881" s="260"/>
      <c r="Z881" s="260"/>
      <c r="AA881" s="260"/>
      <c r="AB881" s="260"/>
      <c r="AC881" s="260"/>
      <c r="AD881" s="260"/>
    </row>
    <row r="882" spans="1:30" ht="15" thickBot="1">
      <c r="A882" s="260"/>
      <c r="B882" s="260"/>
      <c r="C882" s="260"/>
      <c r="D882" s="260"/>
      <c r="E882" s="260"/>
      <c r="F882" s="260"/>
      <c r="G882" s="260"/>
      <c r="H882" s="260"/>
      <c r="I882" s="260"/>
      <c r="J882" s="260"/>
      <c r="K882" s="260"/>
      <c r="L882" s="260"/>
      <c r="M882" s="260"/>
      <c r="N882" s="260"/>
      <c r="O882" s="260"/>
      <c r="P882" s="260"/>
      <c r="Q882" s="260"/>
      <c r="R882" s="260"/>
      <c r="S882" s="260"/>
      <c r="T882" s="260"/>
      <c r="U882" s="260"/>
      <c r="V882" s="260"/>
      <c r="W882" s="260"/>
      <c r="X882" s="260"/>
      <c r="Y882" s="260"/>
      <c r="Z882" s="260"/>
      <c r="AA882" s="260"/>
      <c r="AB882" s="260"/>
      <c r="AC882" s="260"/>
      <c r="AD882" s="260"/>
    </row>
    <row r="883" spans="1:30" ht="15" thickBot="1">
      <c r="A883" s="260"/>
      <c r="B883" s="260"/>
      <c r="C883" s="260"/>
      <c r="D883" s="260"/>
      <c r="E883" s="260"/>
      <c r="F883" s="260"/>
      <c r="G883" s="260"/>
      <c r="H883" s="260"/>
      <c r="I883" s="260"/>
      <c r="J883" s="260"/>
      <c r="K883" s="260"/>
      <c r="L883" s="260"/>
      <c r="M883" s="260"/>
      <c r="N883" s="260"/>
      <c r="O883" s="260"/>
      <c r="P883" s="260"/>
      <c r="Q883" s="260"/>
      <c r="R883" s="260"/>
      <c r="S883" s="260"/>
      <c r="T883" s="260"/>
      <c r="U883" s="260"/>
      <c r="V883" s="260"/>
      <c r="W883" s="260"/>
      <c r="X883" s="260"/>
      <c r="Y883" s="260"/>
      <c r="Z883" s="260"/>
      <c r="AA883" s="260"/>
      <c r="AB883" s="260"/>
      <c r="AC883" s="260"/>
      <c r="AD883" s="260"/>
    </row>
    <row r="884" spans="1:30" ht="15" thickBot="1">
      <c r="A884" s="260"/>
      <c r="B884" s="260"/>
      <c r="C884" s="260"/>
      <c r="D884" s="260"/>
      <c r="E884" s="260"/>
      <c r="F884" s="260"/>
      <c r="G884" s="260"/>
      <c r="H884" s="260"/>
      <c r="I884" s="260"/>
      <c r="J884" s="260"/>
      <c r="K884" s="260"/>
      <c r="L884" s="260"/>
      <c r="M884" s="260"/>
      <c r="N884" s="260"/>
      <c r="O884" s="260"/>
      <c r="P884" s="260"/>
      <c r="Q884" s="260"/>
      <c r="R884" s="260"/>
      <c r="S884" s="260"/>
      <c r="T884" s="260"/>
      <c r="U884" s="260"/>
      <c r="V884" s="260"/>
      <c r="W884" s="260"/>
      <c r="X884" s="260"/>
      <c r="Y884" s="260"/>
      <c r="Z884" s="260"/>
      <c r="AA884" s="260"/>
      <c r="AB884" s="260"/>
      <c r="AC884" s="260"/>
      <c r="AD884" s="260"/>
    </row>
    <row r="885" spans="1:30" ht="15" thickBot="1">
      <c r="A885" s="260"/>
      <c r="B885" s="260"/>
      <c r="C885" s="260"/>
      <c r="D885" s="260"/>
      <c r="E885" s="260"/>
      <c r="F885" s="260"/>
      <c r="G885" s="260"/>
      <c r="H885" s="260"/>
      <c r="I885" s="260"/>
      <c r="J885" s="260"/>
      <c r="K885" s="260"/>
      <c r="L885" s="260"/>
      <c r="M885" s="260"/>
      <c r="N885" s="260"/>
      <c r="O885" s="260"/>
      <c r="P885" s="260"/>
      <c r="Q885" s="260"/>
      <c r="R885" s="260"/>
      <c r="S885" s="260"/>
      <c r="T885" s="260"/>
      <c r="U885" s="260"/>
      <c r="V885" s="260"/>
      <c r="W885" s="260"/>
      <c r="X885" s="260"/>
      <c r="Y885" s="260"/>
      <c r="Z885" s="260"/>
      <c r="AA885" s="260"/>
      <c r="AB885" s="260"/>
      <c r="AC885" s="260"/>
      <c r="AD885" s="260"/>
    </row>
    <row r="886" spans="1:30" ht="15" thickBot="1">
      <c r="A886" s="260"/>
      <c r="B886" s="260"/>
      <c r="C886" s="260"/>
      <c r="D886" s="260"/>
      <c r="E886" s="260"/>
      <c r="F886" s="260"/>
      <c r="G886" s="260"/>
      <c r="H886" s="260"/>
      <c r="I886" s="260"/>
      <c r="J886" s="260"/>
      <c r="K886" s="260"/>
      <c r="L886" s="260"/>
      <c r="M886" s="260"/>
      <c r="N886" s="260"/>
      <c r="O886" s="260"/>
      <c r="P886" s="260"/>
      <c r="Q886" s="260"/>
      <c r="R886" s="260"/>
      <c r="S886" s="260"/>
      <c r="T886" s="260"/>
      <c r="U886" s="260"/>
      <c r="V886" s="260"/>
      <c r="W886" s="260"/>
      <c r="X886" s="260"/>
      <c r="Y886" s="260"/>
      <c r="Z886" s="260"/>
      <c r="AA886" s="260"/>
      <c r="AB886" s="260"/>
      <c r="AC886" s="260"/>
      <c r="AD886" s="260"/>
    </row>
    <row r="887" spans="1:30" ht="15" thickBot="1">
      <c r="A887" s="260"/>
      <c r="B887" s="260"/>
      <c r="C887" s="260"/>
      <c r="D887" s="260"/>
      <c r="E887" s="260"/>
      <c r="F887" s="260"/>
      <c r="G887" s="260"/>
      <c r="H887" s="260"/>
      <c r="I887" s="260"/>
      <c r="J887" s="260"/>
      <c r="K887" s="260"/>
      <c r="L887" s="260"/>
      <c r="M887" s="260"/>
      <c r="N887" s="260"/>
      <c r="O887" s="260"/>
      <c r="P887" s="260"/>
      <c r="Q887" s="260"/>
      <c r="R887" s="260"/>
      <c r="S887" s="260"/>
      <c r="T887" s="260"/>
      <c r="U887" s="260"/>
      <c r="V887" s="260"/>
      <c r="W887" s="260"/>
      <c r="X887" s="260"/>
      <c r="Y887" s="260"/>
      <c r="Z887" s="260"/>
      <c r="AA887" s="260"/>
      <c r="AB887" s="260"/>
      <c r="AC887" s="260"/>
      <c r="AD887" s="260"/>
    </row>
    <row r="888" spans="1:30" ht="15" thickBot="1">
      <c r="A888" s="260"/>
      <c r="B888" s="260"/>
      <c r="C888" s="260"/>
      <c r="D888" s="260"/>
      <c r="E888" s="260"/>
      <c r="F888" s="260"/>
      <c r="G888" s="260"/>
      <c r="H888" s="260"/>
      <c r="I888" s="260"/>
      <c r="J888" s="260"/>
      <c r="K888" s="260"/>
      <c r="L888" s="260"/>
      <c r="M888" s="260"/>
      <c r="N888" s="260"/>
      <c r="O888" s="260"/>
      <c r="P888" s="260"/>
      <c r="Q888" s="260"/>
      <c r="R888" s="260"/>
      <c r="S888" s="260"/>
      <c r="T888" s="260"/>
      <c r="U888" s="260"/>
      <c r="V888" s="260"/>
      <c r="W888" s="260"/>
      <c r="X888" s="260"/>
      <c r="Y888" s="260"/>
      <c r="Z888" s="260"/>
      <c r="AA888" s="260"/>
      <c r="AB888" s="260"/>
      <c r="AC888" s="260"/>
      <c r="AD888" s="260"/>
    </row>
    <row r="889" spans="1:30" ht="15" thickBot="1">
      <c r="A889" s="260"/>
      <c r="B889" s="260"/>
      <c r="C889" s="260"/>
      <c r="D889" s="260"/>
      <c r="E889" s="260"/>
      <c r="F889" s="260"/>
      <c r="G889" s="260"/>
      <c r="H889" s="260"/>
      <c r="I889" s="260"/>
      <c r="J889" s="260"/>
      <c r="K889" s="260"/>
      <c r="L889" s="260"/>
      <c r="M889" s="260"/>
      <c r="N889" s="260"/>
      <c r="O889" s="260"/>
      <c r="P889" s="260"/>
      <c r="Q889" s="260"/>
      <c r="R889" s="260"/>
      <c r="S889" s="260"/>
      <c r="T889" s="260"/>
      <c r="U889" s="260"/>
      <c r="V889" s="260"/>
      <c r="W889" s="260"/>
      <c r="X889" s="260"/>
      <c r="Y889" s="260"/>
      <c r="Z889" s="260"/>
      <c r="AA889" s="260"/>
      <c r="AB889" s="260"/>
      <c r="AC889" s="260"/>
      <c r="AD889" s="260"/>
    </row>
    <row r="890" spans="1:30" ht="15" thickBot="1">
      <c r="A890" s="260"/>
      <c r="B890" s="260"/>
      <c r="C890" s="260"/>
      <c r="D890" s="260"/>
      <c r="E890" s="260"/>
      <c r="F890" s="260"/>
      <c r="G890" s="260"/>
      <c r="H890" s="260"/>
      <c r="I890" s="260"/>
      <c r="J890" s="260"/>
      <c r="K890" s="260"/>
      <c r="L890" s="260"/>
      <c r="M890" s="260"/>
      <c r="N890" s="260"/>
      <c r="O890" s="260"/>
      <c r="P890" s="260"/>
      <c r="Q890" s="260"/>
      <c r="R890" s="260"/>
      <c r="S890" s="260"/>
      <c r="T890" s="260"/>
      <c r="U890" s="260"/>
      <c r="V890" s="260"/>
      <c r="W890" s="260"/>
      <c r="X890" s="260"/>
      <c r="Y890" s="260"/>
      <c r="Z890" s="260"/>
      <c r="AA890" s="260"/>
      <c r="AB890" s="260"/>
      <c r="AC890" s="260"/>
      <c r="AD890" s="260"/>
    </row>
    <row r="891" spans="1:30" ht="15" thickBot="1">
      <c r="A891" s="260"/>
      <c r="B891" s="260"/>
      <c r="C891" s="260"/>
      <c r="D891" s="260"/>
      <c r="E891" s="260"/>
      <c r="F891" s="260"/>
      <c r="G891" s="260"/>
      <c r="H891" s="260"/>
      <c r="I891" s="260"/>
      <c r="J891" s="260"/>
      <c r="K891" s="260"/>
      <c r="L891" s="260"/>
      <c r="M891" s="260"/>
      <c r="N891" s="260"/>
      <c r="O891" s="260"/>
      <c r="P891" s="260"/>
      <c r="Q891" s="260"/>
      <c r="R891" s="260"/>
      <c r="S891" s="260"/>
      <c r="T891" s="260"/>
      <c r="U891" s="260"/>
      <c r="V891" s="260"/>
      <c r="W891" s="260"/>
      <c r="X891" s="260"/>
      <c r="Y891" s="260"/>
      <c r="Z891" s="260"/>
      <c r="AA891" s="260"/>
      <c r="AB891" s="260"/>
      <c r="AC891" s="260"/>
      <c r="AD891" s="260"/>
    </row>
    <row r="892" spans="1:30" ht="15" thickBot="1">
      <c r="A892" s="260"/>
      <c r="B892" s="260"/>
      <c r="C892" s="260"/>
      <c r="D892" s="260"/>
      <c r="E892" s="260"/>
      <c r="F892" s="260"/>
      <c r="G892" s="260"/>
      <c r="H892" s="260"/>
      <c r="I892" s="260"/>
      <c r="J892" s="260"/>
      <c r="K892" s="260"/>
      <c r="L892" s="260"/>
      <c r="M892" s="260"/>
      <c r="N892" s="260"/>
      <c r="O892" s="260"/>
      <c r="P892" s="260"/>
      <c r="Q892" s="260"/>
      <c r="R892" s="260"/>
      <c r="S892" s="260"/>
      <c r="T892" s="260"/>
      <c r="U892" s="260"/>
      <c r="V892" s="260"/>
      <c r="W892" s="260"/>
      <c r="X892" s="260"/>
      <c r="Y892" s="260"/>
      <c r="Z892" s="260"/>
      <c r="AA892" s="260"/>
      <c r="AB892" s="260"/>
      <c r="AC892" s="260"/>
      <c r="AD892" s="260"/>
    </row>
    <row r="893" spans="1:30" ht="15" thickBot="1">
      <c r="A893" s="260"/>
      <c r="B893" s="260"/>
      <c r="C893" s="260"/>
      <c r="D893" s="260"/>
      <c r="E893" s="260"/>
      <c r="F893" s="260"/>
      <c r="G893" s="260"/>
      <c r="H893" s="260"/>
      <c r="I893" s="260"/>
      <c r="J893" s="260"/>
      <c r="K893" s="260"/>
      <c r="L893" s="260"/>
      <c r="M893" s="260"/>
      <c r="N893" s="260"/>
      <c r="O893" s="260"/>
      <c r="P893" s="260"/>
      <c r="Q893" s="260"/>
      <c r="R893" s="260"/>
      <c r="S893" s="260"/>
      <c r="T893" s="260"/>
      <c r="U893" s="260"/>
      <c r="V893" s="260"/>
      <c r="W893" s="260"/>
      <c r="X893" s="260"/>
      <c r="Y893" s="260"/>
      <c r="Z893" s="260"/>
      <c r="AA893" s="260"/>
      <c r="AB893" s="260"/>
      <c r="AC893" s="260"/>
      <c r="AD893" s="260"/>
    </row>
    <row r="894" spans="1:30" ht="15" thickBot="1">
      <c r="A894" s="260"/>
      <c r="B894" s="260"/>
      <c r="C894" s="260"/>
      <c r="D894" s="260"/>
      <c r="E894" s="260"/>
      <c r="F894" s="260"/>
      <c r="G894" s="260"/>
      <c r="H894" s="260"/>
      <c r="I894" s="260"/>
      <c r="J894" s="260"/>
      <c r="K894" s="260"/>
      <c r="L894" s="260"/>
      <c r="M894" s="260"/>
      <c r="N894" s="260"/>
      <c r="O894" s="260"/>
      <c r="P894" s="260"/>
      <c r="Q894" s="260"/>
      <c r="R894" s="260"/>
      <c r="S894" s="260"/>
      <c r="T894" s="260"/>
      <c r="U894" s="260"/>
      <c r="V894" s="260"/>
      <c r="W894" s="260"/>
      <c r="X894" s="260"/>
      <c r="Y894" s="260"/>
      <c r="Z894" s="260"/>
      <c r="AA894" s="260"/>
      <c r="AB894" s="260"/>
      <c r="AC894" s="260"/>
      <c r="AD894" s="260"/>
    </row>
    <row r="895" spans="1:30" ht="15" thickBot="1">
      <c r="A895" s="260"/>
      <c r="B895" s="260"/>
      <c r="C895" s="260"/>
      <c r="D895" s="260"/>
      <c r="E895" s="260"/>
      <c r="F895" s="260"/>
      <c r="G895" s="260"/>
      <c r="H895" s="260"/>
      <c r="I895" s="260"/>
      <c r="J895" s="260"/>
      <c r="K895" s="260"/>
      <c r="L895" s="260"/>
      <c r="M895" s="260"/>
      <c r="N895" s="260"/>
      <c r="O895" s="260"/>
      <c r="P895" s="260"/>
      <c r="Q895" s="260"/>
      <c r="R895" s="260"/>
      <c r="S895" s="260"/>
      <c r="T895" s="260"/>
      <c r="U895" s="260"/>
      <c r="V895" s="260"/>
      <c r="W895" s="260"/>
      <c r="X895" s="260"/>
      <c r="Y895" s="260"/>
      <c r="Z895" s="260"/>
      <c r="AA895" s="260"/>
      <c r="AB895" s="260"/>
      <c r="AC895" s="260"/>
      <c r="AD895" s="260"/>
    </row>
    <row r="896" spans="1:30" ht="15" thickBot="1">
      <c r="A896" s="260"/>
      <c r="B896" s="260"/>
      <c r="C896" s="260"/>
      <c r="D896" s="260"/>
      <c r="E896" s="260"/>
      <c r="F896" s="260"/>
      <c r="G896" s="260"/>
      <c r="H896" s="260"/>
      <c r="I896" s="260"/>
      <c r="J896" s="260"/>
      <c r="K896" s="260"/>
      <c r="L896" s="260"/>
      <c r="M896" s="260"/>
      <c r="N896" s="260"/>
      <c r="O896" s="260"/>
      <c r="P896" s="260"/>
      <c r="Q896" s="260"/>
      <c r="R896" s="260"/>
      <c r="S896" s="260"/>
      <c r="T896" s="260"/>
      <c r="U896" s="260"/>
      <c r="V896" s="260"/>
      <c r="W896" s="260"/>
      <c r="X896" s="260"/>
      <c r="Y896" s="260"/>
      <c r="Z896" s="260"/>
      <c r="AA896" s="260"/>
      <c r="AB896" s="260"/>
      <c r="AC896" s="260"/>
      <c r="AD896" s="260"/>
    </row>
    <row r="897" spans="1:30" ht="15" thickBot="1">
      <c r="A897" s="260"/>
      <c r="B897" s="260"/>
      <c r="C897" s="260"/>
      <c r="D897" s="260"/>
      <c r="E897" s="260"/>
      <c r="F897" s="260"/>
      <c r="G897" s="260"/>
      <c r="H897" s="260"/>
      <c r="I897" s="260"/>
      <c r="J897" s="260"/>
      <c r="K897" s="260"/>
      <c r="L897" s="260"/>
      <c r="M897" s="260"/>
      <c r="N897" s="260"/>
      <c r="O897" s="260"/>
      <c r="P897" s="260"/>
      <c r="Q897" s="260"/>
      <c r="R897" s="260"/>
      <c r="S897" s="260"/>
      <c r="T897" s="260"/>
      <c r="U897" s="260"/>
      <c r="V897" s="260"/>
      <c r="W897" s="260"/>
      <c r="X897" s="260"/>
      <c r="Y897" s="260"/>
      <c r="Z897" s="260"/>
      <c r="AA897" s="260"/>
      <c r="AB897" s="260"/>
      <c r="AC897" s="260"/>
      <c r="AD897" s="260"/>
    </row>
    <row r="898" spans="1:30" ht="15" thickBot="1">
      <c r="A898" s="260"/>
      <c r="B898" s="260"/>
      <c r="C898" s="260"/>
      <c r="D898" s="260"/>
      <c r="E898" s="260"/>
      <c r="F898" s="260"/>
      <c r="G898" s="260"/>
      <c r="H898" s="260"/>
      <c r="I898" s="260"/>
      <c r="J898" s="260"/>
      <c r="K898" s="260"/>
      <c r="L898" s="260"/>
      <c r="M898" s="260"/>
      <c r="N898" s="260"/>
      <c r="O898" s="260"/>
      <c r="P898" s="260"/>
      <c r="Q898" s="260"/>
      <c r="R898" s="260"/>
      <c r="S898" s="260"/>
      <c r="T898" s="260"/>
      <c r="U898" s="260"/>
      <c r="V898" s="260"/>
      <c r="W898" s="260"/>
      <c r="X898" s="260"/>
      <c r="Y898" s="260"/>
      <c r="Z898" s="260"/>
      <c r="AA898" s="260"/>
      <c r="AB898" s="260"/>
      <c r="AC898" s="260"/>
      <c r="AD898" s="260"/>
    </row>
    <row r="899" spans="1:30" ht="15" thickBot="1">
      <c r="A899" s="260"/>
      <c r="B899" s="260"/>
      <c r="C899" s="260"/>
      <c r="D899" s="260"/>
      <c r="E899" s="260"/>
      <c r="F899" s="260"/>
      <c r="G899" s="260"/>
      <c r="H899" s="260"/>
      <c r="I899" s="260"/>
      <c r="J899" s="260"/>
      <c r="K899" s="260"/>
      <c r="L899" s="260"/>
      <c r="M899" s="260"/>
      <c r="N899" s="260"/>
      <c r="O899" s="260"/>
      <c r="P899" s="260"/>
      <c r="Q899" s="260"/>
      <c r="R899" s="260"/>
      <c r="S899" s="260"/>
      <c r="T899" s="260"/>
      <c r="U899" s="260"/>
      <c r="V899" s="260"/>
      <c r="W899" s="260"/>
      <c r="X899" s="260"/>
      <c r="Y899" s="260"/>
      <c r="Z899" s="260"/>
      <c r="AA899" s="260"/>
      <c r="AB899" s="260"/>
      <c r="AC899" s="260"/>
      <c r="AD899" s="260"/>
    </row>
    <row r="900" spans="1:30" ht="15" thickBot="1">
      <c r="A900" s="260"/>
      <c r="B900" s="260"/>
      <c r="C900" s="260"/>
      <c r="D900" s="260"/>
      <c r="E900" s="260"/>
      <c r="F900" s="260"/>
      <c r="G900" s="260"/>
      <c r="H900" s="260"/>
      <c r="I900" s="260"/>
      <c r="J900" s="260"/>
      <c r="K900" s="260"/>
      <c r="L900" s="260"/>
      <c r="M900" s="260"/>
      <c r="N900" s="260"/>
      <c r="O900" s="260"/>
      <c r="P900" s="260"/>
      <c r="Q900" s="260"/>
      <c r="R900" s="260"/>
      <c r="S900" s="260"/>
      <c r="T900" s="260"/>
      <c r="U900" s="260"/>
      <c r="V900" s="260"/>
      <c r="W900" s="260"/>
      <c r="X900" s="260"/>
      <c r="Y900" s="260"/>
      <c r="Z900" s="260"/>
      <c r="AA900" s="260"/>
      <c r="AB900" s="260"/>
      <c r="AC900" s="260"/>
      <c r="AD900" s="260"/>
    </row>
    <row r="901" spans="1:30" ht="15" thickBot="1">
      <c r="A901" s="260"/>
      <c r="B901" s="260"/>
      <c r="C901" s="260"/>
      <c r="D901" s="260"/>
      <c r="E901" s="260"/>
      <c r="F901" s="260"/>
      <c r="G901" s="260"/>
      <c r="H901" s="260"/>
      <c r="I901" s="260"/>
      <c r="J901" s="260"/>
      <c r="K901" s="260"/>
      <c r="L901" s="260"/>
      <c r="M901" s="260"/>
      <c r="N901" s="260"/>
      <c r="O901" s="260"/>
      <c r="P901" s="260"/>
      <c r="Q901" s="260"/>
      <c r="R901" s="260"/>
      <c r="S901" s="260"/>
      <c r="T901" s="260"/>
      <c r="U901" s="260"/>
      <c r="V901" s="260"/>
      <c r="W901" s="260"/>
      <c r="X901" s="260"/>
      <c r="Y901" s="260"/>
      <c r="Z901" s="260"/>
      <c r="AA901" s="260"/>
      <c r="AB901" s="260"/>
      <c r="AC901" s="260"/>
      <c r="AD901" s="260"/>
    </row>
    <row r="902" spans="1:30" ht="15" thickBot="1">
      <c r="A902" s="260"/>
      <c r="B902" s="260"/>
      <c r="C902" s="260"/>
      <c r="D902" s="260"/>
      <c r="E902" s="260"/>
      <c r="F902" s="260"/>
      <c r="G902" s="260"/>
      <c r="H902" s="260"/>
      <c r="I902" s="260"/>
      <c r="J902" s="260"/>
      <c r="K902" s="260"/>
      <c r="L902" s="260"/>
      <c r="M902" s="260"/>
      <c r="N902" s="260"/>
      <c r="O902" s="260"/>
      <c r="P902" s="260"/>
      <c r="Q902" s="260"/>
      <c r="R902" s="260"/>
      <c r="S902" s="260"/>
      <c r="T902" s="260"/>
      <c r="U902" s="260"/>
      <c r="V902" s="260"/>
      <c r="W902" s="260"/>
      <c r="X902" s="260"/>
      <c r="Y902" s="260"/>
      <c r="Z902" s="260"/>
      <c r="AA902" s="260"/>
      <c r="AB902" s="260"/>
      <c r="AC902" s="260"/>
      <c r="AD902" s="260"/>
    </row>
    <row r="903" spans="1:30" ht="15" thickBot="1">
      <c r="A903" s="260"/>
      <c r="B903" s="260"/>
      <c r="C903" s="260"/>
      <c r="D903" s="260"/>
      <c r="E903" s="260"/>
      <c r="F903" s="260"/>
      <c r="G903" s="260"/>
      <c r="H903" s="260"/>
      <c r="I903" s="260"/>
      <c r="J903" s="260"/>
      <c r="K903" s="260"/>
      <c r="L903" s="260"/>
      <c r="M903" s="260"/>
      <c r="N903" s="260"/>
      <c r="O903" s="260"/>
      <c r="P903" s="260"/>
      <c r="Q903" s="260"/>
      <c r="R903" s="260"/>
      <c r="S903" s="260"/>
      <c r="T903" s="260"/>
      <c r="U903" s="260"/>
      <c r="V903" s="260"/>
      <c r="W903" s="260"/>
      <c r="X903" s="260"/>
      <c r="Y903" s="260"/>
      <c r="Z903" s="260"/>
      <c r="AA903" s="260"/>
      <c r="AB903" s="260"/>
      <c r="AC903" s="260"/>
      <c r="AD903" s="260"/>
    </row>
    <row r="904" spans="1:30" ht="15" thickBot="1">
      <c r="A904" s="260"/>
      <c r="B904" s="260"/>
      <c r="C904" s="260"/>
      <c r="D904" s="260"/>
      <c r="E904" s="260"/>
      <c r="F904" s="260"/>
      <c r="G904" s="260"/>
      <c r="H904" s="260"/>
      <c r="I904" s="260"/>
      <c r="J904" s="260"/>
      <c r="K904" s="260"/>
      <c r="L904" s="260"/>
      <c r="M904" s="260"/>
      <c r="N904" s="260"/>
      <c r="O904" s="260"/>
      <c r="P904" s="260"/>
      <c r="Q904" s="260"/>
      <c r="R904" s="260"/>
      <c r="S904" s="260"/>
      <c r="T904" s="260"/>
      <c r="U904" s="260"/>
      <c r="V904" s="260"/>
      <c r="W904" s="260"/>
      <c r="X904" s="260"/>
      <c r="Y904" s="260"/>
      <c r="Z904" s="260"/>
      <c r="AA904" s="260"/>
      <c r="AB904" s="260"/>
      <c r="AC904" s="260"/>
      <c r="AD904" s="260"/>
    </row>
    <row r="905" spans="1:30" ht="15" thickBot="1">
      <c r="A905" s="260"/>
      <c r="B905" s="260"/>
      <c r="C905" s="260"/>
      <c r="D905" s="260"/>
      <c r="E905" s="260"/>
      <c r="F905" s="260"/>
      <c r="G905" s="260"/>
      <c r="H905" s="260"/>
      <c r="I905" s="260"/>
      <c r="J905" s="260"/>
      <c r="K905" s="260"/>
      <c r="L905" s="260"/>
      <c r="M905" s="260"/>
      <c r="N905" s="260"/>
      <c r="O905" s="260"/>
      <c r="P905" s="260"/>
      <c r="Q905" s="260"/>
      <c r="R905" s="260"/>
      <c r="S905" s="260"/>
      <c r="T905" s="260"/>
      <c r="U905" s="260"/>
      <c r="V905" s="260"/>
      <c r="W905" s="260"/>
      <c r="X905" s="260"/>
      <c r="Y905" s="260"/>
      <c r="Z905" s="260"/>
      <c r="AA905" s="260"/>
      <c r="AB905" s="260"/>
      <c r="AC905" s="260"/>
      <c r="AD905" s="260"/>
    </row>
    <row r="906" spans="1:30" ht="15" thickBot="1">
      <c r="A906" s="260"/>
      <c r="B906" s="260"/>
      <c r="C906" s="260"/>
      <c r="D906" s="260"/>
      <c r="E906" s="260"/>
      <c r="F906" s="260"/>
      <c r="G906" s="260"/>
      <c r="H906" s="260"/>
      <c r="I906" s="260"/>
      <c r="J906" s="260"/>
      <c r="K906" s="260"/>
      <c r="L906" s="260"/>
      <c r="M906" s="260"/>
      <c r="N906" s="260"/>
      <c r="O906" s="260"/>
      <c r="P906" s="260"/>
      <c r="Q906" s="260"/>
      <c r="R906" s="260"/>
      <c r="S906" s="260"/>
      <c r="T906" s="260"/>
      <c r="U906" s="260"/>
      <c r="V906" s="260"/>
      <c r="W906" s="260"/>
      <c r="X906" s="260"/>
      <c r="Y906" s="260"/>
      <c r="Z906" s="260"/>
      <c r="AA906" s="260"/>
      <c r="AB906" s="260"/>
      <c r="AC906" s="260"/>
      <c r="AD906" s="260"/>
    </row>
    <row r="907" spans="1:30" ht="15" thickBot="1">
      <c r="A907" s="260"/>
      <c r="B907" s="260"/>
      <c r="C907" s="260"/>
      <c r="D907" s="260"/>
      <c r="E907" s="260"/>
      <c r="F907" s="260"/>
      <c r="G907" s="260"/>
      <c r="H907" s="260"/>
      <c r="I907" s="260"/>
      <c r="J907" s="260"/>
      <c r="K907" s="260"/>
      <c r="L907" s="260"/>
      <c r="M907" s="260"/>
      <c r="N907" s="260"/>
      <c r="O907" s="260"/>
      <c r="P907" s="260"/>
      <c r="Q907" s="260"/>
      <c r="R907" s="260"/>
      <c r="S907" s="260"/>
      <c r="T907" s="260"/>
      <c r="U907" s="260"/>
      <c r="V907" s="260"/>
      <c r="W907" s="260"/>
      <c r="X907" s="260"/>
      <c r="Y907" s="260"/>
      <c r="Z907" s="260"/>
      <c r="AA907" s="260"/>
      <c r="AB907" s="260"/>
      <c r="AC907" s="260"/>
      <c r="AD907" s="260"/>
    </row>
    <row r="908" spans="1:30" ht="15" thickBot="1">
      <c r="A908" s="260"/>
      <c r="B908" s="260"/>
      <c r="C908" s="260"/>
      <c r="D908" s="260"/>
      <c r="E908" s="260"/>
      <c r="F908" s="260"/>
      <c r="G908" s="260"/>
      <c r="H908" s="260"/>
      <c r="I908" s="260"/>
      <c r="J908" s="260"/>
      <c r="K908" s="260"/>
      <c r="L908" s="260"/>
      <c r="M908" s="260"/>
      <c r="N908" s="260"/>
      <c r="O908" s="260"/>
      <c r="P908" s="260"/>
      <c r="Q908" s="260"/>
      <c r="R908" s="260"/>
      <c r="S908" s="260"/>
      <c r="T908" s="260"/>
      <c r="U908" s="260"/>
      <c r="V908" s="260"/>
      <c r="W908" s="260"/>
      <c r="X908" s="260"/>
      <c r="Y908" s="260"/>
      <c r="Z908" s="260"/>
      <c r="AA908" s="260"/>
      <c r="AB908" s="260"/>
      <c r="AC908" s="260"/>
      <c r="AD908" s="260"/>
    </row>
    <row r="909" spans="1:30" ht="15" thickBot="1">
      <c r="A909" s="260"/>
      <c r="B909" s="260"/>
      <c r="C909" s="260"/>
      <c r="D909" s="260"/>
      <c r="E909" s="260"/>
      <c r="F909" s="260"/>
      <c r="G909" s="260"/>
      <c r="H909" s="260"/>
      <c r="I909" s="260"/>
      <c r="J909" s="260"/>
      <c r="K909" s="260"/>
      <c r="L909" s="260"/>
      <c r="M909" s="260"/>
      <c r="N909" s="260"/>
      <c r="O909" s="260"/>
      <c r="P909" s="260"/>
      <c r="Q909" s="260"/>
      <c r="R909" s="260"/>
      <c r="S909" s="260"/>
      <c r="T909" s="260"/>
      <c r="U909" s="260"/>
      <c r="V909" s="260"/>
      <c r="W909" s="260"/>
      <c r="X909" s="260"/>
      <c r="Y909" s="260"/>
      <c r="Z909" s="260"/>
      <c r="AA909" s="260"/>
      <c r="AB909" s="260"/>
      <c r="AC909" s="260"/>
      <c r="AD909" s="260"/>
    </row>
    <row r="910" spans="1:30" ht="15" thickBot="1">
      <c r="A910" s="260"/>
      <c r="B910" s="260"/>
      <c r="C910" s="260"/>
      <c r="D910" s="260"/>
      <c r="E910" s="260"/>
      <c r="F910" s="260"/>
      <c r="G910" s="260"/>
      <c r="H910" s="260"/>
      <c r="I910" s="260"/>
      <c r="J910" s="260"/>
      <c r="K910" s="260"/>
      <c r="L910" s="260"/>
      <c r="M910" s="260"/>
      <c r="N910" s="260"/>
      <c r="O910" s="260"/>
      <c r="P910" s="260"/>
      <c r="Q910" s="260"/>
      <c r="R910" s="260"/>
      <c r="S910" s="260"/>
      <c r="T910" s="260"/>
      <c r="U910" s="260"/>
      <c r="V910" s="260"/>
      <c r="W910" s="260"/>
      <c r="X910" s="260"/>
      <c r="Y910" s="260"/>
      <c r="Z910" s="260"/>
      <c r="AA910" s="260"/>
      <c r="AB910" s="260"/>
      <c r="AC910" s="260"/>
      <c r="AD910" s="260"/>
    </row>
    <row r="911" spans="1:30" ht="15" thickBot="1">
      <c r="A911" s="260"/>
      <c r="B911" s="260"/>
      <c r="C911" s="260"/>
      <c r="D911" s="260"/>
      <c r="E911" s="260"/>
      <c r="F911" s="260"/>
      <c r="G911" s="260"/>
      <c r="H911" s="260"/>
      <c r="I911" s="260"/>
      <c r="J911" s="260"/>
      <c r="K911" s="260"/>
      <c r="L911" s="260"/>
      <c r="M911" s="260"/>
      <c r="N911" s="260"/>
      <c r="O911" s="260"/>
      <c r="P911" s="260"/>
      <c r="Q911" s="260"/>
      <c r="R911" s="260"/>
      <c r="S911" s="260"/>
      <c r="T911" s="260"/>
      <c r="U911" s="260"/>
      <c r="V911" s="260"/>
      <c r="W911" s="260"/>
      <c r="X911" s="260"/>
      <c r="Y911" s="260"/>
      <c r="Z911" s="260"/>
      <c r="AA911" s="260"/>
      <c r="AB911" s="260"/>
      <c r="AC911" s="260"/>
      <c r="AD911" s="260"/>
    </row>
    <row r="912" spans="1:30" ht="15" thickBot="1">
      <c r="A912" s="260"/>
      <c r="B912" s="260"/>
      <c r="C912" s="260"/>
      <c r="D912" s="260"/>
      <c r="E912" s="260"/>
      <c r="F912" s="260"/>
      <c r="G912" s="260"/>
      <c r="H912" s="260"/>
      <c r="I912" s="260"/>
      <c r="J912" s="260"/>
      <c r="K912" s="260"/>
      <c r="L912" s="260"/>
      <c r="M912" s="260"/>
      <c r="N912" s="260"/>
      <c r="O912" s="260"/>
      <c r="P912" s="260"/>
      <c r="Q912" s="260"/>
      <c r="R912" s="260"/>
      <c r="S912" s="260"/>
      <c r="T912" s="260"/>
      <c r="U912" s="260"/>
      <c r="V912" s="260"/>
      <c r="W912" s="260"/>
      <c r="X912" s="260"/>
      <c r="Y912" s="260"/>
      <c r="Z912" s="260"/>
      <c r="AA912" s="260"/>
      <c r="AB912" s="260"/>
      <c r="AC912" s="260"/>
      <c r="AD912" s="260"/>
    </row>
    <row r="913" spans="1:30" ht="15" thickBot="1">
      <c r="A913" s="260"/>
      <c r="B913" s="260"/>
      <c r="C913" s="260"/>
      <c r="D913" s="260"/>
      <c r="E913" s="260"/>
      <c r="F913" s="260"/>
      <c r="G913" s="260"/>
      <c r="H913" s="260"/>
      <c r="I913" s="260"/>
      <c r="J913" s="260"/>
      <c r="K913" s="260"/>
      <c r="L913" s="260"/>
      <c r="M913" s="260"/>
      <c r="N913" s="260"/>
      <c r="O913" s="260"/>
      <c r="P913" s="260"/>
      <c r="Q913" s="260"/>
      <c r="R913" s="260"/>
      <c r="S913" s="260"/>
      <c r="T913" s="260"/>
      <c r="U913" s="260"/>
      <c r="V913" s="260"/>
      <c r="W913" s="260"/>
      <c r="X913" s="260"/>
      <c r="Y913" s="260"/>
      <c r="Z913" s="260"/>
      <c r="AA913" s="260"/>
      <c r="AB913" s="260"/>
      <c r="AC913" s="260"/>
      <c r="AD913" s="260"/>
    </row>
    <row r="914" spans="1:30" ht="15" thickBot="1">
      <c r="A914" s="260"/>
      <c r="B914" s="260"/>
      <c r="C914" s="260"/>
      <c r="D914" s="260"/>
      <c r="E914" s="260"/>
      <c r="F914" s="260"/>
      <c r="G914" s="260"/>
      <c r="H914" s="260"/>
      <c r="I914" s="260"/>
      <c r="J914" s="260"/>
      <c r="K914" s="260"/>
      <c r="L914" s="260"/>
      <c r="M914" s="260"/>
      <c r="N914" s="260"/>
      <c r="O914" s="260"/>
      <c r="P914" s="260"/>
      <c r="Q914" s="260"/>
      <c r="R914" s="260"/>
      <c r="S914" s="260"/>
      <c r="T914" s="260"/>
      <c r="U914" s="260"/>
      <c r="V914" s="260"/>
      <c r="W914" s="260"/>
      <c r="X914" s="260"/>
      <c r="Y914" s="260"/>
      <c r="Z914" s="260"/>
      <c r="AA914" s="260"/>
      <c r="AB914" s="260"/>
      <c r="AC914" s="260"/>
      <c r="AD914" s="260"/>
    </row>
    <row r="915" spans="1:30" ht="15" thickBot="1">
      <c r="A915" s="260"/>
      <c r="B915" s="260"/>
      <c r="C915" s="260"/>
      <c r="D915" s="260"/>
      <c r="E915" s="260"/>
      <c r="F915" s="260"/>
      <c r="G915" s="260"/>
      <c r="H915" s="260"/>
      <c r="I915" s="260"/>
      <c r="J915" s="260"/>
      <c r="K915" s="260"/>
      <c r="L915" s="260"/>
      <c r="M915" s="260"/>
      <c r="N915" s="260"/>
      <c r="O915" s="260"/>
      <c r="P915" s="260"/>
      <c r="Q915" s="260"/>
      <c r="R915" s="260"/>
      <c r="S915" s="260"/>
      <c r="T915" s="260"/>
      <c r="U915" s="260"/>
      <c r="V915" s="260"/>
      <c r="W915" s="260"/>
      <c r="X915" s="260"/>
      <c r="Y915" s="260"/>
      <c r="Z915" s="260"/>
      <c r="AA915" s="260"/>
      <c r="AB915" s="260"/>
      <c r="AC915" s="260"/>
      <c r="AD915" s="260"/>
    </row>
    <row r="916" spans="1:30" ht="15" thickBot="1">
      <c r="A916" s="260"/>
      <c r="B916" s="260"/>
      <c r="C916" s="260"/>
      <c r="D916" s="260"/>
      <c r="E916" s="260"/>
      <c r="F916" s="260"/>
      <c r="G916" s="260"/>
      <c r="H916" s="260"/>
      <c r="I916" s="260"/>
      <c r="J916" s="260"/>
      <c r="K916" s="260"/>
      <c r="L916" s="260"/>
      <c r="M916" s="260"/>
      <c r="N916" s="260"/>
      <c r="O916" s="260"/>
      <c r="P916" s="260"/>
      <c r="Q916" s="260"/>
      <c r="R916" s="260"/>
      <c r="S916" s="260"/>
      <c r="T916" s="260"/>
      <c r="U916" s="260"/>
      <c r="V916" s="260"/>
      <c r="W916" s="260"/>
      <c r="X916" s="260"/>
      <c r="Y916" s="260"/>
      <c r="Z916" s="260"/>
      <c r="AA916" s="260"/>
      <c r="AB916" s="260"/>
      <c r="AC916" s="260"/>
      <c r="AD916" s="260"/>
    </row>
    <row r="917" spans="1:30" ht="15" thickBot="1">
      <c r="A917" s="260"/>
      <c r="B917" s="260"/>
      <c r="C917" s="260"/>
      <c r="D917" s="260"/>
      <c r="E917" s="260"/>
      <c r="F917" s="260"/>
      <c r="G917" s="260"/>
      <c r="H917" s="260"/>
      <c r="I917" s="260"/>
      <c r="J917" s="260"/>
      <c r="K917" s="260"/>
      <c r="L917" s="260"/>
      <c r="M917" s="260"/>
      <c r="N917" s="260"/>
      <c r="O917" s="260"/>
      <c r="P917" s="260"/>
      <c r="Q917" s="260"/>
      <c r="R917" s="260"/>
      <c r="S917" s="260"/>
      <c r="T917" s="260"/>
      <c r="U917" s="260"/>
      <c r="V917" s="260"/>
      <c r="W917" s="260"/>
      <c r="X917" s="260"/>
      <c r="Y917" s="260"/>
      <c r="Z917" s="260"/>
      <c r="AA917" s="260"/>
      <c r="AB917" s="260"/>
      <c r="AC917" s="260"/>
      <c r="AD917" s="260"/>
    </row>
    <row r="918" spans="1:30" ht="15" thickBot="1">
      <c r="A918" s="260"/>
      <c r="B918" s="260"/>
      <c r="C918" s="260"/>
      <c r="D918" s="260"/>
      <c r="E918" s="260"/>
      <c r="F918" s="260"/>
      <c r="G918" s="260"/>
      <c r="H918" s="260"/>
      <c r="I918" s="260"/>
      <c r="J918" s="260"/>
      <c r="K918" s="260"/>
      <c r="L918" s="260"/>
      <c r="M918" s="260"/>
      <c r="N918" s="260"/>
      <c r="O918" s="260"/>
      <c r="P918" s="260"/>
      <c r="Q918" s="260"/>
      <c r="R918" s="260"/>
      <c r="S918" s="260"/>
      <c r="T918" s="260"/>
      <c r="U918" s="260"/>
      <c r="V918" s="260"/>
      <c r="W918" s="260"/>
      <c r="X918" s="260"/>
      <c r="Y918" s="260"/>
      <c r="Z918" s="260"/>
      <c r="AA918" s="260"/>
      <c r="AB918" s="260"/>
      <c r="AC918" s="260"/>
      <c r="AD918" s="260"/>
    </row>
    <row r="919" spans="1:30" ht="15" thickBot="1">
      <c r="A919" s="260"/>
      <c r="B919" s="260"/>
      <c r="C919" s="260"/>
      <c r="D919" s="260"/>
      <c r="E919" s="260"/>
      <c r="F919" s="260"/>
      <c r="G919" s="260"/>
      <c r="H919" s="260"/>
      <c r="I919" s="260"/>
      <c r="J919" s="260"/>
      <c r="K919" s="260"/>
      <c r="L919" s="260"/>
      <c r="M919" s="260"/>
      <c r="N919" s="260"/>
      <c r="O919" s="260"/>
      <c r="P919" s="260"/>
      <c r="Q919" s="260"/>
      <c r="R919" s="260"/>
      <c r="S919" s="260"/>
      <c r="T919" s="260"/>
      <c r="U919" s="260"/>
      <c r="V919" s="260"/>
      <c r="W919" s="260"/>
      <c r="X919" s="260"/>
      <c r="Y919" s="260"/>
      <c r="Z919" s="260"/>
      <c r="AA919" s="260"/>
      <c r="AB919" s="260"/>
      <c r="AC919" s="260"/>
      <c r="AD919" s="260"/>
    </row>
    <row r="920" spans="1:30" ht="15" thickBot="1">
      <c r="A920" s="260"/>
      <c r="B920" s="260"/>
      <c r="C920" s="260"/>
      <c r="D920" s="260"/>
      <c r="E920" s="260"/>
      <c r="F920" s="260"/>
      <c r="G920" s="260"/>
      <c r="H920" s="260"/>
      <c r="I920" s="260"/>
      <c r="J920" s="260"/>
      <c r="K920" s="260"/>
      <c r="L920" s="260"/>
      <c r="M920" s="260"/>
      <c r="N920" s="260"/>
      <c r="O920" s="260"/>
      <c r="P920" s="260"/>
      <c r="Q920" s="260"/>
      <c r="R920" s="260"/>
      <c r="S920" s="260"/>
      <c r="T920" s="260"/>
      <c r="U920" s="260"/>
      <c r="V920" s="260"/>
      <c r="W920" s="260"/>
      <c r="X920" s="260"/>
      <c r="Y920" s="260"/>
      <c r="Z920" s="260"/>
      <c r="AA920" s="260"/>
      <c r="AB920" s="260"/>
      <c r="AC920" s="260"/>
      <c r="AD920" s="260"/>
    </row>
    <row r="921" spans="1:30" ht="15" thickBot="1">
      <c r="A921" s="260"/>
      <c r="B921" s="260"/>
      <c r="C921" s="260"/>
      <c r="D921" s="260"/>
      <c r="E921" s="260"/>
      <c r="F921" s="260"/>
      <c r="G921" s="260"/>
      <c r="H921" s="260"/>
      <c r="I921" s="260"/>
      <c r="J921" s="260"/>
      <c r="K921" s="260"/>
      <c r="L921" s="260"/>
      <c r="M921" s="260"/>
      <c r="N921" s="260"/>
      <c r="O921" s="260"/>
      <c r="P921" s="260"/>
      <c r="Q921" s="260"/>
      <c r="R921" s="260"/>
      <c r="S921" s="260"/>
      <c r="T921" s="260"/>
      <c r="U921" s="260"/>
      <c r="V921" s="260"/>
      <c r="W921" s="260"/>
      <c r="X921" s="260"/>
      <c r="Y921" s="260"/>
      <c r="Z921" s="260"/>
      <c r="AA921" s="260"/>
      <c r="AB921" s="260"/>
      <c r="AC921" s="260"/>
      <c r="AD921" s="260"/>
    </row>
    <row r="922" spans="1:30" ht="15" thickBot="1">
      <c r="A922" s="260"/>
      <c r="B922" s="260"/>
      <c r="C922" s="260"/>
      <c r="D922" s="260"/>
      <c r="E922" s="260"/>
      <c r="F922" s="260"/>
      <c r="G922" s="260"/>
      <c r="H922" s="260"/>
      <c r="I922" s="260"/>
      <c r="J922" s="260"/>
      <c r="K922" s="260"/>
      <c r="L922" s="260"/>
      <c r="M922" s="260"/>
      <c r="N922" s="260"/>
      <c r="O922" s="260"/>
      <c r="P922" s="260"/>
      <c r="Q922" s="260"/>
      <c r="R922" s="260"/>
      <c r="S922" s="260"/>
      <c r="T922" s="260"/>
      <c r="U922" s="260"/>
      <c r="V922" s="260"/>
      <c r="W922" s="260"/>
      <c r="X922" s="260"/>
      <c r="Y922" s="260"/>
      <c r="Z922" s="260"/>
      <c r="AA922" s="260"/>
      <c r="AB922" s="260"/>
      <c r="AC922" s="260"/>
      <c r="AD922" s="260"/>
    </row>
    <row r="923" spans="1:30" ht="15" thickBot="1">
      <c r="A923" s="260"/>
      <c r="B923" s="260"/>
      <c r="C923" s="260"/>
      <c r="D923" s="260"/>
      <c r="E923" s="260"/>
      <c r="F923" s="260"/>
      <c r="G923" s="260"/>
      <c r="H923" s="260"/>
      <c r="I923" s="260"/>
      <c r="J923" s="260"/>
      <c r="K923" s="260"/>
      <c r="L923" s="260"/>
      <c r="M923" s="260"/>
      <c r="N923" s="260"/>
      <c r="O923" s="260"/>
      <c r="P923" s="260"/>
      <c r="Q923" s="260"/>
      <c r="R923" s="260"/>
      <c r="S923" s="260"/>
      <c r="T923" s="260"/>
      <c r="U923" s="260"/>
      <c r="V923" s="260"/>
      <c r="W923" s="260"/>
      <c r="X923" s="260"/>
      <c r="Y923" s="260"/>
      <c r="Z923" s="260"/>
      <c r="AA923" s="260"/>
      <c r="AB923" s="260"/>
      <c r="AC923" s="260"/>
      <c r="AD923" s="260"/>
    </row>
    <row r="924" spans="1:30" ht="15" thickBot="1">
      <c r="A924" s="260"/>
      <c r="B924" s="260"/>
      <c r="C924" s="260"/>
      <c r="D924" s="260"/>
      <c r="E924" s="260"/>
      <c r="F924" s="260"/>
      <c r="G924" s="260"/>
      <c r="H924" s="260"/>
      <c r="I924" s="260"/>
      <c r="J924" s="260"/>
      <c r="K924" s="260"/>
      <c r="L924" s="260"/>
      <c r="M924" s="260"/>
      <c r="N924" s="260"/>
      <c r="O924" s="260"/>
      <c r="P924" s="260"/>
      <c r="Q924" s="260"/>
      <c r="R924" s="260"/>
      <c r="S924" s="260"/>
      <c r="T924" s="260"/>
      <c r="U924" s="260"/>
      <c r="V924" s="260"/>
      <c r="W924" s="260"/>
      <c r="X924" s="260"/>
      <c r="Y924" s="260"/>
      <c r="Z924" s="260"/>
      <c r="AA924" s="260"/>
      <c r="AB924" s="260"/>
      <c r="AC924" s="260"/>
      <c r="AD924" s="260"/>
    </row>
    <row r="925" spans="1:30" ht="15" thickBot="1">
      <c r="A925" s="260"/>
      <c r="B925" s="260"/>
      <c r="C925" s="260"/>
      <c r="D925" s="260"/>
      <c r="E925" s="260"/>
      <c r="F925" s="260"/>
      <c r="G925" s="260"/>
      <c r="H925" s="260"/>
      <c r="I925" s="260"/>
      <c r="J925" s="260"/>
      <c r="K925" s="260"/>
      <c r="L925" s="260"/>
      <c r="M925" s="260"/>
      <c r="N925" s="260"/>
      <c r="O925" s="260"/>
      <c r="P925" s="260"/>
      <c r="Q925" s="260"/>
      <c r="R925" s="260"/>
      <c r="S925" s="260"/>
      <c r="T925" s="260"/>
      <c r="U925" s="260"/>
      <c r="V925" s="260"/>
      <c r="W925" s="260"/>
      <c r="X925" s="260"/>
      <c r="Y925" s="260"/>
      <c r="Z925" s="260"/>
      <c r="AA925" s="260"/>
      <c r="AB925" s="260"/>
      <c r="AC925" s="260"/>
      <c r="AD925" s="260"/>
    </row>
    <row r="926" spans="1:30" ht="15" thickBot="1">
      <c r="A926" s="260"/>
      <c r="B926" s="260"/>
      <c r="C926" s="260"/>
      <c r="D926" s="260"/>
      <c r="E926" s="260"/>
      <c r="F926" s="260"/>
      <c r="G926" s="260"/>
      <c r="H926" s="260"/>
      <c r="I926" s="260"/>
      <c r="J926" s="260"/>
      <c r="K926" s="260"/>
      <c r="L926" s="260"/>
      <c r="M926" s="260"/>
      <c r="N926" s="260"/>
      <c r="O926" s="260"/>
      <c r="P926" s="260"/>
      <c r="Q926" s="260"/>
      <c r="R926" s="260"/>
      <c r="S926" s="260"/>
      <c r="T926" s="260"/>
      <c r="U926" s="260"/>
      <c r="V926" s="260"/>
      <c r="W926" s="260"/>
      <c r="X926" s="260"/>
      <c r="Y926" s="260"/>
      <c r="Z926" s="260"/>
      <c r="AA926" s="260"/>
      <c r="AB926" s="260"/>
      <c r="AC926" s="260"/>
      <c r="AD926" s="260"/>
    </row>
    <row r="927" spans="1:30" ht="15" thickBot="1">
      <c r="A927" s="260"/>
      <c r="B927" s="260"/>
      <c r="C927" s="260"/>
      <c r="D927" s="260"/>
      <c r="E927" s="260"/>
      <c r="F927" s="260"/>
      <c r="G927" s="260"/>
      <c r="H927" s="260"/>
      <c r="I927" s="260"/>
      <c r="J927" s="260"/>
      <c r="K927" s="260"/>
      <c r="L927" s="260"/>
      <c r="M927" s="260"/>
      <c r="N927" s="260"/>
      <c r="O927" s="260"/>
      <c r="P927" s="260"/>
      <c r="Q927" s="260"/>
      <c r="R927" s="260"/>
      <c r="S927" s="260"/>
      <c r="T927" s="260"/>
      <c r="U927" s="260"/>
      <c r="V927" s="260"/>
      <c r="W927" s="260"/>
      <c r="X927" s="260"/>
      <c r="Y927" s="260"/>
      <c r="Z927" s="260"/>
      <c r="AA927" s="260"/>
      <c r="AB927" s="260"/>
      <c r="AC927" s="260"/>
      <c r="AD927" s="260"/>
    </row>
    <row r="928" spans="1:30" ht="15" thickBot="1">
      <c r="A928" s="260"/>
      <c r="B928" s="260"/>
      <c r="C928" s="260"/>
      <c r="D928" s="260"/>
      <c r="E928" s="260"/>
      <c r="F928" s="260"/>
      <c r="G928" s="260"/>
      <c r="H928" s="260"/>
      <c r="I928" s="260"/>
      <c r="J928" s="260"/>
      <c r="K928" s="260"/>
      <c r="L928" s="260"/>
      <c r="M928" s="260"/>
      <c r="N928" s="260"/>
      <c r="O928" s="260"/>
      <c r="P928" s="260"/>
      <c r="Q928" s="260"/>
      <c r="R928" s="260"/>
      <c r="S928" s="260"/>
      <c r="T928" s="260"/>
      <c r="U928" s="260"/>
      <c r="V928" s="260"/>
      <c r="W928" s="260"/>
      <c r="X928" s="260"/>
      <c r="Y928" s="260"/>
      <c r="Z928" s="260"/>
      <c r="AA928" s="260"/>
      <c r="AB928" s="260"/>
      <c r="AC928" s="260"/>
      <c r="AD928" s="260"/>
    </row>
    <row r="929" spans="1:30" ht="15" thickBot="1">
      <c r="A929" s="260"/>
      <c r="B929" s="260"/>
      <c r="C929" s="260"/>
      <c r="D929" s="260"/>
      <c r="E929" s="260"/>
      <c r="F929" s="260"/>
      <c r="G929" s="260"/>
      <c r="H929" s="260"/>
      <c r="I929" s="260"/>
      <c r="J929" s="260"/>
      <c r="K929" s="260"/>
      <c r="L929" s="260"/>
      <c r="M929" s="260"/>
      <c r="N929" s="260"/>
      <c r="O929" s="260"/>
      <c r="P929" s="260"/>
      <c r="Q929" s="260"/>
      <c r="R929" s="260"/>
      <c r="S929" s="260"/>
      <c r="T929" s="260"/>
      <c r="U929" s="260"/>
      <c r="V929" s="260"/>
      <c r="W929" s="260"/>
      <c r="X929" s="260"/>
      <c r="Y929" s="260"/>
      <c r="Z929" s="260"/>
      <c r="AA929" s="260"/>
      <c r="AB929" s="260"/>
      <c r="AC929" s="260"/>
      <c r="AD929" s="260"/>
    </row>
    <row r="930" spans="1:30" ht="15" thickBot="1">
      <c r="A930" s="260"/>
      <c r="B930" s="260"/>
      <c r="C930" s="260"/>
      <c r="D930" s="260"/>
      <c r="E930" s="260"/>
      <c r="F930" s="260"/>
      <c r="G930" s="260"/>
      <c r="H930" s="260"/>
      <c r="I930" s="260"/>
      <c r="J930" s="260"/>
      <c r="K930" s="260"/>
      <c r="L930" s="260"/>
      <c r="M930" s="260"/>
      <c r="N930" s="260"/>
      <c r="O930" s="260"/>
      <c r="P930" s="260"/>
      <c r="Q930" s="260"/>
      <c r="R930" s="260"/>
      <c r="S930" s="260"/>
      <c r="T930" s="260"/>
      <c r="U930" s="260"/>
      <c r="V930" s="260"/>
      <c r="W930" s="260"/>
      <c r="X930" s="260"/>
      <c r="Y930" s="260"/>
      <c r="Z930" s="260"/>
      <c r="AA930" s="260"/>
      <c r="AB930" s="260"/>
      <c r="AC930" s="260"/>
      <c r="AD930" s="260"/>
    </row>
    <row r="931" spans="1:30" ht="15" thickBot="1">
      <c r="A931" s="260"/>
      <c r="B931" s="260"/>
      <c r="C931" s="260"/>
      <c r="D931" s="260"/>
      <c r="E931" s="260"/>
      <c r="F931" s="260"/>
      <c r="G931" s="260"/>
      <c r="H931" s="260"/>
      <c r="I931" s="260"/>
      <c r="J931" s="260"/>
      <c r="K931" s="260"/>
      <c r="L931" s="260"/>
      <c r="M931" s="260"/>
      <c r="N931" s="260"/>
      <c r="O931" s="260"/>
      <c r="P931" s="260"/>
      <c r="Q931" s="260"/>
      <c r="R931" s="260"/>
      <c r="S931" s="260"/>
      <c r="T931" s="260"/>
      <c r="U931" s="260"/>
      <c r="V931" s="260"/>
      <c r="W931" s="260"/>
      <c r="X931" s="260"/>
      <c r="Y931" s="260"/>
      <c r="Z931" s="260"/>
      <c r="AA931" s="260"/>
      <c r="AB931" s="260"/>
      <c r="AC931" s="260"/>
      <c r="AD931" s="260"/>
    </row>
    <row r="932" spans="1:30" ht="15" thickBot="1">
      <c r="A932" s="260"/>
      <c r="B932" s="260"/>
      <c r="C932" s="260"/>
      <c r="D932" s="260"/>
      <c r="E932" s="260"/>
      <c r="F932" s="260"/>
      <c r="G932" s="260"/>
      <c r="H932" s="260"/>
      <c r="I932" s="260"/>
      <c r="J932" s="260"/>
      <c r="K932" s="260"/>
      <c r="L932" s="260"/>
      <c r="M932" s="260"/>
      <c r="N932" s="260"/>
      <c r="O932" s="260"/>
      <c r="P932" s="260"/>
      <c r="Q932" s="260"/>
      <c r="R932" s="260"/>
      <c r="S932" s="260"/>
      <c r="T932" s="260"/>
      <c r="U932" s="260"/>
      <c r="V932" s="260"/>
      <c r="W932" s="260"/>
      <c r="X932" s="260"/>
      <c r="Y932" s="260"/>
      <c r="Z932" s="260"/>
      <c r="AA932" s="260"/>
      <c r="AB932" s="260"/>
      <c r="AC932" s="260"/>
      <c r="AD932" s="260"/>
    </row>
    <row r="933" spans="1:30" ht="15" thickBot="1">
      <c r="A933" s="260"/>
      <c r="B933" s="260"/>
      <c r="C933" s="260"/>
      <c r="D933" s="260"/>
      <c r="E933" s="260"/>
      <c r="F933" s="260"/>
      <c r="G933" s="260"/>
      <c r="H933" s="260"/>
      <c r="I933" s="260"/>
      <c r="J933" s="260"/>
      <c r="K933" s="260"/>
      <c r="L933" s="260"/>
      <c r="M933" s="260"/>
      <c r="N933" s="260"/>
      <c r="O933" s="260"/>
      <c r="P933" s="260"/>
      <c r="Q933" s="260"/>
      <c r="R933" s="260"/>
      <c r="S933" s="260"/>
      <c r="T933" s="260"/>
      <c r="U933" s="260"/>
      <c r="V933" s="260"/>
      <c r="W933" s="260"/>
      <c r="X933" s="260"/>
      <c r="Y933" s="260"/>
      <c r="Z933" s="260"/>
      <c r="AA933" s="260"/>
      <c r="AB933" s="260"/>
      <c r="AC933" s="260"/>
      <c r="AD933" s="260"/>
    </row>
    <row r="934" spans="1:30" ht="15" thickBot="1">
      <c r="A934" s="260"/>
      <c r="B934" s="260"/>
      <c r="C934" s="260"/>
      <c r="D934" s="260"/>
      <c r="E934" s="260"/>
      <c r="F934" s="260"/>
      <c r="G934" s="260"/>
      <c r="H934" s="260"/>
      <c r="I934" s="260"/>
      <c r="J934" s="260"/>
      <c r="K934" s="260"/>
      <c r="L934" s="260"/>
      <c r="M934" s="260"/>
      <c r="N934" s="260"/>
      <c r="O934" s="260"/>
      <c r="P934" s="260"/>
      <c r="Q934" s="260"/>
      <c r="R934" s="260"/>
      <c r="S934" s="260"/>
      <c r="T934" s="260"/>
      <c r="U934" s="260"/>
      <c r="V934" s="260"/>
      <c r="W934" s="260"/>
      <c r="X934" s="260"/>
      <c r="Y934" s="260"/>
      <c r="Z934" s="260"/>
      <c r="AA934" s="260"/>
      <c r="AB934" s="260"/>
      <c r="AC934" s="260"/>
      <c r="AD934" s="260"/>
    </row>
    <row r="935" spans="1:30" ht="15" thickBot="1">
      <c r="A935" s="260"/>
      <c r="B935" s="260"/>
      <c r="C935" s="260"/>
      <c r="D935" s="260"/>
      <c r="E935" s="260"/>
      <c r="F935" s="260"/>
      <c r="G935" s="260"/>
      <c r="H935" s="260"/>
      <c r="I935" s="260"/>
      <c r="J935" s="260"/>
      <c r="K935" s="260"/>
      <c r="L935" s="260"/>
      <c r="M935" s="260"/>
      <c r="N935" s="260"/>
      <c r="O935" s="260"/>
      <c r="P935" s="260"/>
      <c r="Q935" s="260"/>
      <c r="R935" s="260"/>
      <c r="S935" s="260"/>
      <c r="T935" s="260"/>
      <c r="U935" s="260"/>
      <c r="V935" s="260"/>
      <c r="W935" s="260"/>
      <c r="X935" s="260"/>
      <c r="Y935" s="260"/>
      <c r="Z935" s="260"/>
      <c r="AA935" s="260"/>
      <c r="AB935" s="260"/>
      <c r="AC935" s="260"/>
      <c r="AD935" s="260"/>
    </row>
    <row r="936" spans="1:30" ht="15" thickBot="1">
      <c r="A936" s="260"/>
      <c r="B936" s="260"/>
      <c r="C936" s="260"/>
      <c r="D936" s="260"/>
      <c r="E936" s="260"/>
      <c r="F936" s="260"/>
      <c r="G936" s="260"/>
      <c r="H936" s="260"/>
      <c r="I936" s="260"/>
      <c r="J936" s="260"/>
      <c r="K936" s="260"/>
      <c r="L936" s="260"/>
      <c r="M936" s="260"/>
      <c r="N936" s="260"/>
      <c r="O936" s="260"/>
      <c r="P936" s="260"/>
      <c r="Q936" s="260"/>
      <c r="R936" s="260"/>
      <c r="S936" s="260"/>
      <c r="T936" s="260"/>
      <c r="U936" s="260"/>
      <c r="V936" s="260"/>
      <c r="W936" s="260"/>
      <c r="X936" s="260"/>
      <c r="Y936" s="260"/>
      <c r="Z936" s="260"/>
      <c r="AA936" s="260"/>
      <c r="AB936" s="260"/>
      <c r="AC936" s="260"/>
      <c r="AD936" s="260"/>
    </row>
    <row r="937" spans="1:30" ht="15" thickBot="1">
      <c r="A937" s="260"/>
      <c r="B937" s="260"/>
      <c r="C937" s="260"/>
      <c r="D937" s="260"/>
      <c r="E937" s="260"/>
      <c r="F937" s="260"/>
      <c r="G937" s="260"/>
      <c r="H937" s="260"/>
      <c r="I937" s="260"/>
      <c r="J937" s="260"/>
      <c r="K937" s="260"/>
      <c r="L937" s="260"/>
      <c r="M937" s="260"/>
      <c r="N937" s="260"/>
      <c r="O937" s="260"/>
      <c r="P937" s="260"/>
      <c r="Q937" s="260"/>
      <c r="R937" s="260"/>
      <c r="S937" s="260"/>
      <c r="T937" s="260"/>
      <c r="U937" s="260"/>
      <c r="V937" s="260"/>
      <c r="W937" s="260"/>
      <c r="X937" s="260"/>
      <c r="Y937" s="260"/>
      <c r="Z937" s="260"/>
      <c r="AA937" s="260"/>
      <c r="AB937" s="260"/>
      <c r="AC937" s="260"/>
      <c r="AD937" s="260"/>
    </row>
    <row r="938" spans="1:30" ht="15" thickBot="1">
      <c r="A938" s="260"/>
      <c r="B938" s="260"/>
      <c r="C938" s="260"/>
      <c r="D938" s="260"/>
      <c r="E938" s="260"/>
      <c r="F938" s="260"/>
      <c r="G938" s="260"/>
      <c r="H938" s="260"/>
      <c r="I938" s="260"/>
      <c r="J938" s="260"/>
      <c r="K938" s="260"/>
      <c r="L938" s="260"/>
      <c r="M938" s="260"/>
      <c r="N938" s="260"/>
      <c r="O938" s="260"/>
      <c r="P938" s="260"/>
      <c r="Q938" s="260"/>
      <c r="R938" s="260"/>
      <c r="S938" s="260"/>
      <c r="T938" s="260"/>
      <c r="U938" s="260"/>
      <c r="V938" s="260"/>
      <c r="W938" s="260"/>
      <c r="X938" s="260"/>
      <c r="Y938" s="260"/>
      <c r="Z938" s="260"/>
      <c r="AA938" s="260"/>
      <c r="AB938" s="260"/>
      <c r="AC938" s="260"/>
      <c r="AD938" s="260"/>
    </row>
    <row r="939" spans="1:30" ht="15" thickBot="1">
      <c r="A939" s="260"/>
      <c r="B939" s="260"/>
      <c r="C939" s="260"/>
      <c r="D939" s="260"/>
      <c r="E939" s="260"/>
      <c r="F939" s="260"/>
      <c r="G939" s="260"/>
      <c r="H939" s="260"/>
      <c r="I939" s="260"/>
      <c r="J939" s="260"/>
      <c r="K939" s="260"/>
      <c r="L939" s="260"/>
      <c r="M939" s="260"/>
      <c r="N939" s="260"/>
      <c r="O939" s="260"/>
      <c r="P939" s="260"/>
      <c r="Q939" s="260"/>
      <c r="R939" s="260"/>
      <c r="S939" s="260"/>
      <c r="T939" s="260"/>
      <c r="U939" s="260"/>
      <c r="V939" s="260"/>
      <c r="W939" s="260"/>
      <c r="X939" s="260"/>
      <c r="Y939" s="260"/>
      <c r="Z939" s="260"/>
      <c r="AA939" s="260"/>
      <c r="AB939" s="260"/>
      <c r="AC939" s="260"/>
      <c r="AD939" s="260"/>
    </row>
    <row r="940" spans="1:30" ht="15" thickBot="1">
      <c r="A940" s="260"/>
      <c r="B940" s="260"/>
      <c r="C940" s="260"/>
      <c r="D940" s="260"/>
      <c r="E940" s="260"/>
      <c r="F940" s="260"/>
      <c r="G940" s="260"/>
      <c r="H940" s="260"/>
      <c r="I940" s="260"/>
      <c r="J940" s="260"/>
      <c r="K940" s="260"/>
      <c r="L940" s="260"/>
      <c r="M940" s="260"/>
      <c r="N940" s="260"/>
      <c r="O940" s="260"/>
      <c r="P940" s="260"/>
      <c r="Q940" s="260"/>
      <c r="R940" s="260"/>
      <c r="S940" s="260"/>
      <c r="T940" s="260"/>
      <c r="U940" s="260"/>
      <c r="V940" s="260"/>
      <c r="W940" s="260"/>
      <c r="X940" s="260"/>
      <c r="Y940" s="260"/>
      <c r="Z940" s="260"/>
      <c r="AA940" s="260"/>
      <c r="AB940" s="260"/>
      <c r="AC940" s="260"/>
      <c r="AD940" s="260"/>
    </row>
    <row r="941" spans="1:30" ht="15" thickBot="1">
      <c r="A941" s="260"/>
      <c r="B941" s="260"/>
      <c r="C941" s="260"/>
      <c r="D941" s="260"/>
      <c r="E941" s="260"/>
      <c r="F941" s="260"/>
      <c r="G941" s="260"/>
      <c r="H941" s="260"/>
      <c r="I941" s="260"/>
      <c r="J941" s="260"/>
      <c r="K941" s="260"/>
      <c r="L941" s="260"/>
      <c r="M941" s="260"/>
      <c r="N941" s="260"/>
      <c r="O941" s="260"/>
      <c r="P941" s="260"/>
      <c r="Q941" s="260"/>
      <c r="R941" s="260"/>
      <c r="S941" s="260"/>
      <c r="T941" s="260"/>
      <c r="U941" s="260"/>
      <c r="V941" s="260"/>
      <c r="W941" s="260"/>
      <c r="X941" s="260"/>
      <c r="Y941" s="260"/>
      <c r="Z941" s="260"/>
      <c r="AA941" s="260"/>
      <c r="AB941" s="260"/>
      <c r="AC941" s="260"/>
      <c r="AD941" s="260"/>
    </row>
    <row r="942" spans="1:30" ht="15" thickBot="1">
      <c r="A942" s="260"/>
      <c r="B942" s="260"/>
      <c r="C942" s="260"/>
      <c r="D942" s="260"/>
      <c r="E942" s="260"/>
      <c r="F942" s="260"/>
      <c r="G942" s="260"/>
      <c r="H942" s="260"/>
      <c r="I942" s="260"/>
      <c r="J942" s="260"/>
      <c r="K942" s="260"/>
      <c r="L942" s="260"/>
      <c r="M942" s="260"/>
      <c r="N942" s="260"/>
      <c r="O942" s="260"/>
      <c r="P942" s="260"/>
      <c r="Q942" s="260"/>
      <c r="R942" s="260"/>
      <c r="S942" s="260"/>
      <c r="T942" s="260"/>
      <c r="U942" s="260"/>
      <c r="V942" s="260"/>
      <c r="W942" s="260"/>
      <c r="X942" s="260"/>
      <c r="Y942" s="260"/>
      <c r="Z942" s="260"/>
      <c r="AA942" s="260"/>
      <c r="AB942" s="260"/>
      <c r="AC942" s="260"/>
      <c r="AD942" s="260"/>
    </row>
    <row r="943" spans="1:30" ht="15" thickBot="1">
      <c r="A943" s="260"/>
      <c r="B943" s="260"/>
      <c r="C943" s="260"/>
      <c r="D943" s="260"/>
      <c r="E943" s="260"/>
      <c r="F943" s="260"/>
      <c r="G943" s="260"/>
      <c r="H943" s="260"/>
      <c r="I943" s="260"/>
      <c r="J943" s="260"/>
      <c r="K943" s="260"/>
      <c r="L943" s="260"/>
      <c r="M943" s="260"/>
      <c r="N943" s="260"/>
      <c r="O943" s="260"/>
      <c r="P943" s="260"/>
      <c r="Q943" s="260"/>
      <c r="R943" s="260"/>
      <c r="S943" s="260"/>
      <c r="T943" s="260"/>
      <c r="U943" s="260"/>
      <c r="V943" s="260"/>
      <c r="W943" s="260"/>
      <c r="X943" s="260"/>
      <c r="Y943" s="260"/>
      <c r="Z943" s="260"/>
      <c r="AA943" s="260"/>
      <c r="AB943" s="260"/>
      <c r="AC943" s="260"/>
      <c r="AD943" s="260"/>
    </row>
    <row r="944" spans="1:30" ht="15" thickBot="1">
      <c r="A944" s="260"/>
      <c r="B944" s="260"/>
      <c r="C944" s="260"/>
      <c r="D944" s="260"/>
      <c r="E944" s="260"/>
      <c r="F944" s="260"/>
      <c r="G944" s="260"/>
      <c r="H944" s="260"/>
      <c r="I944" s="260"/>
      <c r="J944" s="260"/>
      <c r="K944" s="260"/>
      <c r="L944" s="260"/>
      <c r="M944" s="260"/>
      <c r="N944" s="260"/>
      <c r="O944" s="260"/>
      <c r="P944" s="260"/>
      <c r="Q944" s="260"/>
      <c r="R944" s="260"/>
      <c r="S944" s="260"/>
      <c r="T944" s="260"/>
      <c r="U944" s="260"/>
      <c r="V944" s="260"/>
      <c r="W944" s="260"/>
      <c r="X944" s="260"/>
      <c r="Y944" s="260"/>
      <c r="Z944" s="260"/>
      <c r="AA944" s="260"/>
      <c r="AB944" s="260"/>
      <c r="AC944" s="260"/>
      <c r="AD944" s="260"/>
    </row>
    <row r="945" spans="1:30" ht="15" thickBot="1">
      <c r="A945" s="260"/>
      <c r="B945" s="260"/>
      <c r="C945" s="260"/>
      <c r="D945" s="260"/>
      <c r="E945" s="260"/>
      <c r="F945" s="260"/>
      <c r="G945" s="260"/>
      <c r="H945" s="260"/>
      <c r="I945" s="260"/>
      <c r="J945" s="260"/>
      <c r="K945" s="260"/>
      <c r="L945" s="260"/>
      <c r="M945" s="260"/>
      <c r="N945" s="260"/>
      <c r="O945" s="260"/>
      <c r="P945" s="260"/>
      <c r="Q945" s="260"/>
      <c r="R945" s="260"/>
      <c r="S945" s="260"/>
      <c r="T945" s="260"/>
      <c r="U945" s="260"/>
      <c r="V945" s="260"/>
      <c r="W945" s="260"/>
      <c r="X945" s="260"/>
      <c r="Y945" s="260"/>
      <c r="Z945" s="260"/>
      <c r="AA945" s="260"/>
      <c r="AB945" s="260"/>
      <c r="AC945" s="260"/>
      <c r="AD945" s="260"/>
    </row>
    <row r="946" spans="1:30" ht="15" thickBot="1">
      <c r="A946" s="260"/>
      <c r="B946" s="260"/>
      <c r="C946" s="260"/>
      <c r="D946" s="260"/>
      <c r="E946" s="260"/>
      <c r="F946" s="260"/>
      <c r="G946" s="260"/>
      <c r="H946" s="260"/>
      <c r="I946" s="260"/>
      <c r="J946" s="260"/>
      <c r="K946" s="260"/>
      <c r="L946" s="260"/>
      <c r="M946" s="260"/>
      <c r="N946" s="260"/>
      <c r="O946" s="260"/>
      <c r="P946" s="260"/>
      <c r="Q946" s="260"/>
      <c r="R946" s="260"/>
      <c r="S946" s="260"/>
      <c r="T946" s="260"/>
      <c r="U946" s="260"/>
      <c r="V946" s="260"/>
      <c r="W946" s="260"/>
      <c r="X946" s="260"/>
      <c r="Y946" s="260"/>
      <c r="Z946" s="260"/>
      <c r="AA946" s="260"/>
      <c r="AB946" s="260"/>
      <c r="AC946" s="260"/>
      <c r="AD946" s="260"/>
    </row>
    <row r="947" spans="1:30" ht="15" thickBot="1">
      <c r="A947" s="260"/>
      <c r="B947" s="260"/>
      <c r="C947" s="260"/>
      <c r="D947" s="260"/>
      <c r="E947" s="260"/>
      <c r="F947" s="260"/>
      <c r="G947" s="260"/>
      <c r="H947" s="260"/>
      <c r="I947" s="260"/>
      <c r="J947" s="260"/>
      <c r="K947" s="260"/>
      <c r="L947" s="260"/>
      <c r="M947" s="260"/>
      <c r="N947" s="260"/>
      <c r="O947" s="260"/>
      <c r="P947" s="260"/>
      <c r="Q947" s="260"/>
      <c r="R947" s="260"/>
      <c r="S947" s="260"/>
      <c r="T947" s="260"/>
      <c r="U947" s="260"/>
      <c r="V947" s="260"/>
      <c r="W947" s="260"/>
      <c r="X947" s="260"/>
      <c r="Y947" s="260"/>
      <c r="Z947" s="260"/>
      <c r="AA947" s="260"/>
      <c r="AB947" s="260"/>
      <c r="AC947" s="260"/>
      <c r="AD947" s="260"/>
    </row>
    <row r="948" spans="1:30" ht="15" thickBot="1">
      <c r="A948" s="260"/>
      <c r="B948" s="260"/>
      <c r="C948" s="260"/>
      <c r="D948" s="260"/>
      <c r="E948" s="260"/>
      <c r="F948" s="260"/>
      <c r="G948" s="260"/>
      <c r="H948" s="260"/>
      <c r="I948" s="260"/>
      <c r="J948" s="260"/>
      <c r="K948" s="260"/>
      <c r="L948" s="260"/>
      <c r="M948" s="260"/>
      <c r="N948" s="260"/>
      <c r="O948" s="260"/>
      <c r="P948" s="260"/>
      <c r="Q948" s="260"/>
      <c r="R948" s="260"/>
      <c r="S948" s="260"/>
      <c r="T948" s="260"/>
      <c r="U948" s="260"/>
      <c r="V948" s="260"/>
      <c r="W948" s="260"/>
      <c r="X948" s="260"/>
      <c r="Y948" s="260"/>
      <c r="Z948" s="260"/>
      <c r="AA948" s="260"/>
      <c r="AB948" s="260"/>
      <c r="AC948" s="260"/>
      <c r="AD948" s="260"/>
    </row>
    <row r="949" spans="1:30" ht="15" thickBot="1">
      <c r="A949" s="260"/>
      <c r="B949" s="260"/>
      <c r="C949" s="260"/>
      <c r="D949" s="260"/>
      <c r="E949" s="260"/>
      <c r="F949" s="260"/>
      <c r="G949" s="260"/>
      <c r="H949" s="260"/>
      <c r="I949" s="260"/>
      <c r="J949" s="260"/>
      <c r="K949" s="260"/>
      <c r="L949" s="260"/>
      <c r="M949" s="260"/>
      <c r="N949" s="260"/>
      <c r="O949" s="260"/>
      <c r="P949" s="260"/>
      <c r="Q949" s="260"/>
      <c r="R949" s="260"/>
      <c r="S949" s="260"/>
      <c r="T949" s="260"/>
      <c r="U949" s="260"/>
      <c r="V949" s="260"/>
      <c r="W949" s="260"/>
      <c r="X949" s="260"/>
      <c r="Y949" s="260"/>
      <c r="Z949" s="260"/>
      <c r="AA949" s="260"/>
      <c r="AB949" s="260"/>
      <c r="AC949" s="260"/>
      <c r="AD949" s="260"/>
    </row>
    <row r="950" spans="1:30" ht="15" thickBot="1">
      <c r="A950" s="260"/>
      <c r="B950" s="260"/>
      <c r="C950" s="260"/>
      <c r="D950" s="260"/>
      <c r="E950" s="260"/>
      <c r="F950" s="260"/>
      <c r="G950" s="260"/>
      <c r="H950" s="260"/>
      <c r="I950" s="260"/>
      <c r="J950" s="260"/>
      <c r="K950" s="260"/>
      <c r="L950" s="260"/>
      <c r="M950" s="260"/>
      <c r="N950" s="260"/>
      <c r="O950" s="260"/>
      <c r="P950" s="260"/>
      <c r="Q950" s="260"/>
      <c r="R950" s="260"/>
      <c r="S950" s="260"/>
      <c r="T950" s="260"/>
      <c r="U950" s="260"/>
      <c r="V950" s="260"/>
      <c r="W950" s="260"/>
      <c r="X950" s="260"/>
      <c r="Y950" s="260"/>
      <c r="Z950" s="260"/>
      <c r="AA950" s="260"/>
      <c r="AB950" s="260"/>
      <c r="AC950" s="260"/>
      <c r="AD950" s="260"/>
    </row>
    <row r="951" spans="1:30" ht="15" thickBot="1">
      <c r="A951" s="260"/>
      <c r="B951" s="260"/>
      <c r="C951" s="260"/>
      <c r="D951" s="260"/>
      <c r="E951" s="260"/>
      <c r="F951" s="260"/>
      <c r="G951" s="260"/>
      <c r="H951" s="260"/>
      <c r="I951" s="260"/>
      <c r="J951" s="260"/>
      <c r="K951" s="260"/>
      <c r="L951" s="260"/>
      <c r="M951" s="260"/>
      <c r="N951" s="260"/>
      <c r="O951" s="260"/>
      <c r="P951" s="260"/>
      <c r="Q951" s="260"/>
      <c r="R951" s="260"/>
      <c r="S951" s="260"/>
      <c r="T951" s="260"/>
      <c r="U951" s="260"/>
      <c r="V951" s="260"/>
      <c r="W951" s="260"/>
      <c r="X951" s="260"/>
      <c r="Y951" s="260"/>
      <c r="Z951" s="260"/>
      <c r="AA951" s="260"/>
      <c r="AB951" s="260"/>
      <c r="AC951" s="260"/>
      <c r="AD951" s="260"/>
    </row>
    <row r="952" spans="1:30" ht="15" thickBot="1">
      <c r="A952" s="260"/>
      <c r="B952" s="260"/>
      <c r="C952" s="260"/>
      <c r="D952" s="260"/>
      <c r="E952" s="260"/>
      <c r="F952" s="260"/>
      <c r="G952" s="260"/>
      <c r="H952" s="260"/>
      <c r="I952" s="260"/>
      <c r="J952" s="260"/>
      <c r="K952" s="260"/>
      <c r="L952" s="260"/>
      <c r="M952" s="260"/>
      <c r="N952" s="260"/>
      <c r="O952" s="260"/>
      <c r="P952" s="260"/>
      <c r="Q952" s="260"/>
      <c r="R952" s="260"/>
      <c r="S952" s="260"/>
      <c r="T952" s="260"/>
      <c r="U952" s="260"/>
      <c r="V952" s="260"/>
      <c r="W952" s="260"/>
      <c r="X952" s="260"/>
      <c r="Y952" s="260"/>
      <c r="Z952" s="260"/>
      <c r="AA952" s="260"/>
      <c r="AB952" s="260"/>
      <c r="AC952" s="260"/>
      <c r="AD952" s="260"/>
    </row>
    <row r="953" spans="1:30" ht="15" thickBot="1">
      <c r="A953" s="260"/>
      <c r="B953" s="260"/>
      <c r="C953" s="260"/>
      <c r="D953" s="260"/>
      <c r="E953" s="260"/>
      <c r="F953" s="260"/>
      <c r="G953" s="260"/>
      <c r="H953" s="260"/>
      <c r="I953" s="260"/>
      <c r="J953" s="260"/>
      <c r="K953" s="260"/>
      <c r="L953" s="260"/>
      <c r="M953" s="260"/>
      <c r="N953" s="260"/>
      <c r="O953" s="260"/>
      <c r="P953" s="260"/>
      <c r="Q953" s="260"/>
      <c r="R953" s="260"/>
      <c r="S953" s="260"/>
      <c r="T953" s="260"/>
      <c r="U953" s="260"/>
      <c r="V953" s="260"/>
      <c r="W953" s="260"/>
      <c r="X953" s="260"/>
      <c r="Y953" s="260"/>
      <c r="Z953" s="260"/>
      <c r="AA953" s="260"/>
      <c r="AB953" s="260"/>
      <c r="AC953" s="260"/>
      <c r="AD953" s="260"/>
    </row>
    <row r="954" spans="1:30" ht="15" thickBot="1">
      <c r="A954" s="260"/>
      <c r="B954" s="260"/>
      <c r="C954" s="260"/>
      <c r="D954" s="260"/>
      <c r="E954" s="260"/>
      <c r="F954" s="260"/>
      <c r="G954" s="260"/>
      <c r="H954" s="260"/>
      <c r="I954" s="260"/>
      <c r="J954" s="260"/>
      <c r="K954" s="260"/>
      <c r="L954" s="260"/>
      <c r="M954" s="260"/>
      <c r="N954" s="260"/>
      <c r="O954" s="260"/>
      <c r="P954" s="260"/>
      <c r="Q954" s="260"/>
      <c r="R954" s="260"/>
      <c r="S954" s="260"/>
      <c r="T954" s="260"/>
      <c r="U954" s="260"/>
      <c r="V954" s="260"/>
      <c r="W954" s="260"/>
      <c r="X954" s="260"/>
      <c r="Y954" s="260"/>
      <c r="Z954" s="260"/>
      <c r="AA954" s="260"/>
      <c r="AB954" s="260"/>
      <c r="AC954" s="260"/>
      <c r="AD954" s="260"/>
    </row>
    <row r="955" spans="1:30" ht="15" thickBot="1">
      <c r="A955" s="260"/>
      <c r="B955" s="260"/>
      <c r="C955" s="260"/>
      <c r="D955" s="260"/>
      <c r="E955" s="260"/>
      <c r="F955" s="260"/>
      <c r="G955" s="260"/>
      <c r="H955" s="260"/>
      <c r="I955" s="260"/>
      <c r="J955" s="260"/>
      <c r="K955" s="260"/>
      <c r="L955" s="260"/>
      <c r="M955" s="260"/>
      <c r="N955" s="260"/>
      <c r="O955" s="260"/>
      <c r="P955" s="260"/>
      <c r="Q955" s="260"/>
      <c r="R955" s="260"/>
      <c r="S955" s="260"/>
      <c r="T955" s="260"/>
      <c r="U955" s="260"/>
      <c r="V955" s="260"/>
      <c r="W955" s="260"/>
      <c r="X955" s="260"/>
      <c r="Y955" s="260"/>
      <c r="Z955" s="260"/>
      <c r="AA955" s="260"/>
      <c r="AB955" s="260"/>
      <c r="AC955" s="260"/>
      <c r="AD955" s="260"/>
    </row>
    <row r="956" spans="1:30" ht="15" thickBot="1">
      <c r="A956" s="260"/>
      <c r="B956" s="260"/>
      <c r="C956" s="260"/>
      <c r="D956" s="260"/>
      <c r="E956" s="260"/>
      <c r="F956" s="260"/>
      <c r="G956" s="260"/>
      <c r="H956" s="260"/>
      <c r="I956" s="260"/>
      <c r="J956" s="260"/>
      <c r="K956" s="260"/>
      <c r="L956" s="260"/>
      <c r="M956" s="260"/>
      <c r="N956" s="260"/>
      <c r="O956" s="260"/>
      <c r="P956" s="260"/>
      <c r="Q956" s="260"/>
      <c r="R956" s="260"/>
      <c r="S956" s="260"/>
      <c r="T956" s="260"/>
      <c r="U956" s="260"/>
      <c r="V956" s="260"/>
      <c r="W956" s="260"/>
      <c r="X956" s="260"/>
      <c r="Y956" s="260"/>
      <c r="Z956" s="260"/>
      <c r="AA956" s="260"/>
      <c r="AB956" s="260"/>
      <c r="AC956" s="260"/>
      <c r="AD956" s="260"/>
    </row>
    <row r="957" spans="1:30" ht="15" thickBot="1">
      <c r="A957" s="260"/>
      <c r="B957" s="260"/>
      <c r="C957" s="260"/>
      <c r="D957" s="260"/>
      <c r="E957" s="260"/>
      <c r="F957" s="260"/>
      <c r="G957" s="260"/>
      <c r="H957" s="260"/>
      <c r="I957" s="260"/>
      <c r="J957" s="260"/>
      <c r="K957" s="260"/>
      <c r="L957" s="260"/>
      <c r="M957" s="260"/>
      <c r="N957" s="260"/>
      <c r="O957" s="260"/>
      <c r="P957" s="260"/>
      <c r="Q957" s="260"/>
      <c r="R957" s="260"/>
      <c r="S957" s="260"/>
      <c r="T957" s="260"/>
      <c r="U957" s="260"/>
      <c r="V957" s="260"/>
      <c r="W957" s="260"/>
      <c r="X957" s="260"/>
      <c r="Y957" s="260"/>
      <c r="Z957" s="260"/>
      <c r="AA957" s="260"/>
      <c r="AB957" s="260"/>
      <c r="AC957" s="260"/>
      <c r="AD957" s="260"/>
    </row>
    <row r="958" spans="1:30" ht="15" thickBot="1">
      <c r="A958" s="260"/>
      <c r="B958" s="260"/>
      <c r="C958" s="260"/>
      <c r="D958" s="260"/>
      <c r="E958" s="260"/>
      <c r="F958" s="260"/>
      <c r="G958" s="260"/>
      <c r="H958" s="260"/>
      <c r="I958" s="260"/>
      <c r="J958" s="260"/>
      <c r="K958" s="260"/>
      <c r="L958" s="260"/>
      <c r="M958" s="260"/>
      <c r="N958" s="260"/>
      <c r="O958" s="260"/>
      <c r="P958" s="260"/>
      <c r="Q958" s="260"/>
      <c r="R958" s="260"/>
      <c r="S958" s="260"/>
      <c r="T958" s="260"/>
      <c r="U958" s="260"/>
      <c r="V958" s="260"/>
      <c r="W958" s="260"/>
      <c r="X958" s="260"/>
      <c r="Y958" s="260"/>
      <c r="Z958" s="260"/>
      <c r="AA958" s="260"/>
      <c r="AB958" s="260"/>
      <c r="AC958" s="260"/>
      <c r="AD958" s="260"/>
    </row>
    <row r="959" spans="1:30" ht="15" thickBot="1">
      <c r="A959" s="260"/>
      <c r="B959" s="260"/>
      <c r="C959" s="260"/>
      <c r="D959" s="260"/>
      <c r="E959" s="260"/>
      <c r="F959" s="260"/>
      <c r="G959" s="260"/>
      <c r="H959" s="260"/>
      <c r="I959" s="260"/>
      <c r="J959" s="260"/>
      <c r="K959" s="260"/>
      <c r="L959" s="260"/>
      <c r="M959" s="260"/>
      <c r="N959" s="260"/>
      <c r="O959" s="260"/>
      <c r="P959" s="260"/>
      <c r="Q959" s="260"/>
      <c r="R959" s="260"/>
      <c r="S959" s="260"/>
      <c r="T959" s="260"/>
      <c r="U959" s="260"/>
      <c r="V959" s="260"/>
      <c r="W959" s="260"/>
      <c r="X959" s="260"/>
      <c r="Y959" s="260"/>
      <c r="Z959" s="260"/>
      <c r="AA959" s="260"/>
      <c r="AB959" s="260"/>
      <c r="AC959" s="260"/>
      <c r="AD959" s="260"/>
    </row>
    <row r="960" spans="1:30" ht="15" thickBot="1">
      <c r="A960" s="260"/>
      <c r="B960" s="260"/>
      <c r="C960" s="260"/>
      <c r="D960" s="260"/>
      <c r="E960" s="260"/>
      <c r="F960" s="260"/>
      <c r="G960" s="260"/>
      <c r="H960" s="260"/>
      <c r="I960" s="260"/>
      <c r="J960" s="260"/>
      <c r="K960" s="260"/>
      <c r="L960" s="260"/>
      <c r="M960" s="260"/>
      <c r="N960" s="260"/>
      <c r="O960" s="260"/>
      <c r="P960" s="260"/>
      <c r="Q960" s="260"/>
      <c r="R960" s="260"/>
      <c r="S960" s="260"/>
      <c r="T960" s="260"/>
      <c r="U960" s="260"/>
      <c r="V960" s="260"/>
      <c r="W960" s="260"/>
      <c r="X960" s="260"/>
      <c r="Y960" s="260"/>
      <c r="Z960" s="260"/>
      <c r="AA960" s="260"/>
      <c r="AB960" s="260"/>
      <c r="AC960" s="260"/>
      <c r="AD960" s="260"/>
    </row>
    <row r="961" spans="1:30" ht="15" thickBot="1">
      <c r="A961" s="260"/>
      <c r="B961" s="260"/>
      <c r="C961" s="260"/>
      <c r="D961" s="260"/>
      <c r="E961" s="260"/>
      <c r="F961" s="260"/>
      <c r="G961" s="260"/>
      <c r="H961" s="260"/>
      <c r="I961" s="260"/>
      <c r="J961" s="260"/>
      <c r="K961" s="260"/>
      <c r="L961" s="260"/>
      <c r="M961" s="260"/>
      <c r="N961" s="260"/>
      <c r="O961" s="260"/>
      <c r="P961" s="260"/>
      <c r="Q961" s="260"/>
      <c r="R961" s="260"/>
      <c r="S961" s="260"/>
      <c r="T961" s="260"/>
      <c r="U961" s="260"/>
      <c r="V961" s="260"/>
      <c r="W961" s="260"/>
      <c r="X961" s="260"/>
      <c r="Y961" s="260"/>
      <c r="Z961" s="260"/>
      <c r="AA961" s="260"/>
      <c r="AB961" s="260"/>
      <c r="AC961" s="260"/>
      <c r="AD961" s="260"/>
    </row>
    <row r="962" spans="1:30" ht="15" thickBot="1">
      <c r="A962" s="260"/>
      <c r="B962" s="260"/>
      <c r="C962" s="260"/>
      <c r="D962" s="260"/>
      <c r="E962" s="260"/>
      <c r="F962" s="260"/>
      <c r="G962" s="260"/>
      <c r="H962" s="260"/>
      <c r="I962" s="260"/>
      <c r="J962" s="260"/>
      <c r="K962" s="260"/>
      <c r="L962" s="260"/>
      <c r="M962" s="260"/>
      <c r="N962" s="260"/>
      <c r="O962" s="260"/>
      <c r="P962" s="260"/>
      <c r="Q962" s="260"/>
      <c r="R962" s="260"/>
      <c r="S962" s="260"/>
      <c r="T962" s="260"/>
      <c r="U962" s="260"/>
      <c r="V962" s="260"/>
      <c r="W962" s="260"/>
      <c r="X962" s="260"/>
      <c r="Y962" s="260"/>
      <c r="Z962" s="260"/>
      <c r="AA962" s="260"/>
      <c r="AB962" s="260"/>
      <c r="AC962" s="260"/>
      <c r="AD962" s="260"/>
    </row>
    <row r="963" spans="1:30" ht="15" thickBot="1">
      <c r="A963" s="260"/>
      <c r="B963" s="260"/>
      <c r="C963" s="260"/>
      <c r="D963" s="260"/>
      <c r="E963" s="260"/>
      <c r="F963" s="260"/>
      <c r="G963" s="260"/>
      <c r="H963" s="260"/>
      <c r="I963" s="260"/>
      <c r="J963" s="260"/>
      <c r="K963" s="260"/>
      <c r="L963" s="260"/>
      <c r="M963" s="260"/>
      <c r="N963" s="260"/>
      <c r="O963" s="260"/>
      <c r="P963" s="260"/>
      <c r="Q963" s="260"/>
      <c r="R963" s="260"/>
      <c r="S963" s="260"/>
      <c r="T963" s="260"/>
      <c r="U963" s="260"/>
      <c r="V963" s="260"/>
      <c r="W963" s="260"/>
      <c r="X963" s="260"/>
      <c r="Y963" s="260"/>
      <c r="Z963" s="260"/>
      <c r="AA963" s="260"/>
      <c r="AB963" s="260"/>
      <c r="AC963" s="260"/>
      <c r="AD963" s="260"/>
    </row>
    <row r="964" spans="1:30" ht="15" thickBot="1">
      <c r="A964" s="260"/>
      <c r="B964" s="260"/>
      <c r="C964" s="260"/>
      <c r="D964" s="260"/>
      <c r="E964" s="260"/>
      <c r="F964" s="260"/>
      <c r="G964" s="260"/>
      <c r="H964" s="260"/>
      <c r="I964" s="260"/>
      <c r="J964" s="260"/>
      <c r="K964" s="260"/>
      <c r="L964" s="260"/>
      <c r="M964" s="260"/>
      <c r="N964" s="260"/>
      <c r="O964" s="260"/>
      <c r="P964" s="260"/>
      <c r="Q964" s="260"/>
      <c r="R964" s="260"/>
      <c r="S964" s="260"/>
      <c r="T964" s="260"/>
      <c r="U964" s="260"/>
      <c r="V964" s="260"/>
      <c r="W964" s="260"/>
      <c r="X964" s="260"/>
      <c r="Y964" s="260"/>
      <c r="Z964" s="260"/>
      <c r="AA964" s="260"/>
      <c r="AB964" s="260"/>
      <c r="AC964" s="260"/>
      <c r="AD964" s="260"/>
    </row>
    <row r="965" spans="1:30" ht="15" thickBot="1">
      <c r="A965" s="260"/>
      <c r="B965" s="260"/>
      <c r="C965" s="260"/>
      <c r="D965" s="260"/>
      <c r="E965" s="260"/>
      <c r="F965" s="260"/>
      <c r="G965" s="260"/>
      <c r="H965" s="260"/>
      <c r="I965" s="260"/>
      <c r="J965" s="260"/>
      <c r="K965" s="260"/>
      <c r="L965" s="260"/>
      <c r="M965" s="260"/>
      <c r="N965" s="260"/>
      <c r="O965" s="260"/>
      <c r="P965" s="260"/>
      <c r="Q965" s="260"/>
      <c r="R965" s="260"/>
      <c r="S965" s="260"/>
      <c r="T965" s="260"/>
      <c r="U965" s="260"/>
      <c r="V965" s="260"/>
      <c r="W965" s="260"/>
      <c r="X965" s="260"/>
      <c r="Y965" s="260"/>
      <c r="Z965" s="260"/>
      <c r="AA965" s="260"/>
      <c r="AB965" s="260"/>
      <c r="AC965" s="260"/>
      <c r="AD965" s="260"/>
    </row>
    <row r="966" spans="1:30" ht="15" thickBot="1">
      <c r="A966" s="260"/>
      <c r="B966" s="260"/>
      <c r="C966" s="260"/>
      <c r="D966" s="260"/>
      <c r="E966" s="260"/>
      <c r="F966" s="260"/>
      <c r="G966" s="260"/>
      <c r="H966" s="260"/>
      <c r="I966" s="260"/>
      <c r="J966" s="260"/>
      <c r="K966" s="260"/>
      <c r="L966" s="260"/>
      <c r="M966" s="260"/>
      <c r="N966" s="260"/>
      <c r="O966" s="260"/>
      <c r="P966" s="260"/>
      <c r="Q966" s="260"/>
      <c r="R966" s="260"/>
      <c r="S966" s="260"/>
      <c r="T966" s="260"/>
      <c r="U966" s="260"/>
      <c r="V966" s="260"/>
      <c r="W966" s="260"/>
      <c r="X966" s="260"/>
      <c r="Y966" s="260"/>
      <c r="Z966" s="260"/>
      <c r="AA966" s="260"/>
      <c r="AB966" s="260"/>
      <c r="AC966" s="260"/>
      <c r="AD966" s="260"/>
    </row>
    <row r="967" spans="1:30" ht="15" thickBot="1">
      <c r="A967" s="260"/>
      <c r="B967" s="260"/>
      <c r="C967" s="260"/>
      <c r="D967" s="260"/>
      <c r="E967" s="260"/>
      <c r="F967" s="260"/>
      <c r="G967" s="260"/>
      <c r="H967" s="260"/>
      <c r="I967" s="260"/>
      <c r="J967" s="260"/>
      <c r="K967" s="260"/>
      <c r="L967" s="260"/>
      <c r="M967" s="260"/>
      <c r="N967" s="260"/>
      <c r="O967" s="260"/>
      <c r="P967" s="260"/>
      <c r="Q967" s="260"/>
      <c r="R967" s="260"/>
      <c r="S967" s="260"/>
      <c r="T967" s="260"/>
      <c r="U967" s="260"/>
      <c r="V967" s="260"/>
      <c r="W967" s="260"/>
      <c r="X967" s="260"/>
      <c r="Y967" s="260"/>
      <c r="Z967" s="260"/>
      <c r="AA967" s="260"/>
      <c r="AB967" s="260"/>
      <c r="AC967" s="260"/>
      <c r="AD967" s="260"/>
    </row>
    <row r="968" spans="1:30" ht="15" thickBot="1">
      <c r="A968" s="260"/>
      <c r="B968" s="260"/>
      <c r="C968" s="260"/>
      <c r="D968" s="260"/>
      <c r="E968" s="260"/>
      <c r="F968" s="260"/>
      <c r="G968" s="260"/>
      <c r="H968" s="260"/>
      <c r="I968" s="260"/>
      <c r="J968" s="260"/>
      <c r="K968" s="260"/>
      <c r="L968" s="260"/>
      <c r="M968" s="260"/>
      <c r="N968" s="260"/>
      <c r="O968" s="260"/>
      <c r="P968" s="260"/>
      <c r="Q968" s="260"/>
      <c r="R968" s="260"/>
      <c r="S968" s="260"/>
      <c r="T968" s="260"/>
      <c r="U968" s="260"/>
      <c r="V968" s="260"/>
      <c r="W968" s="260"/>
      <c r="X968" s="260"/>
      <c r="Y968" s="260"/>
      <c r="Z968" s="260"/>
      <c r="AA968" s="260"/>
      <c r="AB968" s="260"/>
      <c r="AC968" s="260"/>
      <c r="AD968" s="260"/>
    </row>
    <row r="969" spans="1:30" ht="15" thickBot="1">
      <c r="A969" s="260"/>
      <c r="B969" s="260"/>
      <c r="C969" s="260"/>
      <c r="D969" s="260"/>
      <c r="E969" s="260"/>
      <c r="F969" s="260"/>
      <c r="G969" s="260"/>
      <c r="H969" s="260"/>
      <c r="I969" s="260"/>
      <c r="J969" s="260"/>
      <c r="K969" s="260"/>
      <c r="L969" s="260"/>
      <c r="M969" s="260"/>
      <c r="N969" s="260"/>
      <c r="O969" s="260"/>
      <c r="P969" s="260"/>
      <c r="Q969" s="260"/>
      <c r="R969" s="260"/>
      <c r="S969" s="260"/>
      <c r="T969" s="260"/>
      <c r="U969" s="260"/>
      <c r="V969" s="260"/>
      <c r="W969" s="260"/>
      <c r="X969" s="260"/>
      <c r="Y969" s="260"/>
      <c r="Z969" s="260"/>
      <c r="AA969" s="260"/>
      <c r="AB969" s="260"/>
      <c r="AC969" s="260"/>
      <c r="AD969" s="260"/>
    </row>
    <row r="970" spans="1:30" ht="15" thickBot="1">
      <c r="A970" s="260"/>
      <c r="B970" s="260"/>
      <c r="C970" s="260"/>
      <c r="D970" s="260"/>
      <c r="E970" s="260"/>
      <c r="F970" s="260"/>
      <c r="G970" s="260"/>
      <c r="H970" s="260"/>
      <c r="I970" s="260"/>
      <c r="J970" s="260"/>
      <c r="K970" s="260"/>
      <c r="L970" s="260"/>
      <c r="M970" s="260"/>
      <c r="N970" s="260"/>
      <c r="O970" s="260"/>
      <c r="P970" s="260"/>
      <c r="Q970" s="260"/>
      <c r="R970" s="260"/>
      <c r="S970" s="260"/>
      <c r="T970" s="260"/>
      <c r="U970" s="260"/>
      <c r="V970" s="260"/>
      <c r="W970" s="260"/>
      <c r="X970" s="260"/>
      <c r="Y970" s="260"/>
      <c r="Z970" s="260"/>
      <c r="AA970" s="260"/>
      <c r="AB970" s="260"/>
      <c r="AC970" s="260"/>
      <c r="AD970" s="260"/>
    </row>
    <row r="971" spans="1:30" ht="15" thickBot="1">
      <c r="A971" s="260"/>
      <c r="B971" s="260"/>
      <c r="C971" s="260"/>
      <c r="D971" s="260"/>
      <c r="E971" s="260"/>
      <c r="F971" s="260"/>
      <c r="G971" s="260"/>
      <c r="H971" s="260"/>
      <c r="I971" s="260"/>
      <c r="J971" s="260"/>
      <c r="K971" s="260"/>
      <c r="L971" s="260"/>
      <c r="M971" s="260"/>
      <c r="N971" s="260"/>
      <c r="O971" s="260"/>
      <c r="P971" s="260"/>
      <c r="Q971" s="260"/>
      <c r="R971" s="260"/>
      <c r="S971" s="260"/>
      <c r="T971" s="260"/>
      <c r="U971" s="260"/>
      <c r="V971" s="260"/>
      <c r="W971" s="260"/>
      <c r="X971" s="260"/>
      <c r="Y971" s="260"/>
      <c r="Z971" s="260"/>
      <c r="AA971" s="260"/>
      <c r="AB971" s="260"/>
      <c r="AC971" s="260"/>
      <c r="AD971" s="260"/>
    </row>
    <row r="972" spans="1:30" ht="15" thickBot="1">
      <c r="A972" s="260"/>
      <c r="B972" s="260"/>
      <c r="C972" s="260"/>
      <c r="D972" s="260"/>
      <c r="E972" s="260"/>
      <c r="F972" s="260"/>
      <c r="G972" s="260"/>
      <c r="H972" s="260"/>
      <c r="I972" s="260"/>
      <c r="J972" s="260"/>
      <c r="K972" s="260"/>
      <c r="L972" s="260"/>
      <c r="M972" s="260"/>
      <c r="N972" s="260"/>
      <c r="O972" s="260"/>
      <c r="P972" s="260"/>
      <c r="Q972" s="260"/>
      <c r="R972" s="260"/>
      <c r="S972" s="260"/>
      <c r="T972" s="260"/>
      <c r="U972" s="260"/>
      <c r="V972" s="260"/>
      <c r="W972" s="260"/>
      <c r="X972" s="260"/>
      <c r="Y972" s="260"/>
      <c r="Z972" s="260"/>
      <c r="AA972" s="260"/>
      <c r="AB972" s="260"/>
      <c r="AC972" s="260"/>
      <c r="AD972" s="260"/>
    </row>
    <row r="973" spans="1:30" ht="15" thickBot="1">
      <c r="A973" s="260"/>
      <c r="B973" s="260"/>
      <c r="C973" s="260"/>
      <c r="D973" s="260"/>
      <c r="E973" s="260"/>
      <c r="F973" s="260"/>
      <c r="G973" s="260"/>
      <c r="H973" s="260"/>
      <c r="I973" s="260"/>
      <c r="J973" s="260"/>
      <c r="K973" s="260"/>
      <c r="L973" s="260"/>
      <c r="M973" s="260"/>
      <c r="N973" s="260"/>
      <c r="O973" s="260"/>
      <c r="P973" s="260"/>
      <c r="Q973" s="260"/>
      <c r="R973" s="260"/>
      <c r="S973" s="260"/>
      <c r="T973" s="260"/>
      <c r="U973" s="260"/>
      <c r="V973" s="260"/>
      <c r="W973" s="260"/>
      <c r="X973" s="260"/>
      <c r="Y973" s="260"/>
      <c r="Z973" s="260"/>
      <c r="AA973" s="260"/>
      <c r="AB973" s="260"/>
      <c r="AC973" s="260"/>
      <c r="AD973" s="260"/>
    </row>
    <row r="974" spans="1:30" ht="15" thickBot="1">
      <c r="A974" s="260"/>
      <c r="B974" s="260"/>
      <c r="C974" s="260"/>
      <c r="D974" s="260"/>
      <c r="E974" s="260"/>
      <c r="F974" s="260"/>
      <c r="G974" s="260"/>
      <c r="H974" s="260"/>
      <c r="I974" s="260"/>
      <c r="J974" s="260"/>
      <c r="K974" s="260"/>
      <c r="L974" s="260"/>
      <c r="M974" s="260"/>
      <c r="N974" s="260"/>
      <c r="O974" s="260"/>
      <c r="P974" s="260"/>
      <c r="Q974" s="260"/>
      <c r="R974" s="260"/>
      <c r="S974" s="260"/>
      <c r="T974" s="260"/>
      <c r="U974" s="260"/>
      <c r="V974" s="260"/>
      <c r="W974" s="260"/>
      <c r="X974" s="260"/>
      <c r="Y974" s="260"/>
      <c r="Z974" s="260"/>
      <c r="AA974" s="260"/>
      <c r="AB974" s="260"/>
      <c r="AC974" s="260"/>
      <c r="AD974" s="260"/>
    </row>
    <row r="975" spans="1:30" ht="15" thickBot="1">
      <c r="A975" s="260"/>
      <c r="B975" s="260"/>
      <c r="C975" s="260"/>
      <c r="D975" s="260"/>
      <c r="E975" s="260"/>
      <c r="F975" s="260"/>
      <c r="G975" s="260"/>
      <c r="H975" s="260"/>
      <c r="I975" s="260"/>
      <c r="J975" s="260"/>
      <c r="K975" s="260"/>
      <c r="L975" s="260"/>
      <c r="M975" s="260"/>
      <c r="N975" s="260"/>
      <c r="O975" s="260"/>
      <c r="P975" s="260"/>
      <c r="Q975" s="260"/>
      <c r="R975" s="260"/>
      <c r="S975" s="260"/>
      <c r="T975" s="260"/>
      <c r="U975" s="260"/>
      <c r="V975" s="260"/>
      <c r="W975" s="260"/>
      <c r="X975" s="260"/>
      <c r="Y975" s="260"/>
      <c r="Z975" s="260"/>
      <c r="AA975" s="260"/>
      <c r="AB975" s="260"/>
      <c r="AC975" s="260"/>
      <c r="AD975" s="260"/>
    </row>
    <row r="976" spans="1:30" ht="15" thickBot="1">
      <c r="A976" s="260"/>
      <c r="B976" s="260"/>
      <c r="C976" s="260"/>
      <c r="D976" s="260"/>
      <c r="E976" s="260"/>
      <c r="F976" s="260"/>
      <c r="G976" s="260"/>
      <c r="H976" s="260"/>
      <c r="I976" s="260"/>
      <c r="J976" s="260"/>
      <c r="K976" s="260"/>
      <c r="L976" s="260"/>
      <c r="M976" s="260"/>
      <c r="N976" s="260"/>
      <c r="O976" s="260"/>
      <c r="P976" s="260"/>
      <c r="Q976" s="260"/>
      <c r="R976" s="260"/>
      <c r="S976" s="260"/>
      <c r="T976" s="260"/>
      <c r="U976" s="260"/>
      <c r="V976" s="260"/>
      <c r="W976" s="260"/>
      <c r="X976" s="260"/>
      <c r="Y976" s="260"/>
      <c r="Z976" s="260"/>
      <c r="AA976" s="260"/>
      <c r="AB976" s="260"/>
      <c r="AC976" s="260"/>
      <c r="AD976" s="260"/>
    </row>
    <row r="977" spans="1:30" ht="15" thickBot="1">
      <c r="A977" s="260"/>
      <c r="B977" s="260"/>
      <c r="C977" s="260"/>
      <c r="D977" s="260"/>
      <c r="E977" s="260"/>
      <c r="F977" s="260"/>
      <c r="G977" s="260"/>
      <c r="H977" s="260"/>
      <c r="I977" s="260"/>
      <c r="J977" s="260"/>
      <c r="K977" s="260"/>
      <c r="L977" s="260"/>
      <c r="M977" s="260"/>
      <c r="N977" s="260"/>
      <c r="O977" s="260"/>
      <c r="P977" s="260"/>
      <c r="Q977" s="260"/>
      <c r="R977" s="260"/>
      <c r="S977" s="260"/>
      <c r="T977" s="260"/>
      <c r="U977" s="260"/>
      <c r="V977" s="260"/>
      <c r="W977" s="260"/>
      <c r="X977" s="260"/>
      <c r="Y977" s="260"/>
      <c r="Z977" s="260"/>
      <c r="AA977" s="260"/>
      <c r="AB977" s="260"/>
      <c r="AC977" s="260"/>
      <c r="AD977" s="260"/>
    </row>
    <row r="978" spans="1:30" ht="15" thickBot="1">
      <c r="A978" s="260"/>
      <c r="B978" s="260"/>
      <c r="C978" s="260"/>
      <c r="D978" s="260"/>
      <c r="E978" s="260"/>
      <c r="F978" s="260"/>
      <c r="G978" s="260"/>
      <c r="H978" s="260"/>
      <c r="I978" s="260"/>
      <c r="J978" s="260"/>
      <c r="K978" s="260"/>
      <c r="L978" s="260"/>
      <c r="M978" s="260"/>
      <c r="N978" s="260"/>
      <c r="O978" s="260"/>
      <c r="P978" s="260"/>
      <c r="Q978" s="260"/>
      <c r="R978" s="260"/>
      <c r="S978" s="260"/>
      <c r="T978" s="260"/>
      <c r="U978" s="260"/>
      <c r="V978" s="260"/>
      <c r="W978" s="260"/>
      <c r="X978" s="260"/>
      <c r="Y978" s="260"/>
      <c r="Z978" s="260"/>
      <c r="AA978" s="260"/>
      <c r="AB978" s="260"/>
      <c r="AC978" s="260"/>
      <c r="AD978" s="260"/>
    </row>
    <row r="979" spans="1:30" ht="15" thickBot="1">
      <c r="A979" s="260"/>
      <c r="B979" s="260"/>
      <c r="C979" s="260"/>
      <c r="D979" s="260"/>
      <c r="E979" s="260"/>
      <c r="F979" s="260"/>
      <c r="G979" s="260"/>
      <c r="H979" s="260"/>
      <c r="I979" s="260"/>
      <c r="J979" s="260"/>
      <c r="K979" s="260"/>
      <c r="L979" s="260"/>
      <c r="M979" s="260"/>
      <c r="N979" s="260"/>
      <c r="O979" s="260"/>
      <c r="P979" s="260"/>
      <c r="Q979" s="260"/>
      <c r="R979" s="260"/>
      <c r="S979" s="260"/>
      <c r="T979" s="260"/>
      <c r="U979" s="260"/>
      <c r="V979" s="260"/>
      <c r="W979" s="260"/>
      <c r="X979" s="260"/>
      <c r="Y979" s="260"/>
      <c r="Z979" s="260"/>
      <c r="AA979" s="260"/>
      <c r="AB979" s="260"/>
      <c r="AC979" s="260"/>
      <c r="AD979" s="260"/>
    </row>
    <row r="980" spans="1:30" ht="15" thickBot="1">
      <c r="A980" s="260"/>
      <c r="B980" s="260"/>
      <c r="C980" s="260"/>
      <c r="D980" s="260"/>
      <c r="E980" s="260"/>
      <c r="F980" s="260"/>
      <c r="G980" s="260"/>
      <c r="H980" s="260"/>
      <c r="I980" s="260"/>
      <c r="J980" s="260"/>
      <c r="K980" s="260"/>
      <c r="L980" s="260"/>
      <c r="M980" s="260"/>
      <c r="N980" s="260"/>
      <c r="O980" s="260"/>
      <c r="P980" s="260"/>
      <c r="Q980" s="260"/>
      <c r="R980" s="260"/>
      <c r="S980" s="260"/>
      <c r="T980" s="260"/>
      <c r="U980" s="260"/>
      <c r="V980" s="260"/>
      <c r="W980" s="260"/>
      <c r="X980" s="260"/>
      <c r="Y980" s="260"/>
      <c r="Z980" s="260"/>
      <c r="AA980" s="260"/>
      <c r="AB980" s="260"/>
      <c r="AC980" s="260"/>
      <c r="AD980" s="260"/>
    </row>
  </sheetData>
  <mergeCells count="6">
    <mergeCell ref="A4:A29"/>
    <mergeCell ref="G28:J29"/>
    <mergeCell ref="A34:A50"/>
    <mergeCell ref="G50:J50"/>
    <mergeCell ref="A53:A69"/>
    <mergeCell ref="G69:J69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Input data</vt:lpstr>
      <vt:lpstr>DATA BASE</vt:lpstr>
      <vt:lpstr>CALCULATIONS &amp; OUTPUT</vt:lpstr>
      <vt:lpstr>refrigerant properties</vt:lpstr>
      <vt:lpstr>Sheet1</vt:lpstr>
      <vt:lpstr>Sheet3</vt:lpstr>
      <vt:lpstr>Sheet4</vt:lpstr>
      <vt:lpstr>sheet5</vt:lpstr>
      <vt:lpstr>Sheet2</vt:lpstr>
      <vt:lpstr>'Input data'!PAGE1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Kedar. A Damle</dc:creator>
  <cp:lastModifiedBy>Abhijit Chavhan</cp:lastModifiedBy>
  <dcterms:created xsi:type="dcterms:W3CDTF">1999-08-16T04:17:29Z</dcterms:created>
  <dcterms:modified xsi:type="dcterms:W3CDTF">2026-04-23T08:38:31Z</dcterms:modified>
</cp:coreProperties>
</file>